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PISOS FLOTANTES" sheetId="1" r:id="rId4"/>
    <sheet state="visible" name="2-PORCELANATOS" sheetId="2" r:id="rId5"/>
    <sheet state="visible" name="3-REVESTIMIENTOS Y PERFILES EXT" sheetId="3" r:id="rId6"/>
    <sheet state="visible" name="4-REVESTIMIENTOS Y PERFILES INT" sheetId="4" r:id="rId7"/>
    <sheet state="visible" name="PISOS VINILICOS" sheetId="5" r:id="rId8"/>
    <sheet state="visible" name="PISOS DE MADERA E INGENIERIA" sheetId="6" r:id="rId9"/>
    <sheet state="visible" name="DECK" sheetId="7" r:id="rId10"/>
    <sheet state="visible" name="MADERAS" sheetId="8" r:id="rId11"/>
    <sheet state="visible" name="Accesorios" sheetId="9" r:id="rId12"/>
  </sheets>
  <definedNames>
    <definedName hidden="1" localSheetId="0" name="_xlnm._FilterDatabase">'1-PISOS FLOTANTES'!$A$1:$AI$172</definedName>
    <definedName hidden="1" localSheetId="2" name="_xlnm._FilterDatabase">'3-REVESTIMIENTOS Y PERFILES EXT'!$A$1:$AB$30</definedName>
    <definedName hidden="1" localSheetId="3" name="_xlnm._FilterDatabase">'4-REVESTIMIENTOS Y PERFILES INT'!$A$1:$AB$56</definedName>
  </definedNames>
  <calcPr/>
  <extLst>
    <ext uri="GoogleSheetsCustomDataVersion2">
      <go:sheetsCustomData xmlns:go="http://customooxmlschemas.google.com/" r:id="rId13" roundtripDataChecksum="yRH9L2h18Dj7qF+hpuGetjv/Z7InAHPvj3bguMt0eDk="/>
    </ext>
  </extLst>
</workbook>
</file>

<file path=xl/sharedStrings.xml><?xml version="1.0" encoding="utf-8"?>
<sst xmlns="http://schemas.openxmlformats.org/spreadsheetml/2006/main" count="11817" uniqueCount="1500">
  <si>
    <t>SKU</t>
  </si>
  <si>
    <t>Categoria Principal</t>
  </si>
  <si>
    <t>Categoria Secundaria</t>
  </si>
  <si>
    <t>Tipo Producto</t>
  </si>
  <si>
    <t>Categoria Terciaria</t>
  </si>
  <si>
    <t>Origen</t>
  </si>
  <si>
    <t>Nombre</t>
  </si>
  <si>
    <t>Codigo</t>
  </si>
  <si>
    <t>Marca</t>
  </si>
  <si>
    <t>Linea</t>
  </si>
  <si>
    <t>Tipo de Uso</t>
  </si>
  <si>
    <t>Espesor</t>
  </si>
  <si>
    <t>U.M</t>
  </si>
  <si>
    <t>Abrasion</t>
  </si>
  <si>
    <t>Manto Incorporado</t>
  </si>
  <si>
    <t xml:space="preserve">Bisel </t>
  </si>
  <si>
    <t xml:space="preserve">Ancho </t>
  </si>
  <si>
    <t>Largo</t>
  </si>
  <si>
    <t>Base</t>
  </si>
  <si>
    <t>Tablas x Caja</t>
  </si>
  <si>
    <t>Precio x m2</t>
  </si>
  <si>
    <t>Moneda</t>
  </si>
  <si>
    <t>Precio x Caja</t>
  </si>
  <si>
    <t>Peso por caja</t>
  </si>
  <si>
    <t>Cajas por pallet</t>
  </si>
  <si>
    <t>Peso x Pallet</t>
  </si>
  <si>
    <t>Stock</t>
  </si>
  <si>
    <t>Imágenes</t>
  </si>
  <si>
    <t>Precio Envio x Caja</t>
  </si>
  <si>
    <t>Garantia</t>
  </si>
  <si>
    <t>Ficha tecnica</t>
  </si>
  <si>
    <t>Archivo Instalacion</t>
  </si>
  <si>
    <t>Descripcion</t>
  </si>
  <si>
    <t>Espacios Interiores</t>
  </si>
  <si>
    <t>Pisos</t>
  </si>
  <si>
    <t>Piso Flotante</t>
  </si>
  <si>
    <t>Clasico</t>
  </si>
  <si>
    <t>Alemania</t>
  </si>
  <si>
    <t>Abeto de Siberia</t>
  </si>
  <si>
    <t>Kronotex</t>
  </si>
  <si>
    <t>Amazone</t>
  </si>
  <si>
    <t>Comercial Intenso</t>
  </si>
  <si>
    <t>mm</t>
  </si>
  <si>
    <t>AC5</t>
  </si>
  <si>
    <t>no</t>
  </si>
  <si>
    <t>si</t>
  </si>
  <si>
    <t>m2</t>
  </si>
  <si>
    <t>u$s</t>
  </si>
  <si>
    <t>14704-1.jpg; 14704-2.jpg</t>
  </si>
  <si>
    <t>Waterproof</t>
  </si>
  <si>
    <t>China</t>
  </si>
  <si>
    <t>Acatia</t>
  </si>
  <si>
    <t>KS Flooring</t>
  </si>
  <si>
    <t>House</t>
  </si>
  <si>
    <t>Comercial</t>
  </si>
  <si>
    <t>AC4</t>
  </si>
  <si>
    <t>Uss</t>
  </si>
  <si>
    <t>25340-1.jpg; 25340-2.jpg</t>
  </si>
  <si>
    <t>Water Resistant</t>
  </si>
  <si>
    <t>Adak</t>
  </si>
  <si>
    <t>Oferta</t>
  </si>
  <si>
    <t>U$S</t>
  </si>
  <si>
    <t>23554-1.jpg; 23554-2.jpg</t>
  </si>
  <si>
    <t>R1217</t>
  </si>
  <si>
    <t>Rooms</t>
  </si>
  <si>
    <t>23559-1.jpg; 23559-2.jpg</t>
  </si>
  <si>
    <t>Ahorn Nature</t>
  </si>
  <si>
    <t>D3098</t>
  </si>
  <si>
    <t>Standard</t>
  </si>
  <si>
    <t>23754-1.jpg; 23754-2.jpg</t>
  </si>
  <si>
    <t>Antique Cashmere oak</t>
  </si>
  <si>
    <t>K471</t>
  </si>
  <si>
    <t>Krono Original</t>
  </si>
  <si>
    <t>More</t>
  </si>
  <si>
    <t>Si</t>
  </si>
  <si>
    <t>25078-1.jpg; 25078-2.jpg</t>
  </si>
  <si>
    <t xml:space="preserve">Appalachian  </t>
  </si>
  <si>
    <t>Vintage Long</t>
  </si>
  <si>
    <t>23010-1.jpg; 23010-2.jpg</t>
  </si>
  <si>
    <t>Appalachian Hickory</t>
  </si>
  <si>
    <t>ORCA</t>
  </si>
  <si>
    <t>24856-1.jpg; 24856-2.jpg</t>
  </si>
  <si>
    <t>Arielle Sands</t>
  </si>
  <si>
    <t>K672</t>
  </si>
  <si>
    <t>25203-1.jpg; 25203-2.jpg</t>
  </si>
  <si>
    <t>Ash Stockholm</t>
  </si>
  <si>
    <t>Dinamic</t>
  </si>
  <si>
    <t>17887-1.jpg; 17887-2.jpg</t>
  </si>
  <si>
    <t>Blackwater Oak</t>
  </si>
  <si>
    <t>K413</t>
  </si>
  <si>
    <t>24420-1.jpg; 24420-2.jpg</t>
  </si>
  <si>
    <t>Blockwood</t>
  </si>
  <si>
    <t>19424-1.jpg; 19424-2.jpg</t>
  </si>
  <si>
    <t>Blonde Montreux Oak</t>
  </si>
  <si>
    <t>k659</t>
  </si>
  <si>
    <t>6+1</t>
  </si>
  <si>
    <t>25210-1.jpg; 25210-2.jpg</t>
  </si>
  <si>
    <t>Blues</t>
  </si>
  <si>
    <t>17002-1.jpg; 17002-2.jpg</t>
  </si>
  <si>
    <t>Bough pine</t>
  </si>
  <si>
    <t>D4163</t>
  </si>
  <si>
    <t>18057-1.jpg; 18057-2.jpg</t>
  </si>
  <si>
    <t>Bourbon Hills</t>
  </si>
  <si>
    <t>K489</t>
  </si>
  <si>
    <t>25206-1.jpg; 25206-2.jpg</t>
  </si>
  <si>
    <t>Brunico Hickory</t>
  </si>
  <si>
    <t>24691-1.jpg; 24691-2.jpg</t>
  </si>
  <si>
    <t>Camelot Oak</t>
  </si>
  <si>
    <t>R1216</t>
  </si>
  <si>
    <t>26543-1.jpg; 26543-2.jpg</t>
  </si>
  <si>
    <t>Camrose Oak</t>
  </si>
  <si>
    <t>24687-1.jpg; 24687-2.jpg</t>
  </si>
  <si>
    <t>Cerdenza Oak</t>
  </si>
  <si>
    <t>k338</t>
  </si>
  <si>
    <t>24883-1.jpg; 24883-2.jpg</t>
  </si>
  <si>
    <t>Cerezo Brasil</t>
  </si>
  <si>
    <t>D8459</t>
  </si>
  <si>
    <t>Castello</t>
  </si>
  <si>
    <t>10014-1.jpg; 10014-2.jpg</t>
  </si>
  <si>
    <t>Cersai</t>
  </si>
  <si>
    <t>VB808</t>
  </si>
  <si>
    <t>Swiss Krono</t>
  </si>
  <si>
    <t>23565-1.jpg; 23565-2.jpg</t>
  </si>
  <si>
    <t>Chene Pierre</t>
  </si>
  <si>
    <t>D5686</t>
  </si>
  <si>
    <t>19210-1.jpg; 19210-2.jpg</t>
  </si>
  <si>
    <t>Chesnut Toro</t>
  </si>
  <si>
    <t>Vintage Clasic</t>
  </si>
  <si>
    <t>20298-1.jpg; 20298-2.jpg</t>
  </si>
  <si>
    <t>Cinerea Natur</t>
  </si>
  <si>
    <t>24838-1.jpg; 24838-2.jpg</t>
  </si>
  <si>
    <t>Clay Sola Oak</t>
  </si>
  <si>
    <t>K647</t>
  </si>
  <si>
    <t>24398-1.jpg; 24398-2.jpg</t>
  </si>
  <si>
    <t>Cloud Pine</t>
  </si>
  <si>
    <t>D4127</t>
  </si>
  <si>
    <t>23551-1.jpg; 23551-2.jpg</t>
  </si>
  <si>
    <t>Cloude Eiche</t>
  </si>
  <si>
    <t>D3066</t>
  </si>
  <si>
    <t>18181-1.jpg; 18181-2.jpg</t>
  </si>
  <si>
    <t>Colorado Oak</t>
  </si>
  <si>
    <t>25202-1.jpg; 25202-2.jpg</t>
  </si>
  <si>
    <t>Colour Oak</t>
  </si>
  <si>
    <t>MV855</t>
  </si>
  <si>
    <t>23760-1.jpg; 23760-2.jpg</t>
  </si>
  <si>
    <t>Desert oak</t>
  </si>
  <si>
    <t>variostep</t>
  </si>
  <si>
    <t>19319-1.jpg; 19319-2.jpg</t>
  </si>
  <si>
    <t>Diego Organic</t>
  </si>
  <si>
    <t>24729-1.jpg; 24729-2.jpg</t>
  </si>
  <si>
    <t>Edge</t>
  </si>
  <si>
    <t>24933-1.jpg; 24933-2.jpg</t>
  </si>
  <si>
    <t>Eiche Halsa</t>
  </si>
  <si>
    <t>24758-1.jpg; 24758-2.jpg</t>
  </si>
  <si>
    <t>Eiche Molde</t>
  </si>
  <si>
    <t>24738-1.jpg; 24738-2.jpg</t>
  </si>
  <si>
    <t>Eiche Rana</t>
  </si>
  <si>
    <t>24739-1.jpg; 24739-2.jpg</t>
  </si>
  <si>
    <t>Eiche Rustical</t>
  </si>
  <si>
    <t>Robusto</t>
  </si>
  <si>
    <t>23766-1.jpg; 23766-2.jpg</t>
  </si>
  <si>
    <t>Eiche Santorini</t>
  </si>
  <si>
    <t>U$s</t>
  </si>
  <si>
    <t>24831-1.jpg; 24831-2.jpg</t>
  </si>
  <si>
    <t>Eiche Vest</t>
  </si>
  <si>
    <t>24737-1.jpg; 24737-2.jpg</t>
  </si>
  <si>
    <t>Elegant Oak</t>
  </si>
  <si>
    <t>D8521</t>
  </si>
  <si>
    <t>Kronofix</t>
  </si>
  <si>
    <t>Residencial</t>
  </si>
  <si>
    <t>AC3</t>
  </si>
  <si>
    <t>20806-1.jpg; 20806-2.jpg</t>
  </si>
  <si>
    <t>Eurus Oak</t>
  </si>
  <si>
    <t>K406</t>
  </si>
  <si>
    <t>24783-1.jpg; 24783-2.jpg</t>
  </si>
  <si>
    <t>Farro Montreux Oak</t>
  </si>
  <si>
    <t>k660</t>
  </si>
  <si>
    <t>25211-1.jpg; 25211-2.jpg</t>
  </si>
  <si>
    <t>Fresno polar</t>
  </si>
  <si>
    <t>Exquisit</t>
  </si>
  <si>
    <t>11688-1.jpg; 11688-2.jpg</t>
  </si>
  <si>
    <t>Gold Fiordaliso Oak</t>
  </si>
  <si>
    <t>k629</t>
  </si>
  <si>
    <t>25080-1.jpg; 25080-2.jpg</t>
  </si>
  <si>
    <t>Gold Volcano Oak</t>
  </si>
  <si>
    <t>K462</t>
  </si>
  <si>
    <t>23951-1.jpg; 23951-2.jpg</t>
  </si>
  <si>
    <t>Golden Vista Oak</t>
  </si>
  <si>
    <t>K230</t>
  </si>
  <si>
    <t>24573-1.jpg; 24573-2.jpg</t>
  </si>
  <si>
    <t>Grand Oak Grey</t>
  </si>
  <si>
    <t>D4956</t>
  </si>
  <si>
    <t>23753-1.jpg; 23753-2.jpg</t>
  </si>
  <si>
    <t>Haya Nobelle</t>
  </si>
  <si>
    <t>14466-1.jpg; 14466-2.jpg</t>
  </si>
  <si>
    <t>Smart</t>
  </si>
  <si>
    <t>4186-1.jpg; 4186-2.jpg</t>
  </si>
  <si>
    <t>Highland Eiche Schwartz</t>
  </si>
  <si>
    <t>D1015</t>
  </si>
  <si>
    <t>18316-1.jpg; 18316-2.jpg</t>
  </si>
  <si>
    <t>Hightrail Pine</t>
  </si>
  <si>
    <t>K274</t>
  </si>
  <si>
    <t>19330-1.jpg; 19330-2.jpg</t>
  </si>
  <si>
    <t>Hillside Oak</t>
  </si>
  <si>
    <t>k327</t>
  </si>
  <si>
    <t>25075-1.jpg; 25075-2.jpg</t>
  </si>
  <si>
    <t>K327</t>
  </si>
  <si>
    <t>24829-1.jpg; 24829-2.jpg</t>
  </si>
  <si>
    <t>Himalaya</t>
  </si>
  <si>
    <t>D3079</t>
  </si>
  <si>
    <t>18916-1.jpg; 18916-2.jpg</t>
  </si>
  <si>
    <t>Historic Oak</t>
  </si>
  <si>
    <t>24781-1.jpg; 24781-2.jpg</t>
  </si>
  <si>
    <t>Iceberg Oak</t>
  </si>
  <si>
    <t>K336</t>
  </si>
  <si>
    <t>Variostep</t>
  </si>
  <si>
    <t>20805-1.jpg; 20805-2.jpg</t>
  </si>
  <si>
    <t>Kopfholz Natur</t>
  </si>
  <si>
    <t>D4751</t>
  </si>
  <si>
    <t>18945-1.jpg; 18945-2.jpg</t>
  </si>
  <si>
    <t>Laguna hills</t>
  </si>
  <si>
    <t>K670</t>
  </si>
  <si>
    <t>25205-1.jpg; 25205-2.jpg</t>
  </si>
  <si>
    <t>Main Oak</t>
  </si>
  <si>
    <t>K056</t>
  </si>
  <si>
    <t>20662-1.jpg; 20662-2.jpg</t>
  </si>
  <si>
    <t>Malmo</t>
  </si>
  <si>
    <t>D3584</t>
  </si>
  <si>
    <t>14735-1.jpg; 14735-2.jpg</t>
  </si>
  <si>
    <t>Manara</t>
  </si>
  <si>
    <t>25341-1.jpg; 25341-2.jpg</t>
  </si>
  <si>
    <t>Millenium Oak</t>
  </si>
  <si>
    <t>D3530</t>
  </si>
  <si>
    <t>18188-1.jpg; 18188-2.jpg</t>
  </si>
  <si>
    <t>Catwalk</t>
  </si>
  <si>
    <t>20377-1.jpg; 20377-2.jpg</t>
  </si>
  <si>
    <t>Mist Eternal Oak</t>
  </si>
  <si>
    <t>K668</t>
  </si>
  <si>
    <t>24571-1.jpg; 24571-2.jpg</t>
  </si>
  <si>
    <t>Misty Plains Oak</t>
  </si>
  <si>
    <t>K231</t>
  </si>
  <si>
    <t>24568-1.jpg; 24568-2.jpg</t>
  </si>
  <si>
    <t>Moland Nexo EG</t>
  </si>
  <si>
    <t>k639</t>
  </si>
  <si>
    <t>25204-1.jpg; 25204-2.jpg</t>
  </si>
  <si>
    <t>Montana Larche (Pinotea)</t>
  </si>
  <si>
    <t>D3068</t>
  </si>
  <si>
    <t>14168-1.jpg; 14168-2.jpg</t>
  </si>
  <si>
    <t>Morgan Oak Beige</t>
  </si>
  <si>
    <t>D40462</t>
  </si>
  <si>
    <t>Corepel</t>
  </si>
  <si>
    <t>24649-1.jpg; 24649-2.jpg</t>
  </si>
  <si>
    <t>Morgan Oak Brown</t>
  </si>
  <si>
    <t>D40482</t>
  </si>
  <si>
    <t>24651-1.jpg; 24651-2.jpg</t>
  </si>
  <si>
    <t>Morgan Oak Nature</t>
  </si>
  <si>
    <t>D40442</t>
  </si>
  <si>
    <t>24647-1.jpg; 24647-2.jpg</t>
  </si>
  <si>
    <t>Morgan Oak Silver</t>
  </si>
  <si>
    <t>D40472</t>
  </si>
  <si>
    <t>24650-1.jpg; 24650-2.jpg</t>
  </si>
  <si>
    <t>Morgan Oak Toffee</t>
  </si>
  <si>
    <t>D40452</t>
  </si>
  <si>
    <t>24648-1.jpg; 24648-2.jpg</t>
  </si>
  <si>
    <t>Mountain Spruce Sepia</t>
  </si>
  <si>
    <t>Mammut</t>
  </si>
  <si>
    <t>14482-1.jpg; 14482-2.jpg</t>
  </si>
  <si>
    <t>Nebraska Oak</t>
  </si>
  <si>
    <t>P1209</t>
  </si>
  <si>
    <t>24178-1.jpg; 24178-2.jpg</t>
  </si>
  <si>
    <t>Nogal Rojo</t>
  </si>
  <si>
    <t>D725</t>
  </si>
  <si>
    <t>5263-1.jpg; 5263-2.jpg</t>
  </si>
  <si>
    <t>Norfolk Oak</t>
  </si>
  <si>
    <t>D80592</t>
  </si>
  <si>
    <t>24654-1.jpg; 24654-2.jpg</t>
  </si>
  <si>
    <t>Norfolk Oak Beige</t>
  </si>
  <si>
    <t>D80582</t>
  </si>
  <si>
    <t>24653-1.jpg; 24653-2.jpg</t>
  </si>
  <si>
    <t>Norfolk Oak Bronze</t>
  </si>
  <si>
    <t>D80622</t>
  </si>
  <si>
    <t>24656-1.jpg; 24656-2.jpg</t>
  </si>
  <si>
    <t>Norfolk Oak Brown</t>
  </si>
  <si>
    <t>D80602</t>
  </si>
  <si>
    <t>24655-1.jpg; 24655-2.jpg</t>
  </si>
  <si>
    <t>Norfolk Oak White</t>
  </si>
  <si>
    <t>D80572</t>
  </si>
  <si>
    <t>24652-1.jpg; 24652-2.jpg</t>
  </si>
  <si>
    <t>Nussbaum Palazzo</t>
  </si>
  <si>
    <t>D4757</t>
  </si>
  <si>
    <t>18277-1.jpg; 18277-2.jpg</t>
  </si>
  <si>
    <t>Oak Faro</t>
  </si>
  <si>
    <t>S354</t>
  </si>
  <si>
    <t>25208-1.jpg; 25208-2.jpg</t>
  </si>
  <si>
    <t>Oak Queens hb</t>
  </si>
  <si>
    <t>25284-1.jpg; 25284-2.jpg</t>
  </si>
  <si>
    <t>Oak Sand hb</t>
  </si>
  <si>
    <t>25283-1.jpg; 25283-2.jpg</t>
  </si>
  <si>
    <t>Oak Taylor</t>
  </si>
  <si>
    <t>25082-1.jpg; 25082-2.jpg</t>
  </si>
  <si>
    <t>Oak Tradition hb</t>
  </si>
  <si>
    <t>25282-1.jpg; 25282-2.jpg</t>
  </si>
  <si>
    <t>Oak White</t>
  </si>
  <si>
    <t>R1215</t>
  </si>
  <si>
    <t>23564-1.jpg; 23564-2.jpg</t>
  </si>
  <si>
    <t>D2951</t>
  </si>
  <si>
    <t>19376-1.jpg; 19376-2.jpg</t>
  </si>
  <si>
    <t>Orion</t>
  </si>
  <si>
    <t>8+2</t>
  </si>
  <si>
    <t>23806-1.jpg; 23806-2.jpg</t>
  </si>
  <si>
    <t>Pacana Silverton</t>
  </si>
  <si>
    <t>Titan</t>
  </si>
  <si>
    <t>18350-1.jpg; 18350-2.jpg</t>
  </si>
  <si>
    <t>Pandora</t>
  </si>
  <si>
    <t>24868-1.jpg; 24868-2.jpg</t>
  </si>
  <si>
    <t>Pesaro Zement punta Azul</t>
  </si>
  <si>
    <t>D4739</t>
  </si>
  <si>
    <t>23570-1.jpg; 23570-2.jpg</t>
  </si>
  <si>
    <t>Pesaro Zement punta verde</t>
  </si>
  <si>
    <t>23555-1.jpg; 23555-2.jpg</t>
  </si>
  <si>
    <t>Pine Aged</t>
  </si>
  <si>
    <t>u$d</t>
  </si>
  <si>
    <t>5622-1.jpg; 5622-2.jpg</t>
  </si>
  <si>
    <t>Pine Gris Antique</t>
  </si>
  <si>
    <t>D8812</t>
  </si>
  <si>
    <t>18240-1.jpg; 18240-2.jpg</t>
  </si>
  <si>
    <t>Pine Rustic</t>
  </si>
  <si>
    <t>FB064</t>
  </si>
  <si>
    <t>24414-1.jpg; 24414-2.jpg</t>
  </si>
  <si>
    <t>Pino Ponderosa</t>
  </si>
  <si>
    <t>Modern</t>
  </si>
  <si>
    <t>19021-1.jpg; 19021-2.jpg</t>
  </si>
  <si>
    <t>Play</t>
  </si>
  <si>
    <t>D6407</t>
  </si>
  <si>
    <t>23573-1.jpg; 23573-2.jpg</t>
  </si>
  <si>
    <t>Premiun Oak Braun</t>
  </si>
  <si>
    <t>D4957</t>
  </si>
  <si>
    <t>24385-1.jpg; 24385-2.jpg</t>
  </si>
  <si>
    <t>Prestige Oak Dark</t>
  </si>
  <si>
    <t>19378-1.jpg; 19378-2.jpg</t>
  </si>
  <si>
    <t>Pulse</t>
  </si>
  <si>
    <t>24934-1.jpg; 24934-2.jpg</t>
  </si>
  <si>
    <t>Red River Hickory</t>
  </si>
  <si>
    <t>24827-1.jpg; 24827-2.jpg</t>
  </si>
  <si>
    <t>Relic Oak</t>
  </si>
  <si>
    <t>K066</t>
  </si>
  <si>
    <t>19327-1.jpg; 19327-2.jpg</t>
  </si>
  <si>
    <t>Rip Oak Weib</t>
  </si>
  <si>
    <t>19385-1.jpg; 19385-2.jpg</t>
  </si>
  <si>
    <t>Roble Cal</t>
  </si>
  <si>
    <t>12070-1.jpg; 12070-2.jpg</t>
  </si>
  <si>
    <t>Roble Canmore</t>
  </si>
  <si>
    <t>D1418</t>
  </si>
  <si>
    <t>24775-1.jpg; 24775-2.jpg</t>
  </si>
  <si>
    <t>Roble Capital Medium</t>
  </si>
  <si>
    <t>12073-1.jpg; 12073-2.jpg</t>
  </si>
  <si>
    <t>Roble Capital Nature</t>
  </si>
  <si>
    <t>12072-1.jpg; 12072-2.jpg</t>
  </si>
  <si>
    <t>Roble Century Beige</t>
  </si>
  <si>
    <t>D4176</t>
  </si>
  <si>
    <t>22567-1.jpg; 22567-2.jpg</t>
  </si>
  <si>
    <t>Roble Century Brown</t>
  </si>
  <si>
    <t>19022-1.jpg; 19022-2.jpg</t>
  </si>
  <si>
    <t>Roble Chantilly</t>
  </si>
  <si>
    <t>18351-1.jpg; 18351-2.jpg</t>
  </si>
  <si>
    <t>Roble Cutter</t>
  </si>
  <si>
    <t>18943-1.jpg; 18943-2.jpg</t>
  </si>
  <si>
    <t>Roble Dark Brown Milenium</t>
  </si>
  <si>
    <t>17776-1.jpg; 17776-2.jpg</t>
  </si>
  <si>
    <t>Roble Dezent</t>
  </si>
  <si>
    <t>19189-1.jpg; 19189-2.jpg</t>
  </si>
  <si>
    <t>Roble Earthen</t>
  </si>
  <si>
    <t>K233</t>
  </si>
  <si>
    <t>My Art</t>
  </si>
  <si>
    <t>19011-1.jpg; 19011-2.jpg</t>
  </si>
  <si>
    <t>Roble Flaxen</t>
  </si>
  <si>
    <t>D4283</t>
  </si>
  <si>
    <t>19003-1.jpg; 19003-2.jpg</t>
  </si>
  <si>
    <t>Roble Gala Weib</t>
  </si>
  <si>
    <t>Exquisit Ancho</t>
  </si>
  <si>
    <t>18947-1.jpg; 18947-2.jpg</t>
  </si>
  <si>
    <t>Roble Hacienda Beige</t>
  </si>
  <si>
    <t>D2957</t>
  </si>
  <si>
    <t>18942-1.jpg; 18942-2.jpg</t>
  </si>
  <si>
    <t>Roble Harbour</t>
  </si>
  <si>
    <t>14759-1.jpg; 14759-2.jpg</t>
  </si>
  <si>
    <t xml:space="preserve">Roble Harbour  </t>
  </si>
  <si>
    <t>14691-1.jpg; 14691-2.jpg</t>
  </si>
  <si>
    <t>Roble Harbour Grey</t>
  </si>
  <si>
    <t>15976-1.jpg; 15976-2.jpg</t>
  </si>
  <si>
    <t>18180-1.jpg; 18180-2.jpg</t>
  </si>
  <si>
    <t>Roble Hella</t>
  </si>
  <si>
    <t>16999-1.jpg; 16999-2.jpg</t>
  </si>
  <si>
    <t>Roble Lujo Plata</t>
  </si>
  <si>
    <t>18030-1.jpg; 18030-2.jpg</t>
  </si>
  <si>
    <t>Roble Major Gris</t>
  </si>
  <si>
    <t>15668-1.jpg; 15668-2.jpg</t>
  </si>
  <si>
    <t>Roble Misty</t>
  </si>
  <si>
    <t>19008-1.jpg; 19008-2.jpg</t>
  </si>
  <si>
    <t>Roble Prestigue Claro</t>
  </si>
  <si>
    <t>14165-1.jpg; 14165-2.jpg</t>
  </si>
  <si>
    <t>Roble Stirling Pure</t>
  </si>
  <si>
    <t>11687-1.jpg; 11687-2.jpg</t>
  </si>
  <si>
    <t>Roble Sutter</t>
  </si>
  <si>
    <t>Advance</t>
  </si>
  <si>
    <t xml:space="preserve">no </t>
  </si>
  <si>
    <t>21904-1.jpg; 21904-2.jpg</t>
  </si>
  <si>
    <t>Roble Trend Blanco</t>
  </si>
  <si>
    <t>22596-1.jpg; 22596-2.jpg</t>
  </si>
  <si>
    <t>Roble Trend Brown</t>
  </si>
  <si>
    <t>20522-1.jpg; 20522-2.jpg</t>
  </si>
  <si>
    <t>Roble Trend Dark Grey</t>
  </si>
  <si>
    <t>D3127</t>
  </si>
  <si>
    <t>24776-1.jpg; 24776-2.jpg</t>
  </si>
  <si>
    <t>Roble Trend Grey</t>
  </si>
  <si>
    <t>D3126</t>
  </si>
  <si>
    <t>20222-1.jpg; 20222-2.jpg</t>
  </si>
  <si>
    <t>Roble Trend Gris</t>
  </si>
  <si>
    <t>24777-1.jpg; 24777-2.jpg</t>
  </si>
  <si>
    <t>Roble Trend Rot</t>
  </si>
  <si>
    <t>22599-1.jpg; 22599-2.jpg</t>
  </si>
  <si>
    <t xml:space="preserve">Roble Trend Rot </t>
  </si>
  <si>
    <t>19373-1.jpg; 19373-2.jpg</t>
  </si>
  <si>
    <t>Rock Ridge Oak</t>
  </si>
  <si>
    <t>D4009</t>
  </si>
  <si>
    <t>24405-1.jpg; 24405-2.jpg</t>
  </si>
  <si>
    <t>Rusty Barnwood</t>
  </si>
  <si>
    <t>k061</t>
  </si>
  <si>
    <t>19340-1.jpg; 19340-2.jpg</t>
  </si>
  <si>
    <t>Salt Lake Oak</t>
  </si>
  <si>
    <t>19321-1.jpg; 19321-2.jpg</t>
  </si>
  <si>
    <t>San Diego</t>
  </si>
  <si>
    <t>19320-1.jpg; 19320-2.jpg</t>
  </si>
  <si>
    <t>Shark Pine</t>
  </si>
  <si>
    <t>K229</t>
  </si>
  <si>
    <t>19009-1.jpg; 19009-2.jpg</t>
  </si>
  <si>
    <t>Sherwood Oak</t>
  </si>
  <si>
    <t>20708-1.jpg; 20708-2.jpg</t>
  </si>
  <si>
    <t>Shire Oak</t>
  </si>
  <si>
    <t>Super natural Narrow</t>
  </si>
  <si>
    <t>19338-1.jpg; 19338-2.jpg</t>
  </si>
  <si>
    <t>Sienna Montreux</t>
  </si>
  <si>
    <t>K649</t>
  </si>
  <si>
    <t>25076-1.jpg; 25076-2.jpg</t>
  </si>
  <si>
    <t>Silver Shadow Oak</t>
  </si>
  <si>
    <t>K325</t>
  </si>
  <si>
    <t>24413-1.jpg; 24413-2.jpg</t>
  </si>
  <si>
    <t>Silverdale Oak</t>
  </si>
  <si>
    <t>K451</t>
  </si>
  <si>
    <t>24828-1.jpg; 24828-2.jpg</t>
  </si>
  <si>
    <t>25077-1.jpg; 25077-2.jpg</t>
  </si>
  <si>
    <t>Skydive Oak</t>
  </si>
  <si>
    <t>K396</t>
  </si>
  <si>
    <t>24644-1.jpg; 24644-2.jpg</t>
  </si>
  <si>
    <t>Smart Kastanie</t>
  </si>
  <si>
    <t>R1218</t>
  </si>
  <si>
    <t>23767-1.jpg; 23767-2.jpg</t>
  </si>
  <si>
    <t>Smile</t>
  </si>
  <si>
    <t>D6406</t>
  </si>
  <si>
    <t>23572-1.jpg; 23572-2.jpg</t>
  </si>
  <si>
    <t>Solar Oak</t>
  </si>
  <si>
    <t>K405</t>
  </si>
  <si>
    <t>24392-1.jpg; 24392-2.jpg</t>
  </si>
  <si>
    <t>Spirit Oak</t>
  </si>
  <si>
    <t>24698-1.jpg; 24698-2.jpg</t>
  </si>
  <si>
    <t>Steelworks Oak</t>
  </si>
  <si>
    <t>K287</t>
  </si>
  <si>
    <t>24830-1.jpg; 24830-2.jpg</t>
  </si>
  <si>
    <t>Sterling Asian Oak</t>
  </si>
  <si>
    <t>19332-1.jpg; 19332-2.jpg</t>
  </si>
  <si>
    <t>Street Level</t>
  </si>
  <si>
    <t>k070</t>
  </si>
  <si>
    <t>19329-1.jpg; 19329-2.jpg</t>
  </si>
  <si>
    <t>Sudance Oak</t>
  </si>
  <si>
    <t>K326</t>
  </si>
  <si>
    <t>25083-1.jpg; 25083-2.jpg</t>
  </si>
  <si>
    <t>Sylt Fineline</t>
  </si>
  <si>
    <t>D8494</t>
  </si>
  <si>
    <t>18239-1.jpg; 18239-2.jpg</t>
  </si>
  <si>
    <t>Teca Bali</t>
  </si>
  <si>
    <t>mv865</t>
  </si>
  <si>
    <t>24190-1.jpg; 24190-2.jpg</t>
  </si>
  <si>
    <t>Teca Borneo</t>
  </si>
  <si>
    <t>5412-1.jpg; 5412-2.jpg</t>
  </si>
  <si>
    <t xml:space="preserve">Tessin Chesnut </t>
  </si>
  <si>
    <t>R1017</t>
  </si>
  <si>
    <t>23552-1.jpg; 23552-2.jpg</t>
  </si>
  <si>
    <t>Tessin Chesnut Nature</t>
  </si>
  <si>
    <t>R1018</t>
  </si>
  <si>
    <t>23544-1.jpg; 23544-2.jpg</t>
  </si>
  <si>
    <t>Ticino Walnut</t>
  </si>
  <si>
    <t>D1440</t>
  </si>
  <si>
    <t>22597-1.jpg; 22597-2.jpg</t>
  </si>
  <si>
    <t>Tornado Oak</t>
  </si>
  <si>
    <t>K395</t>
  </si>
  <si>
    <t>24782-1.jpg; 24782-2.jpg</t>
  </si>
  <si>
    <t>Visby</t>
  </si>
  <si>
    <t>D4708</t>
  </si>
  <si>
    <t>23568-1.jpg; 23568-2.jpg</t>
  </si>
  <si>
    <t>Waveless Oak White</t>
  </si>
  <si>
    <t>19377-1.jpg; 19377-2.jpg</t>
  </si>
  <si>
    <t>Wheat Conforth Oah</t>
  </si>
  <si>
    <t>k638</t>
  </si>
  <si>
    <t>25079-1.jpg; 25079-2.jpg</t>
  </si>
  <si>
    <t xml:space="preserve">Wild </t>
  </si>
  <si>
    <t>M8112</t>
  </si>
  <si>
    <t>23575-1.jpg; 23575-2.jpg</t>
  </si>
  <si>
    <t>Wild West Oak</t>
  </si>
  <si>
    <t>K224</t>
  </si>
  <si>
    <t>24391-1.jpg; 24391-2.jpg</t>
  </si>
  <si>
    <t>Winter Eiche Nature</t>
  </si>
  <si>
    <t>D5261</t>
  </si>
  <si>
    <t>20517-1.jpg; 20517-2.jpg</t>
  </si>
  <si>
    <t>Wolfsback Oak</t>
  </si>
  <si>
    <t>K268</t>
  </si>
  <si>
    <t>19325-1.jpg; 19325-2.jpg</t>
  </si>
  <si>
    <t>Wood Tegernsee Oak</t>
  </si>
  <si>
    <t>K663</t>
  </si>
  <si>
    <t>25209-1.jpg; 25209-2.jpg</t>
  </si>
  <si>
    <t>Acabado</t>
  </si>
  <si>
    <t>Terminacion</t>
  </si>
  <si>
    <t>U.M.</t>
  </si>
  <si>
    <t>Porcelanatos</t>
  </si>
  <si>
    <t>Mate</t>
  </si>
  <si>
    <t>Rectificado</t>
  </si>
  <si>
    <t>Brasil</t>
  </si>
  <si>
    <t>Acacia White</t>
  </si>
  <si>
    <t>-</t>
  </si>
  <si>
    <t>Itagres</t>
  </si>
  <si>
    <t>Simil Madera</t>
  </si>
  <si>
    <t>Apto Exterior</t>
  </si>
  <si>
    <t xml:space="preserve">22571-1.jpg; 22571-2.jpg </t>
  </si>
  <si>
    <t>El Porcelanato Acacia White es un revestimiento de alto tránsito con una estética símil madera minimalista en color blanco nórdico. Viene en formato de listón alargado y cuenta con un acabado mate satinado suave al tacto que disimula perfectamente las pisadas. Sus bordes son 100% rectificados, lo que permite una colocación con juntas mínimas para lograr un piso continuo, luminoso y elegante</t>
  </si>
  <si>
    <t>Alamo Natural</t>
  </si>
  <si>
    <t>22573-1.jpg; 22573-2.jpg</t>
  </si>
  <si>
    <t>El Porcelanato Alamo Natural es un revestimiento de alto tránsito residencial y comercial esmaltado símil madera. Su diseño ofrece un color marrón claro o beige orgánico con definición Full HD, complementado por un acabado mate satinado suave y cantos 100% rectificados para juntas mínimas.</t>
  </si>
  <si>
    <t>Murcia Grey</t>
  </si>
  <si>
    <t>22572-1.jpg; 22572-2.jpg</t>
  </si>
  <si>
    <t>El Porcelanato Murcia Grey (fabricado por la firma brasileña Itagres) es un revestimiento de alto tránsito con una estética símil madera en tonalidad gris moderna. Cuenta con un acabado mate texturado. Sus bordes disponen de un proceso de doble rectificado, lo que asegura una instalación con juntas mínimas y precisas para lograr un piso continuo y de estilo contemporáneo</t>
  </si>
  <si>
    <t>Avinon Honey</t>
  </si>
  <si>
    <t>22610-1.jpg; 22610-2.jpg</t>
  </si>
  <si>
    <t>El Porcelanato Avinon Honey es un revestimiento de alto tránsito con una estética símil madera premium en tono miel o caramelo cálido. Posee un acabado mate satinado de textura suave que reproduce con fidelidad el veteado orgánico de los árboles sin reflejar la luz. Cuenta con bordes 100% rectificados, lo que garantiza una colocación con uniones mínimas para lograr un piso de aspecto continuo y muy acogedor.</t>
  </si>
  <si>
    <t>Avinon Smoke</t>
  </si>
  <si>
    <t>22611-1.jpg; 22611-2.jpg</t>
  </si>
  <si>
    <t>El Porcelanato Avinon Smoke es un revestimiento de alto tránsito con una estética símil madera en una tonalidad gris humo o ceniza sofisticada. Posee un acabado mate satinado de textura suave que recrea nudos y vetas orgánicas con gran realismo, aportando un aire moderno y neutro. Cuenta con bordes 100% rectificados, lo que asegura una colocación con juntas mínimas para lograr un piso de aspecto continuo y contemporáneo.</t>
  </si>
  <si>
    <t>Avinon Gris</t>
  </si>
  <si>
    <t>22609-1.jpg; 22609-2.jpg</t>
  </si>
  <si>
    <t>El Porcelanato Avinon Gris es un revestimiento de alto tránsito con una estética símil madera en un tono gris medio neutro y equilibrado. Posee un acabado mate satinado de textura suave que imita las vetas y nudos naturales con gran fidelidad, resultando ideal para estilos nórdicos o modernos. Cuenta con bordes 100% rectificados, lo que garantiza una colocación con juntas mínimas para lograr superficies continuas de muy fácil mantenimiento.</t>
  </si>
  <si>
    <t>Aliso Rustico</t>
  </si>
  <si>
    <t>22566-1.jpg; 22566-2.jpg</t>
  </si>
  <si>
    <t>El Porcelanato Aliso Rústico es un revestimiento de alto tránsito con una estética símil madera en una tonalidad marrón tierra con gran carácter. Posee un acabado mate con textura relieve que emula las imperfecciones y el desgaste natural de la madera rústica de forma realista. Cuenta con bordes 100% rectificados, lo que garantiza una colocación con juntas mínimas para lograr un piso continuo, acogedor y de impronta campestre o industrial.</t>
  </si>
  <si>
    <t>Nogal</t>
  </si>
  <si>
    <t>22564-1.jpg; 22564-2.jpg</t>
  </si>
  <si>
    <t>El Porcelanato Itagres Nogal es un revestimiento de alto tránsito con una estética símil madera noble en tonalidad marrón café profunda. Presenta un acabado mate satinado muy suave. Cuenta con bordes de doble rectificado que aseguran juntas mínimas para lograr un piso continuo, elegante y de gran calidez.</t>
  </si>
  <si>
    <t>Polar</t>
  </si>
  <si>
    <t>22565-1.jpg; 22565-2.jpg</t>
  </si>
  <si>
    <t>El Porcelanato Itagres Polar es un piso de alta resistencia que recrea tablas de madera en un color blanco níveo ultra moderno. Se comercializa con una terminación satinada (opaca al tacto) que favorece la iluminación natural de la casa. Gracias a sus bordes rectificados, las placas se instalan casi pegadas entre sí, brindando una superficie visualmente continua, limpia y de estética escandinava.</t>
  </si>
  <si>
    <t>España</t>
  </si>
  <si>
    <t>Teka Navarra</t>
  </si>
  <si>
    <t>Grupo Halcon</t>
  </si>
  <si>
    <t>19314-1.jpg; 19314-2.jpg</t>
  </si>
  <si>
    <t>El Porcelanato Teka Navarra es un piso de alta resistencia que imita listones de madera noble en un tono marrón intermedio o miel. Se presenta  con una textura mate satinada que reproduce fielmente las vetas naturales y resulta sumamente fácil de limpiar. Sus bordes vienen 100% rectificados, lo que permite una colocación con juntas mínimas para lograr un piso continuo, cálido y elegante.</t>
  </si>
  <si>
    <t>Atelier Blanco</t>
  </si>
  <si>
    <t>19561-1.jpg; 19561-2.jpg</t>
  </si>
  <si>
    <t>El Porcelanato Atelier Blanco es un revestimiento de alto tránsito con una estética minimalista en color blanco puro. Posee un acabado mate satinado de textura suave que imita las vetas naturales de forma muy sutil, maximizando la luminosidad y la sensación de amplitud de los ambientes. Cuenta con bordes 100% rectificados, lo que garantiza una colocación con juntas mínimas para lograr un piso continuo de estilo nórdico o moderno.</t>
  </si>
  <si>
    <t>Atelier Beige</t>
  </si>
  <si>
    <t>18872-1.jpg; 18872-2.jpg</t>
  </si>
  <si>
    <t>El Porcelanato Atelier Beige es un revestimiento de alta resistencia con una estética símil madera en una tonalidad arena o crema muy cálida. Posee un acabado mate satinado de textura suave al tacto que reproduce nudos y vetas sutiles, ideal para crear ambientes acogedores y luminosos. Cuenta con bordes 100% rectificados, lo que garantiza una instalación con uniones mínimas para lograr un piso de aspecto continuo y natural.</t>
  </si>
  <si>
    <t>Atelier Natural</t>
  </si>
  <si>
    <t>18871-1.jpg; 18871-2.jpg</t>
  </si>
  <si>
    <t>El Porcelanato Atelier Natural es un revestimiento de alta resistencia con una estética símil madera en una tonalidad marrón claro u ocre orgánico. Posee un acabado mate satinado de textura suave al tacto que recrea con gran realismo las vetas y nudos de la madera en su estado más puro. Cuenta con bordes 100% rectificados, lo que garantiza una instalación con uniones mínimas para lograr un piso continuo, cálido y sumamente natural.</t>
  </si>
  <si>
    <t>Atelier Gris</t>
  </si>
  <si>
    <t>18873-1.jpg; 18873-2.jpg</t>
  </si>
  <si>
    <t>El Porcelanato Atelier Gris es un revestimiento de alta resistencia con una estética símil madera en una tonalidad gris medio moderna y neutra. Posee un acabado mate satinado de textura suave al tacto que reproduce las vetas y nudos naturales con un aire contemporáneo y sofisticado. Cuenta con bordes 100% rectificados, lo que garantiza una instalación con uniones mínimas para lograr un piso continuo, limpio y equilibrado.</t>
  </si>
  <si>
    <t>Atelier Taupe</t>
  </si>
  <si>
    <t>18874-1.jpg; 18874-2.jpg</t>
  </si>
  <si>
    <t>El Porcelanato Atelier Taupe es un revestimiento de alta resistencia con una estética símil madera en una tonalidad gris pardo o marrón grisáceo. Posee un acabado mate satinado de textura suave al tacto que fusiona la calidez de la madera con la modernidad del cemento, logrando un estilo muy sofisticado. Cuenta con bordes 100% rectificados, lo que garantiza una instalación con uniones mínimas para ofrecer un piso continuo, sobrio y equilibrado.</t>
  </si>
  <si>
    <t>Rodano Light Grey</t>
  </si>
  <si>
    <t>Keratile</t>
  </si>
  <si>
    <t>Simil Piedra</t>
  </si>
  <si>
    <t>19362-1.jpg; 19362-2.jpg</t>
  </si>
  <si>
    <r>
      <t xml:space="preserve">El Porcelanato Rodano Light Grey (fabricado por firmas españolas como </t>
    </r>
    <r>
      <rPr>
        <rFont val="&quot;Google Sans&quot;, Arial, sans-serif"/>
        <color rgb="FF1155CC"/>
        <sz val="10.0"/>
        <u/>
      </rPr>
      <t>Keratile</t>
    </r>
    <r>
      <rPr>
        <rFont val="&quot;Google Sans&quot;, Arial, sans-serif"/>
        <sz val="10.0"/>
      </rPr>
      <t xml:space="preserve"> o </t>
    </r>
    <r>
      <rPr>
        <rFont val="&quot;Google Sans&quot;, Arial, sans-serif"/>
        <color rgb="FF1155CC"/>
        <sz val="10.0"/>
        <u/>
      </rPr>
      <t>KTL Cerámica</t>
    </r>
    <r>
      <rPr>
        <rFont val="&quot;Google Sans&quot;, Arial, sans-serif"/>
        <sz val="10.0"/>
      </rPr>
      <t>) es un revestimiento de alto tránsito con una estética símil cementicia minimalista en tono gris claro. Cuenta con un acabado mate satinado de textura suave al tacto y sutiles contrastes que emulan el hormigón curado urbano. Se comercializa en múltiples formatos (como 75 cm × 75 cm y 60 cm × 120 cm) con bordes 100% rectificados, lo que garantiza uniones mínimas para lograr un piso continuo y moderno</t>
    </r>
  </si>
  <si>
    <t>Travertine Silver</t>
  </si>
  <si>
    <t>22385-1.jpg; 22385-2.jpg</t>
  </si>
  <si>
    <t>Este porcelanato de origen español recrea el mármol travertino con una elegante mezcla de tonos grises, plateados y sutiles vetas crema. Presenta bordes rectificados y un acabado mate natural ideal para espacios minimalistas de alto tránsito. Su diseño continuo aporta una gran luminosidad y un efecto pétreo muy sofisticado.</t>
  </si>
  <si>
    <t>Travertine Anthracite</t>
  </si>
  <si>
    <t>22386-1.jpg; 22386-2.jpg</t>
  </si>
  <si>
    <t>Es un modelo esmaltado de alta resistencia que imita la piedra natural en una imponente y moderna tonalidad gris oscura o antracita. Posee n bordes rectificados y un acabado mate texturado muy sobrio. Resulta perfecto para ambientes contemporáneos o industriales que buscan un piso con carácter y fácil mantenimiento.</t>
  </si>
  <si>
    <t>Dakota Grey</t>
  </si>
  <si>
    <t>22387-1.jpg; 22387-2.jpg</t>
  </si>
  <si>
    <t>Este porcelanato de fabricación europea emula de manera muy orgánica la estética del concreto suave y la piedra curada. Viene con bordes rectificados y posee un acabado mate sedoso muy agradable al tacto. Su tono gris medio neutro cuenta con sutiles degradados visuales que evitan un efecto de bloque plano.</t>
  </si>
  <si>
    <t>Luna Cooper</t>
  </si>
  <si>
    <t>Simil Cemento</t>
  </si>
  <si>
    <t>22388-1.jpg; 22388-2.jpg</t>
  </si>
  <si>
    <t>Es un piso esmaltado de alto tránsito diseñado bajo una estética industrial símil cemento pulido o concreto rústico. Destaca por su acabado mate de textura lisa y una base grisácea que revela sutiles matices metalizados en tono cobre al exponerse a la luz. Se presenta habitualmente en piezas rectificadas de 60 cm × 60 cm, perfectas para unificar interiores modernos.</t>
  </si>
  <si>
    <t>Turquia</t>
  </si>
  <si>
    <t>Marjinal Beyaz Matt White</t>
  </si>
  <si>
    <t>Qua Granite</t>
  </si>
  <si>
    <t>22390-1.jpg; 22390-2.jpg</t>
  </si>
  <si>
    <t xml:space="preserve">Este porcelanato de origen turco ofrece una estética símil cemento minimalista en color blanco tiza curado. Cuenta con un acabado completamente mate y una sutil microtextura visual que maximiza la luminosidad sin generar reflejos molestos. Sus piezas de 60 cm × 60 cm vienen rectificadas, lo que permite uniones casi invisibles ideales para el estilo nórdico. </t>
  </si>
  <si>
    <t>Outi Moka</t>
  </si>
  <si>
    <t>Prissmacer</t>
  </si>
  <si>
    <t>19365-1.jpg; 19365-2.jpg</t>
  </si>
  <si>
    <t>Es un porcelanato importado de alta resistencia que imita de forma muy realista listones alargados de madera natural. El tono Moka aporta un color marrón oscuro profundo y elegante con un acabado mate de textura suave al tacto. Viene con bordes rectificados, ideal para lograr una estética acogedora de parquet.</t>
  </si>
  <si>
    <t>Ulmo Gris</t>
  </si>
  <si>
    <t>Geotiles</t>
  </si>
  <si>
    <t>22080-1.jpg; 22080-2.jpg</t>
  </si>
  <si>
    <t>Este porcelanato español simula tablas alargadas de madera en una elegante y moderna tonalidad gris neutra. Cuenta con un acabado mate satinado y tecnología de impresión Full HD que reproduce nudos y vetas con relieve de gran realismo. Su formato de 23 cm × 120 cm es perfecto para crear espacios continuos de estilo nórdico o contemporáneo.</t>
  </si>
  <si>
    <t>Ulmo Haya</t>
  </si>
  <si>
    <t>22081-1.jpg; 22081-2.jpg</t>
  </si>
  <si>
    <t>Revestimiento de alta gama que imita listones de madera clara en un tono crema o beige suave sumamente natural. Posee un acabado mate natural que resalta la luminosidad de los ambientes y disimula de gran manera el polvo cotidiano. Viene en formato rectangular de 23 cm × 120 cm, excelente para dormitorios y livings cálidos.</t>
  </si>
  <si>
    <t>Ulmo Nogal</t>
  </si>
  <si>
    <t>22405-1.jpg; 22405-2.jpg</t>
  </si>
  <si>
    <t>Porcelanato símil madera que destaca por su refinada tonalidad marrón café o nogal intermedio con vetas orgánicas marcadas. Su formato de tabla de 23 cm × 120 cm y su acabado mate suave aportan la calidez del entablonado tradicional. Es una opción de alto tránsito residencial muy elegida por su alta durabilidad y elegancia clásica.</t>
  </si>
  <si>
    <t>Olea Silver</t>
  </si>
  <si>
    <t>22082-1.jpg; 22082-2.jpg</t>
  </si>
  <si>
    <t>Este modelo español de formato 23 cm × 120 cm emula tablas de madera en un exclusivo color gris con destellos plateados claros. Su acabado mate (superficie natural) es suave al tacto y resulta ideal para decoraciones escandinavas o minimalistas. Sus bordes limpios permiten una instalación milimétrica, logrando un piso de aspecto limpio y continuo.</t>
  </si>
  <si>
    <t>Olea Haya</t>
  </si>
  <si>
    <t>22083-1.jpg; 22083-2.jpg</t>
  </si>
  <si>
    <t>Porcelanato de alta resistencia que recrea la nobleza de la madera de haya en una tonalidad arena o beige claro muy templada. Presenta una superficie con acabado mate que potencia la luz natural del hogar y aporta una sensación de amplitud inmediata. Viene en tablas de 23 cm × 120 cm, diseñado para resistir las exigencias del tránsito diario residencial.</t>
  </si>
  <si>
    <t>Olea Miel</t>
  </si>
  <si>
    <t>22084-1.jpg; 22084-2.jpg</t>
  </si>
  <si>
    <t>Este revestimiento copia listones de madera natural en un tono caramelo o miel intermedio que brinda calidez extrema a los espacios. Su formato rectangular de 23 cm × 120 cm y su terminación mate satinada logran replicar las vetas del árbol sin reflejos artificiales. Es ideal para quienes buscan el aspecto acogedor de la madera real con la dureza del porcelanato</t>
  </si>
  <si>
    <t>Satinado</t>
  </si>
  <si>
    <t>Pleno Branco AC</t>
  </si>
  <si>
    <t>Elizabeth</t>
  </si>
  <si>
    <t>Minimalista</t>
  </si>
  <si>
    <t>Para Pared Interior</t>
  </si>
  <si>
    <t>24809-1.jpg; 24809-2.jpg</t>
  </si>
  <si>
    <t>Este revestimiento monoporoso de la marca Elizabeth está diseñado exclusivamente para paredes interiores en un color blanco puro minimalista. Posee un acabado satinado (acetinado) de tacto sedoso que refleja la luz de manera muy suave y sutil sin llegar a brillar. Se presenta en placas de 32 cm × 60 cm con bordes 100% rectificados, ideales para lograr superficies continuas y limpias en baños o cocinas.</t>
  </si>
  <si>
    <t>Brillante</t>
  </si>
  <si>
    <t>Pleno Branco BR</t>
  </si>
  <si>
    <t>24808-1.jpg; 24808-2.jpg</t>
  </si>
  <si>
    <t>Es un revestimiento exclusivo para paredes interiores que ofrece una base de color blanco puro idéntica al modelo AC pero con un acabado brillante (brilhante). Su superficie esmaltada cuenta con un reflejo cristalino de alta intensidad que multiplica la luminosidad y la sensación de amplitud en espacios reducidos. Viene en formato rectangular de 32 cm × 60 cm con bordes 100% rectificados para garantizar una colocación con juntas mínimas.</t>
  </si>
  <si>
    <t>Smooth Soft</t>
  </si>
  <si>
    <t>22893-1.jpg; 22893-2.jpg</t>
  </si>
  <si>
    <t>Este porcelanato de alto tránsito residencial imita de forma sutil la textura visual del concreto curado o cemento claro. Cuenta con un acabado satinado de tacto ultra suave (Soft) que minimiza los reflejos artificiales y disimula de gran manera el polvo cotidiano. Se presenta en placas grandes y rectificadas, ideales para crear una sensación de piso continuo y contemporáneo.</t>
  </si>
  <si>
    <t>Recoleta Off-White</t>
  </si>
  <si>
    <t>22899-1.jpg; 22899-2.jpg</t>
  </si>
  <si>
    <t>Es un revestimiento esmaltado de alto tránsito diseñado bajo una estética cementicia minimalista en un tono blanco roto o marfil. Posee un acabado satinado (acetinado) de superficie lisa y limpia que distribuye la iluminación de manera uniforme por toda la habitación. Viene en placas cuadradas 100% rectificadas, lo que permite uniones mínimas de solo 2 mm.</t>
  </si>
  <si>
    <t>Concret Plus</t>
  </si>
  <si>
    <t>22900-1.jpg; 22900-2.jpg</t>
  </si>
  <si>
    <t>Este modelo de alta resistencia se inspira en el aspecto contemporáneo y minimalista del hormigón o cemento pulido. A diferencia de otros cementicios opacos, se destaca por su acabado pulido de brillo superior, combinando la robustez urbana con un reflejo espejo lujoso. Se comercializa en grandes formatos rectificados aptos exclusivamente para unificar ambientes interiores.</t>
  </si>
  <si>
    <t>22799-1.jpg; 22799-2.jpg</t>
  </si>
  <si>
    <t>22895-1.jpg; 22895-2.jpg</t>
  </si>
  <si>
    <t>Cordoba Gray</t>
  </si>
  <si>
    <t>23063-1.jpg; 23063-2.jpg</t>
  </si>
  <si>
    <t>Es un revestimiento esmaltado de alta resistencia mecánica diseñado con la estética de un concreto neutro en gris medio. Posee una terminación satinada o mate natural que ofrece una textura lisa y sedosa, ideal para disimular perfectamente las pisadas diarias. Sus placas cuadradas incorporan bordes rectificados para facilitar una colocación sumamente prolija.</t>
  </si>
  <si>
    <t>Las Leñas</t>
  </si>
  <si>
    <t>Simil Marmol</t>
  </si>
  <si>
    <t>23518-1.jpg; 23518-2.jpg</t>
  </si>
  <si>
    <t>Es un revestimiento de lujo que emula la pureza clásica del mármol Carrara sobre una base blanca o marfil clara. Se caracteriza por su acabado pulido de alto brillo que genera un nítido reflejo tipo espejo para maximizar la luz interna. Sus placas cuadradas vienen rectificadas de fábrica, limitando su instalación exclusivamente a pisos de áreas secas interiores.</t>
  </si>
  <si>
    <t>24807-1.jpg; 24807-2.jpg</t>
  </si>
  <si>
    <t>22894-1.jpg; 22894-2.jpg</t>
  </si>
  <si>
    <t>Mendoza</t>
  </si>
  <si>
    <t>22897-1.jpg; 22897-2.jpg</t>
  </si>
  <si>
    <t>Este porcelanato de alta gama se inspira en el sofisticado y exclusivo mármol negro del tipo Noir Saint Laurent. Posee un acabado pulido brillante (alto brillo) que resalta con gran elegancia sus vetas blancas o doradas sobre el fondo oscuro. Sus bordes están totalmente rectificados, siendo un diseño ideal para livings o recepciones de gran carácter.</t>
  </si>
  <si>
    <t>23519-1.jpg; 23519-2.jpg</t>
  </si>
  <si>
    <t>Marmo Grigio</t>
  </si>
  <si>
    <t>24800-1.jpg; 24800-2.jpg</t>
  </si>
  <si>
    <t>Revestimiento de alto tránsito residencial que copia fielmente la textura gráfica y la elegancia de las canteras de mármol gris. Cuenta con un acabado pulido de alta definición que le otorga una superficie lisa, reflectante y un imponente brillo de efecto espejo. Se comercializa con cantos rectificados, diseñado con el fin de aportar prestancia y sofisticación a los interiores.</t>
  </si>
  <si>
    <t>Nieve</t>
  </si>
  <si>
    <t>24801-1.jpg; 24801-2.jpg</t>
  </si>
  <si>
    <t>Porcelanato purista de alto tránsito residencial caracterizado por un color blanco pleno y una apariencia uniforme sin vetas. Su superficie cuenta con un acabado pulido mecánico (alto brillo) que multiplica de forma drástica la iluminación de las salas. Viene rectificado para lograr un efecto visual de "piso infinito" apto únicamente para zonas de interior.</t>
  </si>
  <si>
    <t>Smooth Cream</t>
  </si>
  <si>
    <t>22892-1.jpg; 22892-2.jpg</t>
  </si>
  <si>
    <t>Comparte la tecnología cementicia de la línea Smooth pero suavizada bajo un tono crema o marfil sumamente cálido. Su acabado satinado mate natural ofrece una textura sedosa al tacto que no acusa huellas de pisadas ni marcas de agua. Viene en placas rectangulares grandes y rectificadas, idóneo para crear espacios templados y luminosos.</t>
  </si>
  <si>
    <t>24804-1.jpg; 24804-2.jpg</t>
  </si>
  <si>
    <t>Statuario Venato</t>
  </si>
  <si>
    <t>22995-1.jpg; 22995-2.jpg</t>
  </si>
  <si>
    <t>Este revestimiento premium reproduce con exactitud el patrón del mármol estatuario europeo con vetas grises gruesas y profundas. Se destaca por su acabado pulido brillante (alto brillo) que produce un reflejo tipo espejo de gran nitidez y elegancia. Viene en placas grandes cuadradas y rectificadas, concebido para revestir pisos residenciales de alta gama.</t>
  </si>
  <si>
    <t>Portoro</t>
  </si>
  <si>
    <t>23062-1.jpg; 23062-2.jpg</t>
  </si>
  <si>
    <t>Pieza de diseño audaz que rinde homenaje a un mármol negro profundo cruzado por dinámicas vetas doradas y blancas. Presenta un acabado pulido de alto brillo que genera un drástico contraste tridimensional y actúa como espejo ante la luz ambiental. Sus placas rectangulares grandes vienen rectificadas, pensadas para lograr un gran impacto escenográfico.</t>
  </si>
  <si>
    <t>Gris Picasso</t>
  </si>
  <si>
    <t>23064-1.jpg; 23064-2.jpg</t>
  </si>
  <si>
    <t>Este modelo de primera calidad recrea la gráfica artística del mármol clásico en una refinada tonalidad grisácea. Dispone de un acabado esmaltado pulido (brillante) de textura lisa que aporta mucha luminosidad y realza la decoración circundante. Posee bordes rectificados y está configurado en un formato rectangular estilizado para pisos o paredes interiores.</t>
  </si>
  <si>
    <t>Wien</t>
  </si>
  <si>
    <t>23065-1.jpg; 23065-2.jpg</t>
  </si>
  <si>
    <t>Porcelanato de alta gama inspirado en la estética clásica marmolada en un tono beige o marfil sumamente suave. Cuenta con un acabado pulido brillante y liso que añade amplitud visual y sofisticación a ambientes residenciales de alto tránsito. Sus placas rectangulares se encuentran rectificadas para garantizar una colocación milimétrica con juntas mínimas.</t>
  </si>
  <si>
    <t>La Plata Nude</t>
  </si>
  <si>
    <t>24913-1.jpg; 24913-2.jpg</t>
  </si>
  <si>
    <t>Este porcelanato premium imita la estética uniforme de una piedra natural caliza en un color beige o nude acogedor. Se caracteriza por su acabado pulido brillante (alto brillo) de efecto espejo que aporta toda la luminosidad clara sin caer en la frialdad. Se presenta en piezas rectangulares grandes y rectificadas, indicadas únicamente para interiores.</t>
  </si>
  <si>
    <t>La Plata Gris</t>
  </si>
  <si>
    <t>24912-1.jpg; 24912-2.jpg</t>
  </si>
  <si>
    <t>Revestimiento premium que copia el diseño homogéneo de la piedra pulida natural en una base de tonalidad grisácea moderna. Cuenta con un acabado pulido de brillo superior que genera un reflejo tipo espejo de alta definición para multiplicar la luz. Viene en formato rectangular de 60 cm × 120 cm con cantos rectificados para juntas casi imperceptibles.</t>
  </si>
  <si>
    <t>Onyx</t>
  </si>
  <si>
    <t>24914-1.jpg; 24914-2.jpg</t>
  </si>
  <si>
    <t>Este revestimiento premium imita las capas minerales y la translucidez de la piedra semipreciosa u ónix claro. Presenta un acabado pulido de alta definición que proporciona un reflejo tipo espejo con un efecto de profundidad cristalina. Se comercializa en formatos rectangulares rectificados, ideal para vestir salones interiores con un estilo refinado y dinámico.</t>
  </si>
  <si>
    <t>Ezeiza</t>
  </si>
  <si>
    <t>25370-1.jpg; 25370-2.jpg</t>
  </si>
  <si>
    <t>Este modelo de gran formato cuadrado (90 cm × 90 cm) recrea la imponente estética del hormigón visto o cemento curado urbano. Presenta un acabado aceitado (satinado / mate "Ace") de tacto sedoso y sobrio que no genera reflejos molestos bajo luz directa. Al contar con bordes rectificados, reduce drásticamente las juntas visuales en áreas amplias.</t>
  </si>
  <si>
    <t>Antideslizante</t>
  </si>
  <si>
    <t>Batea EXT</t>
  </si>
  <si>
    <t>25368-1.jpg; 25368-2.jpg</t>
  </si>
  <si>
    <t>Porcelanato premium de alto tránsito diseñado bajo una estética símil piedra natural con variaciones de tono muy orgánicas. Su característica principal es su acabado exterior esmaltado (EXT), que le aporta una textura rugosa firmemente antideslizante para áreas húmedas. Es la alternativa perfecta y rectificada para revestir patios, terrazas expuestas y galerías abiertas.</t>
  </si>
  <si>
    <t>Provinciano</t>
  </si>
  <si>
    <t>25371-1.jpg; 25371-2.jpg</t>
  </si>
  <si>
    <t>Es un revestimiento de gran formato (90 cm × 90 cm) que emula la gráfica texturada del cemento alisado o concreto curado. Cuenta con una superficie aceitada (satinada / mate "Ace") de tacto sumamente homogéneo que disimula muy bien las manchas cotidianas. Al ser 100% rectificado, simplifica la colocación con juntas invisibles para generar un efecto de amplitud.</t>
  </si>
  <si>
    <t>Prunus Cerejeira</t>
  </si>
  <si>
    <t>25388-1.jpg; 25388-2.jpg</t>
  </si>
  <si>
    <t>Porcelanato símil madera premium inspirado en el tono caramelo o miel intermedio de la madera de cerezo. Posee un acabado satinado mate de tacto natural (AC) y una superficie lisa que no refleja la luz artificial de forma directa. Se comercializa en tablas alargadas y rectificadas que recrean a la perfección un entablonado de parquet real.</t>
  </si>
  <si>
    <t>Criciuma Beige</t>
  </si>
  <si>
    <t>25387-1.jpg; 25387-2.jpg</t>
  </si>
  <si>
    <t>Este piso recrea fielmente tablas de madera natural en un tono beige o arena claro sumamente ameno y moderno. Cuenta con un acabado satinado de tacto suave (AC) que resulta muy fácil de mantener y resiste perfectamente el tránsito intenso. Viene en formato listón de 19.7 cm × 120 cm con bordes rectificados para colocaciones creativas</t>
  </si>
  <si>
    <t>Pietra Niquel</t>
  </si>
  <si>
    <t>25378-1.jpg; 25378-2.jpg</t>
  </si>
  <si>
    <t>Este modelo fusiona la pureza de las rocas naturales con una tonalidad gris níquel de sutil tendencia metalizada e industrial. Dispone de un acabado satinado mate ("Ace") de textura lisa que anula los reflejos directos y es sumamente fácil de limpiar. Se comercializa en placas grandes de 90 cm × 90 cm con bordes rectificados para un calce milimétrico.</t>
  </si>
  <si>
    <t>Palermo</t>
  </si>
  <si>
    <t>25369-1.jpg; 25369-2.jpg</t>
  </si>
  <si>
    <t>Porcelanato de alto tránsito que reproduce de manera realista la microtextura y las variantes tonales del concreto urbano. Su superficie ofrece un acabado satinado mate (AC) completamente opaco, sobrio y sedoso que resguarda el suelo de huellas marcadas. Viene en placas cuadradas de 90 cm × 90 cm rectificadas para lograr superficies sumamente limpias.</t>
  </si>
  <si>
    <t>Rosario</t>
  </si>
  <si>
    <t>22898-1.jpg; 22898-2.jpg</t>
  </si>
  <si>
    <t>Porcelanato que copia la superficie fina del mármol crema o caliza en una base marfil decorada con vetas muy sutiles. Se distingue por su acabado pulido brillante (alto brillo) de efecto espejo que aporta distinción sin recargar visualmente el espacio. Viene en placas cuadradas grandes y rectificadas, sugerido exclusivamente para el diseño de zonas interiores secas.</t>
  </si>
  <si>
    <t>Volakas</t>
  </si>
  <si>
    <t>23061-1.jpg; 23061-2.jpg</t>
  </si>
  <si>
    <t>Reproduce el diseño del exclusivo mármol griego homónimo a través de vetas diagonales fluidas en tonos grises y grafito. Cuenta con un acabado pulido mecánico de alto brillo que actúa reflejando la iluminación y estilizando los ambientes de forma natural. Sus piezas rectangulares vienen rectificadas para asegurar un calce prolijo de mínimas uniones.</t>
  </si>
  <si>
    <t>Everest</t>
  </si>
  <si>
    <t>24798-1.jpg; 24798-2.jpg</t>
  </si>
  <si>
    <t>Inspirado en la pureza de las cumbres, este porcelanato es un símil mármol de base blanca limpia con vetas grises muy tenues. Posee un acabado pulido brillante (alto brillo) que genera un reflejo nítido y despejado, ideal para proyectos modernos y minimalistas. Se distribuye en placas cuadradas grandes y rectificadas que reducen la presencia de uniones.</t>
  </si>
  <si>
    <t>Ouro Branco</t>
  </si>
  <si>
    <t>24802-1.jpg; 24802-2.jpg</t>
  </si>
  <si>
    <t>Modelo de alta gama que emula mármoles exóticos mediante una base blanca pura matizada con vetas fluidas en tono oro y ámbar. Su acabado pulido mecánico (alto brillo) brinda un reflejo tipo espejo que potencia de manera notable la calidez interna del hogar. Sus cantos están 100% rectificados, asegurando un encaje milimétrico de aspecto continuo.</t>
  </si>
  <si>
    <t>Ouro Negro</t>
  </si>
  <si>
    <t>24805-1.jpg; 24805-2.jpg</t>
  </si>
  <si>
    <t>Este porcelanato de lujo recrea un mármol oscuro exótico con una base negra intensa cruzada por vetas doradas metalizadas. Cuenta con un acabado pulido brillante de alta definición que le otorga un reflejo tipo espejo sumamente elegante, profundo y llamativo. Sus placas grandes vienen rectificadas, destinadas a ser el centro de atención en muros y pisos interiores.</t>
  </si>
  <si>
    <t>Cristal</t>
  </si>
  <si>
    <t>24803-1.jpg; 24803-2.jpg</t>
  </si>
  <si>
    <t>Inspirado en el movimiento ondulado marino, este modelo simula un mármol claro con veios extremadamente delgados y armónicos. Se comercializa en acabados pulido brillante (efecto espejo) o satinado mate suave, adaptándose tanto al lujo como a la practicidad. Dispone de grandes formatos rectificados que garantizan superficies visualmente integradas.</t>
  </si>
  <si>
    <t>Brasilia</t>
  </si>
  <si>
    <t>24806-1.jpg; 24806-2.jpg</t>
  </si>
  <si>
    <t xml:space="preserve">Accesorios </t>
  </si>
  <si>
    <t>Adhesivos</t>
  </si>
  <si>
    <t>Nacional</t>
  </si>
  <si>
    <t>Pegamento Weber Forte</t>
  </si>
  <si>
    <t>92-0120</t>
  </si>
  <si>
    <t>Weber</t>
  </si>
  <si>
    <t>kg</t>
  </si>
  <si>
    <t>$</t>
  </si>
  <si>
    <t>19432-1.jpg</t>
  </si>
  <si>
    <t>Pegamento Weber Pro</t>
  </si>
  <si>
    <t>92-0101</t>
  </si>
  <si>
    <t>24179-1.jpg</t>
  </si>
  <si>
    <t>Pegamento Weber Porcelanato Flex</t>
  </si>
  <si>
    <t>92-0125</t>
  </si>
  <si>
    <t>19434-1.jpg</t>
  </si>
  <si>
    <t>El Pegamento Weber Porcelanato Flex es una mezcla adhesiva flexible de alta adherencia diseñada para la colocación de piezas de baja absorción en exteriores y sobre pisos radiantes. Su fórmula impermeable con tecnología de fácil nivelación y cero hundimiento es ideal para instalar cerámicas y porcelanatos de grandes formatos o tipo tabla en superficies expuestas a cambios térmicos. Se presenta en bolsas de 25 kg con un tiempo de corrección de 30 minutos y un rendimiento aproximado de 5 m2.</t>
  </si>
  <si>
    <t>Pegamento Weber piso Sobre Piso 12h</t>
  </si>
  <si>
    <t>92-0141</t>
  </si>
  <si>
    <t>19435-1.jpg</t>
  </si>
  <si>
    <t>Pegamento Weber Porcelanato SuperFlex</t>
  </si>
  <si>
    <t>19458-1.jpg</t>
  </si>
  <si>
    <t>Pastinas</t>
  </si>
  <si>
    <t>Pastina Color Antilope</t>
  </si>
  <si>
    <t>2 | 5</t>
  </si>
  <si>
    <t>19453-1.jpg</t>
  </si>
  <si>
    <t>Pastina Color Beige</t>
  </si>
  <si>
    <t>Pastina Color Ceniza</t>
  </si>
  <si>
    <t>Pastina Color Champagne</t>
  </si>
  <si>
    <t>Pastina Color Ferrico</t>
  </si>
  <si>
    <t>Pastina Color Gris Perla</t>
  </si>
  <si>
    <t>Pastina Color Hueso</t>
  </si>
  <si>
    <t>Pastina Color Madera</t>
  </si>
  <si>
    <t>Pastina Color Medano</t>
  </si>
  <si>
    <t>Pastina Color Nieve</t>
  </si>
  <si>
    <t>Pastina Color Plata</t>
  </si>
  <si>
    <t>Pastina Color Plomo</t>
  </si>
  <si>
    <t>Pastina Color Calacata</t>
  </si>
  <si>
    <t>Pastina Color Cedro</t>
  </si>
  <si>
    <t>Pastina Color Negro</t>
  </si>
  <si>
    <t>La Pastina Weber Prestige en color Negro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 Se presenta en bolsas de 2 o 5 kg con una excelente adherencia y doble consistencia para uso en pisos y paredes.</t>
  </si>
  <si>
    <t>Limpiador</t>
  </si>
  <si>
    <t>Limpiador Weber</t>
  </si>
  <si>
    <t>98-1005</t>
  </si>
  <si>
    <t>Lts.</t>
  </si>
  <si>
    <t>Tipo de Producto</t>
  </si>
  <si>
    <t>Uso</t>
  </si>
  <si>
    <t>Material</t>
  </si>
  <si>
    <t xml:space="preserve">U.M. </t>
  </si>
  <si>
    <t>Base de Tabla</t>
  </si>
  <si>
    <t>Precio por Tabla</t>
  </si>
  <si>
    <t>Precio por M2</t>
  </si>
  <si>
    <t>Precio por ml</t>
  </si>
  <si>
    <t>Imagen</t>
  </si>
  <si>
    <t>Flete</t>
  </si>
  <si>
    <t>Espacios Exterior</t>
  </si>
  <si>
    <t>Revestimiento</t>
  </si>
  <si>
    <t>Exterior</t>
  </si>
  <si>
    <t>WPC</t>
  </si>
  <si>
    <t>Max Core</t>
  </si>
  <si>
    <t>Alistonado 5 varillas</t>
  </si>
  <si>
    <t xml:space="preserve">Smoke Grey </t>
  </si>
  <si>
    <t>usd</t>
  </si>
  <si>
    <t>Perfil</t>
  </si>
  <si>
    <t>Roble</t>
  </si>
  <si>
    <t>unidad</t>
  </si>
  <si>
    <t>Maple</t>
  </si>
  <si>
    <t>Horizon</t>
  </si>
  <si>
    <t>Negro KC13D</t>
  </si>
  <si>
    <t>Revestimiento para exteriores de estética contemporánea, fabricado en WPC (Wood Plastic Composite) con tecnología Max Core, que brinda alta resistencia y durabilidad frente a las condiciones climáticas. Su terminación Horizon en color Negro KC13D aporta un estilo sofisticado y moderno, ideal para fachadas, muros y proyectos arquitectónicos que buscan diseño y bajo mantenimiento.</t>
  </si>
  <si>
    <t>Lapacho KC6</t>
  </si>
  <si>
    <t>Tabaco</t>
  </si>
  <si>
    <t>Roble Gris</t>
  </si>
  <si>
    <t>Negro</t>
  </si>
  <si>
    <t>Este perfil exterior de la marca Max Core, línea Perfil en color Negro, está fabricado en WPC (madera compuesta de polímero y fibra). Es un material duradero, resistente a la humedad y de bajo mantenimiento, diseñado como accesorio para terminaciones en proyectos de exterior. Cada unidad tiene un espesor de 40 mm, un ancho de 60 mm y un largo de 2900 mm.</t>
  </si>
  <si>
    <t>Este perfil exterior de la marca Max Core, línea Perfil en color Negro, está fabricado en WPC. Es un material duradero y resistente a la humedad, diseñado para fachadas que buscan la estética de la madera sin mantenimiento periódico. Cada unidad tiene un espesor de 50 mm, un ancho de 100 mm y un largo de 2900 mm.</t>
  </si>
  <si>
    <t>Acanalado Vertical</t>
  </si>
  <si>
    <t>Lapacho</t>
  </si>
  <si>
    <t>Laos</t>
  </si>
  <si>
    <t>Gris T602</t>
  </si>
  <si>
    <t>Lapacho y Negro</t>
  </si>
  <si>
    <t>Este revestimiento exterior de la marca Max Core, línea Acanalado Vertical en color Roble y Negro, está fabricado en WPC (madera compuesta de polímero y fibra). Es un material duradero, resistente a la humedad y a los cambios de temperatura, diseñado para fachadas y muros que buscan la estética de la madera sin necesidad de pintura ni mantenimiento periódico. Cada tabla tiene un espesor de 25 mm, un ancho de 219 mm y un largo de 2900 mm, cubriendo una superficie de 0.64 m2.</t>
  </si>
  <si>
    <t>Este revestimiento exterior de la marca Max Core, línea Acanalado Vertical en color Negro, está fabricado en WPC (madera compuesta de polímero y fibra). Es un material duradero, resistente a la humedad y a los cambios de temperatura, diseñado para fachadas y muros que buscan la estética de la madera sin necesidad de pintura ni mantenimiento periódico. Cada tabla tiene un espesor de 25 mm, un ancho de 219 mm y un largo de 2900 mm, cubriendo una superficie de 0.64 m2.</t>
  </si>
  <si>
    <t>Siding</t>
  </si>
  <si>
    <t>Gris Ceniza</t>
  </si>
  <si>
    <t>Terminaciones</t>
  </si>
  <si>
    <t>Angulo Revestimiento</t>
  </si>
  <si>
    <t>Lapacho | Laos | Tabaco | Gris T602 | Roble | Lapacho y Negro | Negro</t>
  </si>
  <si>
    <t>Unidad</t>
  </si>
  <si>
    <t>22546-1.jpg; 22546-2.jpg; 22546-3.jpg; 22546-4.jpg; 22546-5.jpg; 22546-6.jpg; 22546-7.jpg</t>
  </si>
  <si>
    <t>Inicio/fin</t>
  </si>
  <si>
    <t>Lapacho | Laos | Smoke Gray | Maple</t>
  </si>
  <si>
    <t>25413-1.jpg; 25413-2.jpg; 25413-3.jpg; 25413-4.jpg</t>
  </si>
  <si>
    <t>Esquina</t>
  </si>
  <si>
    <t>24916-1.jpg; 24916-2.jpg; 24916-3.jpg; 24916-4.jpg</t>
  </si>
  <si>
    <t>Capuchon Perfil</t>
  </si>
  <si>
    <t>Roble |  Gris T602 | Tabaco | Negro</t>
  </si>
  <si>
    <t>Interior</t>
  </si>
  <si>
    <t>EPS</t>
  </si>
  <si>
    <t>Elite Pannel Skin</t>
  </si>
  <si>
    <t>PVC</t>
  </si>
  <si>
    <t>Slimstone</t>
  </si>
  <si>
    <t>Nero Gold</t>
  </si>
  <si>
    <t>Gris Onix</t>
  </si>
  <si>
    <t>Blanco Perla</t>
  </si>
  <si>
    <t>Incienso</t>
  </si>
  <si>
    <t>Habano y Negro</t>
  </si>
  <si>
    <t>Gris y Negro</t>
  </si>
  <si>
    <t>Revestimiento decorativo para interiores que combina diseño moderno y excelente terminación. Fabricado con tecnología EPS Max Core y acabado Elite Panel Skin, ofrece una superficie resistente, liviana y de fácil mantenimiento. Su elegante combinación de tonos gris y negro aporta sofisticación y personalidad a cualquier ambiente, siendo ideal para paredes de livings, dormitorios, oficinas y espacios comerciales.</t>
  </si>
  <si>
    <t>Negro Mate</t>
  </si>
  <si>
    <t>Corteza y Negro</t>
  </si>
  <si>
    <t>Elite pannel Skin</t>
  </si>
  <si>
    <t>Teca y Negro</t>
  </si>
  <si>
    <t>Roble Miel y Negro</t>
  </si>
  <si>
    <t>Nogal y Negro</t>
  </si>
  <si>
    <t>Aura</t>
  </si>
  <si>
    <t>Alto</t>
  </si>
  <si>
    <t>Elite pannel skin</t>
  </si>
  <si>
    <t>Bosco</t>
  </si>
  <si>
    <t>Nova</t>
  </si>
  <si>
    <t>Terra</t>
  </si>
  <si>
    <t>Zenit</t>
  </si>
  <si>
    <t>Magno</t>
  </si>
  <si>
    <t>Soria</t>
  </si>
  <si>
    <t>Lunar</t>
  </si>
  <si>
    <t>Travia</t>
  </si>
  <si>
    <t>Slim wood</t>
  </si>
  <si>
    <t>Senda</t>
  </si>
  <si>
    <t>Duna</t>
  </si>
  <si>
    <t>Fieltro Acustico</t>
  </si>
  <si>
    <t>Acustico Silenza</t>
  </si>
  <si>
    <t>Blonde Oak</t>
  </si>
  <si>
    <t>Sunset Oak</t>
  </si>
  <si>
    <t>Silver Oak</t>
  </si>
  <si>
    <t>Black Walnut</t>
  </si>
  <si>
    <t>White Oak</t>
  </si>
  <si>
    <t>Carrara Ice</t>
  </si>
  <si>
    <t>Cloude Stone</t>
  </si>
  <si>
    <t>Crema Marfil</t>
  </si>
  <si>
    <t>Storm Grey</t>
  </si>
  <si>
    <t>Cemento Alisado</t>
  </si>
  <si>
    <t>Limestone Warm</t>
  </si>
  <si>
    <t>Travertino Light</t>
  </si>
  <si>
    <t>Madera</t>
  </si>
  <si>
    <t xml:space="preserve">Alistonado </t>
  </si>
  <si>
    <t>Alistonado</t>
  </si>
  <si>
    <t>L.V.</t>
  </si>
  <si>
    <t>Angelin</t>
  </si>
  <si>
    <t>Jequetiba</t>
  </si>
  <si>
    <t>L.V</t>
  </si>
  <si>
    <t>Eucaliptus</t>
  </si>
  <si>
    <t>Marupa</t>
  </si>
  <si>
    <t>Kiri</t>
  </si>
  <si>
    <t>interior</t>
  </si>
  <si>
    <t>Angulo Derecho</t>
  </si>
  <si>
    <t>Roble Miel y Negro | Negro Mate | Habano y Negro | Lapacho | Gris y Negro | Corteza y negro | Nogal y Negro</t>
  </si>
  <si>
    <t>Angulo Izquierdo</t>
  </si>
  <si>
    <t>Metal</t>
  </si>
  <si>
    <t>Perfil Union - Slimstone</t>
  </si>
  <si>
    <t>Plata</t>
  </si>
  <si>
    <t>Perfil Inicio/Fin - Slimstone</t>
  </si>
  <si>
    <t>Cant img</t>
  </si>
  <si>
    <t>Espesor Total</t>
  </si>
  <si>
    <t>UM</t>
  </si>
  <si>
    <t>Espesor Composicion</t>
  </si>
  <si>
    <t>Capa de Uso</t>
  </si>
  <si>
    <t>Cajas x Pallet</t>
  </si>
  <si>
    <t>Peso x Caja</t>
  </si>
  <si>
    <t>Peso Por Pallet</t>
  </si>
  <si>
    <t>Piso Vinilico</t>
  </si>
  <si>
    <t>Click</t>
  </si>
  <si>
    <t xml:space="preserve">SPC  </t>
  </si>
  <si>
    <t>21113-2</t>
  </si>
  <si>
    <t>Discontinuo</t>
  </si>
  <si>
    <t>4+1</t>
  </si>
  <si>
    <t>0,3</t>
  </si>
  <si>
    <t>985-2</t>
  </si>
  <si>
    <t>RR003-3003</t>
  </si>
  <si>
    <t>0,5</t>
  </si>
  <si>
    <t>Cosmopolitan</t>
  </si>
  <si>
    <t>Avantgarde</t>
  </si>
  <si>
    <t>3221-1F</t>
  </si>
  <si>
    <t>4.5+1.5</t>
  </si>
  <si>
    <t>0,55</t>
  </si>
  <si>
    <t>179-2</t>
  </si>
  <si>
    <t>4+1.5</t>
  </si>
  <si>
    <t>1166-7</t>
  </si>
  <si>
    <t>1092-15</t>
  </si>
  <si>
    <t>2589-4B</t>
  </si>
  <si>
    <t>4.2+1</t>
  </si>
  <si>
    <t>LVT</t>
  </si>
  <si>
    <t>Gunstock Oak</t>
  </si>
  <si>
    <t>HLVP200</t>
  </si>
  <si>
    <t>Style</t>
  </si>
  <si>
    <t>Imperial</t>
  </si>
  <si>
    <t>Signature</t>
  </si>
  <si>
    <t>Elemental</t>
  </si>
  <si>
    <t xml:space="preserve">Snow White </t>
  </si>
  <si>
    <t>0-01</t>
  </si>
  <si>
    <t>5+1.5</t>
  </si>
  <si>
    <t>Sand Beige</t>
  </si>
  <si>
    <t>0-02</t>
  </si>
  <si>
    <t xml:space="preserve">Warm Oak </t>
  </si>
  <si>
    <t>0-03</t>
  </si>
  <si>
    <t>Urban Grey</t>
  </si>
  <si>
    <t>0-05</t>
  </si>
  <si>
    <t>Ivory White</t>
  </si>
  <si>
    <t>0-06</t>
  </si>
  <si>
    <t>Golden Cedar</t>
  </si>
  <si>
    <t>0-07</t>
  </si>
  <si>
    <t>Age Walnut</t>
  </si>
  <si>
    <t>0-08</t>
  </si>
  <si>
    <t>Ligh Wheat</t>
  </si>
  <si>
    <t>0-09</t>
  </si>
  <si>
    <t>Ice White</t>
  </si>
  <si>
    <t>0-10</t>
  </si>
  <si>
    <t>Country Oak</t>
  </si>
  <si>
    <t>0-11</t>
  </si>
  <si>
    <t>Honey Maple</t>
  </si>
  <si>
    <t>0-12</t>
  </si>
  <si>
    <t>Pegar / Rollo</t>
  </si>
  <si>
    <t>264-18</t>
  </si>
  <si>
    <t>264-14</t>
  </si>
  <si>
    <t>01-24</t>
  </si>
  <si>
    <t>XD-86030</t>
  </si>
  <si>
    <t>XD-86036</t>
  </si>
  <si>
    <t>XD-86052</t>
  </si>
  <si>
    <t>XD-86053</t>
  </si>
  <si>
    <t>XD-86054</t>
  </si>
  <si>
    <t xml:space="preserve">Pegar </t>
  </si>
  <si>
    <t>Roble Hacienda</t>
  </si>
  <si>
    <t>MaxCore</t>
  </si>
  <si>
    <t>Dryback</t>
  </si>
  <si>
    <t>Abeto</t>
  </si>
  <si>
    <t>Fresno Colorado</t>
  </si>
  <si>
    <t>One Floor</t>
  </si>
  <si>
    <t>Sierra</t>
  </si>
  <si>
    <t>Haya</t>
  </si>
  <si>
    <t>Roble Blanco</t>
  </si>
  <si>
    <t>Oasis</t>
  </si>
  <si>
    <t>Roble Rustico</t>
  </si>
  <si>
    <t>JMW65810</t>
  </si>
  <si>
    <t>SPC</t>
  </si>
  <si>
    <t>Calacata</t>
  </si>
  <si>
    <t>WR31482J</t>
  </si>
  <si>
    <t>Roble Nature</t>
  </si>
  <si>
    <t>Roble Oaked</t>
  </si>
  <si>
    <t>spc</t>
  </si>
  <si>
    <t>S-B-4MM-179</t>
  </si>
  <si>
    <t>S-W-4mm-002</t>
  </si>
  <si>
    <t>S-W-4mm002</t>
  </si>
  <si>
    <t>FRANKFURT</t>
  </si>
  <si>
    <t>Aquablue</t>
  </si>
  <si>
    <t>Roble Tostado</t>
  </si>
  <si>
    <t>Economy</t>
  </si>
  <si>
    <t>Roble natural</t>
  </si>
  <si>
    <t>TRUFFLE OAK</t>
  </si>
  <si>
    <t>Traffic</t>
  </si>
  <si>
    <t>OLIVO</t>
  </si>
  <si>
    <t>Home</t>
  </si>
  <si>
    <t>ABEDUL</t>
  </si>
  <si>
    <t>FNT2310</t>
  </si>
  <si>
    <t>6,5</t>
  </si>
  <si>
    <t>5+1,5</t>
  </si>
  <si>
    <t>DS207</t>
  </si>
  <si>
    <t>5,5+1,5</t>
  </si>
  <si>
    <t>FNT2308</t>
  </si>
  <si>
    <t>FNT2307</t>
  </si>
  <si>
    <t>Peppermint Oak</t>
  </si>
  <si>
    <t>7003 (A)</t>
  </si>
  <si>
    <t>Vintage</t>
  </si>
  <si>
    <t>7003 (B)</t>
  </si>
  <si>
    <t>200807-05</t>
  </si>
  <si>
    <t>Golden Teak</t>
  </si>
  <si>
    <t>Roble Romano</t>
  </si>
  <si>
    <t>7001 (A)</t>
  </si>
  <si>
    <t>7001 (B)</t>
  </si>
  <si>
    <t>Roble Parisien</t>
  </si>
  <si>
    <t>7004 (A)</t>
  </si>
  <si>
    <t>7004 (B)</t>
  </si>
  <si>
    <t>Stone Coast Pine</t>
  </si>
  <si>
    <t>Nordic Oak</t>
  </si>
  <si>
    <t>7002 (A)</t>
  </si>
  <si>
    <t>7002 (B)</t>
  </si>
  <si>
    <t>Kentucky</t>
  </si>
  <si>
    <t>Saxon Garden Oak</t>
  </si>
  <si>
    <t>comercial</t>
  </si>
  <si>
    <t>5+1</t>
  </si>
  <si>
    <t>Tablet</t>
  </si>
  <si>
    <t>Roble Puma</t>
  </si>
  <si>
    <t>CLT-985</t>
  </si>
  <si>
    <t>Challet Click</t>
  </si>
  <si>
    <t>MM</t>
  </si>
  <si>
    <t>941-2</t>
  </si>
  <si>
    <t>Roble Moscu</t>
  </si>
  <si>
    <t>Narrow</t>
  </si>
  <si>
    <t>941-1</t>
  </si>
  <si>
    <t>966-7</t>
  </si>
  <si>
    <t>Roble Niza</t>
  </si>
  <si>
    <t>958-1</t>
  </si>
  <si>
    <t>934-11</t>
  </si>
  <si>
    <t>903-1</t>
  </si>
  <si>
    <t>942-9</t>
  </si>
  <si>
    <t>Nebraska</t>
  </si>
  <si>
    <t>Roble Munich</t>
  </si>
  <si>
    <t>Roble Alaska</t>
  </si>
  <si>
    <t>Silver Pine</t>
  </si>
  <si>
    <t>Baywater</t>
  </si>
  <si>
    <t>Merbau</t>
  </si>
  <si>
    <t>Roble Silvestre</t>
  </si>
  <si>
    <t>ST179-15</t>
  </si>
  <si>
    <t>ST2026-08</t>
  </si>
  <si>
    <t>ST179-5</t>
  </si>
  <si>
    <t>Moorland Oak</t>
  </si>
  <si>
    <t>4.5+1</t>
  </si>
  <si>
    <t>Andes</t>
  </si>
  <si>
    <t>Antique</t>
  </si>
  <si>
    <t>Aconcagua</t>
  </si>
  <si>
    <t>Roble Alpino</t>
  </si>
  <si>
    <t>Roble Gala</t>
  </si>
  <si>
    <t>Metz</t>
  </si>
  <si>
    <t>Roble Moderno</t>
  </si>
  <si>
    <t>Roble Polonia</t>
  </si>
  <si>
    <t>Poligus</t>
  </si>
  <si>
    <t>Surinda</t>
  </si>
  <si>
    <t>Nepa</t>
  </si>
  <si>
    <t>Ocean View</t>
  </si>
  <si>
    <t>maxCore</t>
  </si>
  <si>
    <t>Royale</t>
  </si>
  <si>
    <t>Makalu</t>
  </si>
  <si>
    <t>Pinotea</t>
  </si>
  <si>
    <t>Uchami</t>
  </si>
  <si>
    <t>Tulat</t>
  </si>
  <si>
    <t>Kalami</t>
  </si>
  <si>
    <t>Britanico</t>
  </si>
  <si>
    <t>Pino</t>
  </si>
  <si>
    <t>Baykit</t>
  </si>
  <si>
    <t>Roble Oslo</t>
  </si>
  <si>
    <t>Roble Paris</t>
  </si>
  <si>
    <t>River Bend</t>
  </si>
  <si>
    <t>Roble Bayonne</t>
  </si>
  <si>
    <t>Roble Escandinavo</t>
  </si>
  <si>
    <t>Nuevo Alaska</t>
  </si>
  <si>
    <t>Aqua Blue</t>
  </si>
  <si>
    <t>Premium</t>
  </si>
  <si>
    <t>6+1.5</t>
  </si>
  <si>
    <t>Apolo</t>
  </si>
  <si>
    <t>Rustic</t>
  </si>
  <si>
    <t>Nuevo Kansas</t>
  </si>
  <si>
    <t xml:space="preserve">Zeus </t>
  </si>
  <si>
    <t>Nuevo California</t>
  </si>
  <si>
    <t>Nuevo Texas</t>
  </si>
  <si>
    <t>Nuevo Arizona</t>
  </si>
  <si>
    <t>Roble Weston</t>
  </si>
  <si>
    <t>Alaska</t>
  </si>
  <si>
    <t>Kansas</t>
  </si>
  <si>
    <t>California</t>
  </si>
  <si>
    <t>Alamo Claro</t>
  </si>
  <si>
    <t>Roble Monaco</t>
  </si>
  <si>
    <t>Roble Bangkok</t>
  </si>
  <si>
    <t>Afrodita</t>
  </si>
  <si>
    <t>Rustic XL</t>
  </si>
  <si>
    <t>Mountain Crest</t>
  </si>
  <si>
    <t>Roble Siberia</t>
  </si>
  <si>
    <t>Golden Fields</t>
  </si>
  <si>
    <t>Sunset Ridge</t>
  </si>
  <si>
    <t>Eolo</t>
  </si>
  <si>
    <t>Roble Gris 1 Lama</t>
  </si>
  <si>
    <t>Roble Chene</t>
  </si>
  <si>
    <t>Oxido</t>
  </si>
  <si>
    <t>Atelier</t>
  </si>
  <si>
    <t xml:space="preserve">Teka </t>
  </si>
  <si>
    <t>Mediterraneo</t>
  </si>
  <si>
    <t>Cipres</t>
  </si>
  <si>
    <t>Kansas Tostado</t>
  </si>
  <si>
    <t>Roble Bremen</t>
  </si>
  <si>
    <t>Texas</t>
  </si>
  <si>
    <t>Barrique Oak</t>
  </si>
  <si>
    <t>Kempas</t>
  </si>
  <si>
    <t>Roble Capuccino</t>
  </si>
  <si>
    <t>S-B-4mm-281</t>
  </si>
  <si>
    <t>Cemento Alisado Oscuro</t>
  </si>
  <si>
    <t>Concreto</t>
  </si>
  <si>
    <t>Roble Americano</t>
  </si>
  <si>
    <t>Asino</t>
  </si>
  <si>
    <t>Baltico</t>
  </si>
  <si>
    <t>Arizona</t>
  </si>
  <si>
    <t>Subtipo</t>
  </si>
  <si>
    <t>Subtipo 2</t>
  </si>
  <si>
    <t>Especie</t>
  </si>
  <si>
    <t xml:space="preserve">Acabado </t>
  </si>
  <si>
    <t>Espesor Lamina</t>
  </si>
  <si>
    <t>Piso Ingenieria</t>
  </si>
  <si>
    <t>Prefinished</t>
  </si>
  <si>
    <t>Entablonado</t>
  </si>
  <si>
    <t>Tauari Tostado</t>
  </si>
  <si>
    <t>Semi Mate</t>
  </si>
  <si>
    <t>MO</t>
  </si>
  <si>
    <t>Paraguay</t>
  </si>
  <si>
    <t>Largo Variado</t>
  </si>
  <si>
    <t>No</t>
  </si>
  <si>
    <t xml:space="preserve">Tauari   </t>
  </si>
  <si>
    <t>Incienso Colorado</t>
  </si>
  <si>
    <t>Roble Natural</t>
  </si>
  <si>
    <t>Roble Ivory</t>
  </si>
  <si>
    <t>Escobado</t>
  </si>
  <si>
    <t>Viraro</t>
  </si>
  <si>
    <t>Roble Rustik</t>
  </si>
  <si>
    <t>Chevron</t>
  </si>
  <si>
    <t>Chene Dore</t>
  </si>
  <si>
    <t>A mano</t>
  </si>
  <si>
    <t>Chene Brume</t>
  </si>
  <si>
    <t>Pisos de Madera</t>
  </si>
  <si>
    <t>Undfinished</t>
  </si>
  <si>
    <t>Natural</t>
  </si>
  <si>
    <t>Macizo</t>
  </si>
  <si>
    <t>Primera</t>
  </si>
  <si>
    <t>Pulgada</t>
  </si>
  <si>
    <t>Pulgadas</t>
  </si>
  <si>
    <t>Wengue</t>
  </si>
  <si>
    <t>Camerun</t>
  </si>
  <si>
    <t>Kurupayra</t>
  </si>
  <si>
    <t>Cumaru</t>
  </si>
  <si>
    <t>Brazil</t>
  </si>
  <si>
    <t>Murucatiara</t>
  </si>
  <si>
    <t>Grapia</t>
  </si>
  <si>
    <t>Jatoba</t>
  </si>
  <si>
    <t>EEUU</t>
  </si>
  <si>
    <t>Largo Fijo</t>
  </si>
  <si>
    <t>Tahuari</t>
  </si>
  <si>
    <t>Guayubira</t>
  </si>
  <si>
    <t>Argentina</t>
  </si>
  <si>
    <t>Parquet</t>
  </si>
  <si>
    <t>Incienso Pardo</t>
  </si>
  <si>
    <t>Guayacan</t>
  </si>
  <si>
    <t>Sirari</t>
  </si>
  <si>
    <t>MOneda</t>
  </si>
  <si>
    <t>Precio M Lineal</t>
  </si>
  <si>
    <t>Deck</t>
  </si>
  <si>
    <t>Noble</t>
  </si>
  <si>
    <t>Fresno Nordico</t>
  </si>
  <si>
    <t>Nogal Tabaco</t>
  </si>
  <si>
    <t>Roble Clasico</t>
  </si>
  <si>
    <t>Roble gris</t>
  </si>
  <si>
    <t>Prestigio</t>
  </si>
  <si>
    <t>Teak</t>
  </si>
  <si>
    <t>Ipe</t>
  </si>
  <si>
    <t>Bulk</t>
  </si>
  <si>
    <t>Ambar</t>
  </si>
  <si>
    <t>Reversible</t>
  </si>
  <si>
    <t>Silver grey Light Grey</t>
  </si>
  <si>
    <t>Light teak Walnut</t>
  </si>
  <si>
    <t>Gris Plata Gris Cenisa</t>
  </si>
  <si>
    <t>Gris Grafito Fresno Nordico</t>
  </si>
  <si>
    <t>Roble Marron Blanco Puro</t>
  </si>
  <si>
    <t>Oval</t>
  </si>
  <si>
    <t>Marron Coco</t>
  </si>
  <si>
    <t>Marron Dorado</t>
  </si>
  <si>
    <t>Baldosa deck</t>
  </si>
  <si>
    <t>Baldosa</t>
  </si>
  <si>
    <t>Jaspeado</t>
  </si>
  <si>
    <t>Accesorios</t>
  </si>
  <si>
    <t>Alfajias</t>
  </si>
  <si>
    <t>Tapa 50 mm Teak</t>
  </si>
  <si>
    <t>Tapa 50 mm Ipe</t>
  </si>
  <si>
    <t>Tapa 138 mm Teak</t>
  </si>
  <si>
    <t>Tapa 138 mm Ipe</t>
  </si>
  <si>
    <t>Angulos END Varios Colores</t>
  </si>
  <si>
    <t>Grampas</t>
  </si>
  <si>
    <t>Hierro</t>
  </si>
  <si>
    <t>Tornillo FIX 4x30</t>
  </si>
  <si>
    <t>Nombre de Madera</t>
  </si>
  <si>
    <t>Espesores Disponibles</t>
  </si>
  <si>
    <t>Medidas</t>
  </si>
  <si>
    <t>Secado</t>
  </si>
  <si>
    <t>Precio</t>
  </si>
  <si>
    <t>Unidad de Medida</t>
  </si>
  <si>
    <t>Madera Canteada</t>
  </si>
  <si>
    <t>Tajibo AD</t>
  </si>
  <si>
    <t>Bolivia</t>
  </si>
  <si>
    <t>1" | 1.5" | 2" | 3"</t>
  </si>
  <si>
    <t>2.10m o más</t>
  </si>
  <si>
    <t>p2</t>
  </si>
  <si>
    <t>El Tajibo es una madera noble de excepcional dureza y durabilidad. Su elegante veta, gran resistencia al desgaste y excelente comportamiento frente a la humedad la convierten en una opción premium para pisos, revestimientos y proyectos de alta exigencia.</t>
  </si>
  <si>
    <t>No Lleva</t>
  </si>
  <si>
    <t>No Corresponde</t>
  </si>
  <si>
    <t>Roble Corto AD</t>
  </si>
  <si>
    <t>Brasil / Bolivia</t>
  </si>
  <si>
    <t>inferior a 2.10m</t>
  </si>
  <si>
    <t>El Roble es una madera de gran prestigio, apreciada por su resistencia, estabilidad y distinguida veta natural. Su estética cálida y atemporal lo convierte en una elección ideal para crear ambientes elegantes, confortables y duraderos.</t>
  </si>
  <si>
    <t>Roble Largo AD</t>
  </si>
  <si>
    <t>Angelin KD</t>
  </si>
  <si>
    <t>1" | 1.5" | 2" | 2.5"| 3"</t>
  </si>
  <si>
    <t>Horno</t>
  </si>
  <si>
    <t>El Angelín es una madera de alta densidad y gran durabilidad, reconocida por su resistencia al desgaste y su estabilidad. Su aspecto cálido y natural, combinado con sus excelentes prestaciones, la convierte en una opción ideal para pisos y revestimientos de larga vida útil.</t>
  </si>
  <si>
    <t>Cedro Arana Corto KD</t>
  </si>
  <si>
    <t>1" | 1.5" | 2"</t>
  </si>
  <si>
    <t>El Cedro Arana se destaca por su atractivo diseño natural, sus vetas expresivas y sus cálidos tonos. Su equilibrio entre estética, estabilidad y facilidad de trabajo lo convierte en una excelente elección para proyectos que buscan elegancia y calidez atemporal.</t>
  </si>
  <si>
    <t>Cedro Arana Largo KD</t>
  </si>
  <si>
    <t>Cedro Corto KD</t>
  </si>
  <si>
    <t>El Cedro combina elegancia, calidez y versatilidad en una madera de gran valor estético. Sus delicadas vetas, su estabilidad y sus tonos naturales la convierten en una elección ideal para crear ambientes acogedores y sofisticados.</t>
  </si>
  <si>
    <t>Cedro Largo KD</t>
  </si>
  <si>
    <t>Jequetiba Corto KD</t>
  </si>
  <si>
    <t>El Jequetibá se distingue por su veta delicada, sus tonos claros y su excelente estabilidad. Su equilibrio entre resistencia y belleza natural lo convierte en una opción ideal para pisos y revestimientos que buscan aportar amplitud, calidez y sofisticación a los espacios.</t>
  </si>
  <si>
    <t>Jequetiba Largo KD</t>
  </si>
  <si>
    <t>2"</t>
  </si>
  <si>
    <t>El Tahuari combina resistencia, estabilidad y belleza natural en una madera de gran calidad. Sus cálidas tonalidades y su excelente comportamiento frente al uso diario la convierten en una opción ideal para pisos y revestimientos duraderos, elegantes y atemporales.</t>
  </si>
  <si>
    <t>Caoba Largo KD</t>
  </si>
  <si>
    <t>Africa</t>
  </si>
  <si>
    <t>La Caoba se destaca por su refinada apariencia, sus ricos tonos rojizos y su excelente estabilidad. Su combinación de belleza, durabilidad y sofisticación la convierte en una elección ideal para proyectos que buscan calidad y exclusividad.</t>
  </si>
  <si>
    <t>Okume Corto KD</t>
  </si>
  <si>
    <t>1" | 1.5" | 2" | 2.5"| 3" | 4"</t>
  </si>
  <si>
    <t>El Okumé se distingue por su apariencia uniforme, sus tonos claros y su excelente estabilidad. Su estética contemporánea y natural lo convierte en una opción ideal para revestimientos y proyectos que buscan amplitud, calidez y sofisticación.</t>
  </si>
  <si>
    <t>Okume Largo KD</t>
  </si>
  <si>
    <t>Okume Dimensionado KD</t>
  </si>
  <si>
    <t>40mm</t>
  </si>
  <si>
    <t>110/160mm x 2130mm Marco Puerta</t>
  </si>
  <si>
    <t>||||||||||||||</t>
  </si>
  <si>
    <t>Iroko KD</t>
  </si>
  <si>
    <t>1" | 2"</t>
  </si>
  <si>
    <t>El Iroko combina resistencia, estabilidad y una belleza natural única. Sus cálidos tonos y su marcada personalidad lo convierten en una opción ideal para pisos y revestimientos que buscan durabilidad, elegancia y un estilo atemporal</t>
  </si>
  <si>
    <t>Roble Americano KD</t>
  </si>
  <si>
    <t>EE.UU.</t>
  </si>
  <si>
    <t>1"</t>
  </si>
  <si>
    <t>El Roble Americano combina solidez, durabilidad y una belleza natural inconfundible. Su característica veta y sus cálidas tonalidades aportan elegancia y sofisticación, creando ambientes acogedores y atemporales.</t>
  </si>
  <si>
    <t>Roble Americano KD Especial</t>
  </si>
  <si>
    <t>8" x 2.10m o mas</t>
  </si>
  <si>
    <t>Roble Europeo KD Prime</t>
  </si>
  <si>
    <t>Croacia</t>
  </si>
  <si>
    <t xml:space="preserve">1" | 2"| 3" </t>
  </si>
  <si>
    <t>El Roble Europeo se distingue por su belleza atemporal, su excelente estabilidad y su característica veta. Sus tonos equilibrados y su refinada apariencia lo convierten en una elección ideal para espacios que buscan combinar calidez, elegancia y durabilidad.</t>
  </si>
  <si>
    <t>Virola</t>
  </si>
  <si>
    <t>Peru</t>
  </si>
  <si>
    <t>1.5" | 2"</t>
  </si>
  <si>
    <t>La Virola se caracteriza por sus tonos claros, su textura uniforme y su estética natural. Su delicada veta y su versatilidad la convierten en una opción ideal para revestimientos y espacios que buscan transmitir amplitud, calidez y elegancia."</t>
  </si>
  <si>
    <t>Marupa Corto KD</t>
  </si>
  <si>
    <t>El Marupá se destaca por sus tonos claros, su veta sutil y su aspecto uniforme. Su equilibrio entre belleza natural y versatilidad lo convierte en una excelente opción para crear ambientes luminosos, cálidos y contemporáneos.</t>
  </si>
  <si>
    <t>Marupa Largo KD</t>
  </si>
  <si>
    <t>Roble Africano KD Primera</t>
  </si>
  <si>
    <t>El Roble Africano es una madera exótica de gran personalidad, apreciada por su resistencia, estabilidad y atractiva veta natural. Sus tonalidades cálidas y su textura distintiva aportan elegancia y carácter a cualquier ambiente.</t>
  </si>
  <si>
    <t>Pino Hemlock</t>
  </si>
  <si>
    <t>Canada</t>
  </si>
  <si>
    <t>2" | 3"</t>
  </si>
  <si>
    <t>El Pino Hemlock se distingue por sus tonos claros, su veta delicada y su estética armoniosa. Su apariencia natural y versátil lo convierte en una excelente opción para crear ambientes cálidos, luminosos y acogedores</t>
  </si>
  <si>
    <t>Uruguay</t>
  </si>
  <si>
    <t xml:space="preserve">1" | 1.5" | 2" </t>
  </si>
  <si>
    <t>El Eucaliptus combina resistencia, durabilidad y una estética natural distintiva. Su elegante veta y sus cálidos tonos aportan carácter y sofisticación, ofreciendo una solución versátil y de larga vida útil para todo tipo de ambientes.</t>
  </si>
  <si>
    <t>Madera para Escaleras</t>
  </si>
  <si>
    <t>1.5"</t>
  </si>
  <si>
    <t>12" x L.V.</t>
  </si>
  <si>
    <t>La Jatobá es una madera de extraordinaria resistencia y durabilidad, ideal para escaleras que requieren máxima solidez y un acabado distinguido. Sus cálidos tonos rojizos y su refinada veta aportan elegancia, carácter y una presencia imponente a cualquier espacio.</t>
  </si>
  <si>
    <t>El Ipé es la elección ideal para escaleras de máxima exigencia. Su excepcional dureza, resistencia al desgaste y larga vida útil se combinan con una belleza natural única, brindando seguridad, elegancia y un acabado premium en cada proyecto</t>
  </si>
  <si>
    <t>Viraró</t>
  </si>
  <si>
    <t>El Viraró combina resistencia, estabilidad y una estética natural distintiva. Su cálida tonalidad y su excelente comportamiento frente al uso diario lo convierten en una opción ideal para escaleras que buscan unir durabilidad, confort visual y elegancia atemporal.</t>
  </si>
  <si>
    <t>El Roble Americano aporta solidez, elegancia y un estilo atemporal a cada proyecto. Su característica veta, sus tonos cálidos y su excelente resistencia al uso diario lo convierten en una elección ideal para escaleras que buscan combinar sofisticación, confort y larga vida útil.</t>
  </si>
  <si>
    <t>El Cumarú es una madera tropical de altísima densidad, reconocida por su excepcional dureza, resistencia al desgaste y gran durabilidad. Sus tonalidades que van del marrón dorado al rojizo y su veta marcada aportan una estética elegante y sofisticada</t>
  </si>
  <si>
    <t>El Jequetibá combina belleza natural, estabilidad y durabilidad, ofreciendo una solución ideal para escaleras de gran calidad. Sus tonos claros y su delicada veta aportan amplitud, calidez y una elegancia sutil que se adapta a todo tipo de ambientes.</t>
  </si>
  <si>
    <t>El Tahuari es una excelente opción para escaleras que requieren resistencia y belleza en igual medida. Su estabilidad, durabilidad y atractivo aspecto natural permiten crear espacios elegantes, cálidos y preparados para el paso del tiempo.</t>
  </si>
  <si>
    <t>Misiones</t>
  </si>
  <si>
    <t>La Grapia es una madera noble de gran dureza y resistencia, reconocida por su excelente durabilidad y estabilidad. Sus tonalidades cálidas y su veta natural aportan carácter y elegancia, convirtiéndola en una opción ideal para escaleras de alto desempeño</t>
  </si>
  <si>
    <t>Petiribi</t>
  </si>
  <si>
    <t>El Petiribí se destaca por su distintiva veta, sus tonos cálidos y su gran estabilidad. Su combinación de belleza natural y durabilidad lo convierte en una opción ideal para escaleras que buscan transmitir sofisticación, calidez y calidad artesanal</t>
  </si>
  <si>
    <t>El Kiri es una madera liviana y estable, reconocida por su tonalidad clara, textura uniforme y aspecto natural. Su estética suave y contemporánea la convierte en una excelente opción para proyectos que buscan luminosidad y calidez.</t>
  </si>
  <si>
    <t>La Guayubira se distingue por su impactante veta bicolor y su extraordinaria resistencia. Su personalidad única, sumada a su durabilidad y estabilidad, la convierte en una elección ideal para escaleras que buscan combinar carácter, exclusividad y elegancia natural</t>
  </si>
  <si>
    <t>Finger Clear Pino KD</t>
  </si>
  <si>
    <t>36mm</t>
  </si>
  <si>
    <t>99/124/146 mm x 2130 mm Marco Puerta</t>
  </si>
  <si>
    <t>El Pino Finger Clear es una madera seleccionada y unida mediante tecnología finger joint, que ofrece una apariencia uniforme, gran estabilidad y una superficie libre de nudos visibles. Su tonalidad clara y su estética limpia la convierten en una opción moderna y versátil</t>
  </si>
  <si>
    <t>Dimensiones</t>
  </si>
  <si>
    <t>Colores</t>
  </si>
  <si>
    <t>Accesorios Para Flotantes</t>
  </si>
  <si>
    <t>Terminaciones de Aluminio</t>
  </si>
  <si>
    <t xml:space="preserve">Desnivel </t>
  </si>
  <si>
    <t>10mm</t>
  </si>
  <si>
    <t>0.90mts | 2.70mts</t>
  </si>
  <si>
    <t>Plata | Oro | Bronce | Champagne | Blanco (Pintado)| Negro (Pintado)</t>
  </si>
  <si>
    <t>Elegantes terminaciones en colores Plata, Oro, Bronce, Champagne, Blanco (Pintado) y Negro (Pintado) para pisos flotantes y vinílicos. Combina estilo y durabilidad en cada detalle.</t>
  </si>
  <si>
    <t>Tapajunta</t>
  </si>
  <si>
    <t>8.5mm</t>
  </si>
  <si>
    <t>Nivelador Liviano</t>
  </si>
  <si>
    <t>5mm</t>
  </si>
  <si>
    <t>Transicion Liviana</t>
  </si>
  <si>
    <t>3mm</t>
  </si>
  <si>
    <t xml:space="preserve">Plata | Oro | Bronce | Champagne </t>
  </si>
  <si>
    <t>Elegantes terminaciones en colores Plata, Oro, Bronce o Champagne para pisos flotantes y vinílicos. Combina estilo y durabilidad en cada detalle.</t>
  </si>
  <si>
    <t>Angulo 30/30</t>
  </si>
  <si>
    <t>30mm</t>
  </si>
  <si>
    <t>2mts | 2.70mts</t>
  </si>
  <si>
    <t>Mini Transicion Liviana (Mini Plana)</t>
  </si>
  <si>
    <t>Mini Nivelador</t>
  </si>
  <si>
    <t>4mm</t>
  </si>
  <si>
    <t>Puerta Ventana</t>
  </si>
  <si>
    <t>12mm</t>
  </si>
  <si>
    <t>2.70mts</t>
  </si>
  <si>
    <t>Escalon 22/15</t>
  </si>
  <si>
    <t>22mm</t>
  </si>
  <si>
    <t>Base Encastre</t>
  </si>
  <si>
    <t>11mm</t>
  </si>
  <si>
    <t>Aluminio</t>
  </si>
  <si>
    <t>Angulo 25/8</t>
  </si>
  <si>
    <t>8mm</t>
  </si>
  <si>
    <t>Angulo 24/24</t>
  </si>
  <si>
    <t>24mm</t>
  </si>
  <si>
    <t>Ajuste Nivel</t>
  </si>
  <si>
    <t>7mm</t>
  </si>
  <si>
    <t>Angulo 20/4</t>
  </si>
  <si>
    <t>Bajo Piso</t>
  </si>
  <si>
    <t>Nylon</t>
  </si>
  <si>
    <t>100 micrones |200 micrones</t>
  </si>
  <si>
    <t>10m2 | 20m2</t>
  </si>
  <si>
    <t>El nylon para bajo piso se utiliza como una base para pisos flotantes. Proporciona soporte, comodidad y aislamiento, además de proteger el piso subyacente y reducir el desgaste. También ayuda a mejorar el confort acústico.</t>
  </si>
  <si>
    <t>Manta 2mm</t>
  </si>
  <si>
    <t>2mm</t>
  </si>
  <si>
    <t>20m2</t>
  </si>
  <si>
    <t>Se utiliza principalmente como una barrera de aislamiento y para la protección de juntas en la instalación de pisos. Su función es absorber impactos, reducir el ruido y prevenir la humedad, lo que ayuda a prolongar la vida útil del piso. Además, proporciona una superficie uniforme que facilita la instalación de diferentes tipos de pisos flotantes.</t>
  </si>
  <si>
    <t>Manta c/Film</t>
  </si>
  <si>
    <t>Aislante de alta performance indispensable para pisos flotantes. Brinda amortiguación acústica, confort térmico y protección contra la humedad, garantizando una base firme, silenciosa y una instalación profesional.</t>
  </si>
  <si>
    <t>Manta Steico - Fibra de Madera</t>
  </si>
  <si>
    <t>3mm | 5mm | 7mm</t>
  </si>
  <si>
    <t>590mm x 790mm</t>
  </si>
  <si>
    <t>Es una manta ecológica y de alta gama fabricado a partir de fibras de madera natural comprimidas. A diferencia de las mantas plásticas tradicionales, se presenta en placas rígidas o rollos verdes de alta densidad, diseñados específicamente para colocarse bajo pisos flotantes</t>
  </si>
  <si>
    <t>Manta PVC Turco</t>
  </si>
  <si>
    <t>3mm | 5mm</t>
  </si>
  <si>
    <t>800mm x 1250mm</t>
  </si>
  <si>
    <t>Subpiso técnico de alta gama fabricado en Turquía con polímeros compuestos de alta densidad. Diseñado específicamente para sistemas de colocación rápida, es la opción ideal para tráfico intenso y para lograr un andar firme, silencioso y premium bajo pisos flotantes y vinílicos</t>
  </si>
  <si>
    <t>Manto Goma Eva c/ Aluminio</t>
  </si>
  <si>
    <t>1mt x 20mts</t>
  </si>
  <si>
    <t>Manta aislante de goma EVA con film de aluminio reflectivo. Ofrece una barrera total contra la humedad, excelente amortiguación acústica y un aislamiento térmico superior que retiene el calor del ambiente, protegiendo los pisos a largo plazo.</t>
  </si>
  <si>
    <t>Zocalos y accesorios</t>
  </si>
  <si>
    <t>MDF - Europeo</t>
  </si>
  <si>
    <t>15mm</t>
  </si>
  <si>
    <t>60mm x 2600mm | 60mm x  2750mm</t>
  </si>
  <si>
    <t>#1 |#2 | #3| #4|# 5| #6 | #7| #8| #9| #10| #11| #12| #13| #15| #16| #17| #18| #19| #20| #21| #22| #23| #24| #40| #41| #42| #43| #44| #45| #46| #47| #49 | MDF Crudo</t>
  </si>
  <si>
    <t>El complemento estético y funcional indispensable para la terminación de proyectos con pisos flotantes, vinílicos o de madera. Fabricados en MDF (fibra de madera de densidad media) y recubiertos con un folio decorativo de alta resistencia, están diseñados para enmarcar los ambientes con elegancia y disimular los detalles técnicos de la instalación.</t>
  </si>
  <si>
    <t>MDF - Cuadrado</t>
  </si>
  <si>
    <t>66mm x 2600mm | 66mm x  2750mm</t>
  </si>
  <si>
    <t>#1 |#2 | #3| #4|# 5| #6 | #7| #8| #9| #10| #11| #12| #13| #15| #16| #17| #18| #19| #20| #21| #22| #23| #24| #40| #41| #42| #43| #44| #45| #46| #47| #49| #27| MDF Crudo</t>
  </si>
  <si>
    <t>MDF - Premium</t>
  </si>
  <si>
    <t>80mm x 2600mm | 80mm x  2750mm</t>
  </si>
  <si>
    <t>#1 |#2 | #3| #4|# 5| #6 | #7| #8| #9| #10| #11| #12| #13| #15| #16| #17| #18| #19| #20| #21| #22| #23| #24| #40| #41| #42| #43| #44| #45| #46| #47| #49| #25| #26| MDF Crudo</t>
  </si>
  <si>
    <t>MDF - Cuarta Caña</t>
  </si>
  <si>
    <t>15mm x 2600mm | 15mm x  2750mm</t>
  </si>
  <si>
    <t>#1 |#2 | #3| #4|# 5| #6 | #7| #8| #9| #10| #11| #12| #13| #15| #16| #17| #18| #19| #20| #21| #22| #23| #24| #40| #41| #42| #43| #44| #45| #46| #47| #49| MDF Crudo</t>
  </si>
  <si>
    <t>Kalon</t>
  </si>
  <si>
    <t>60mm x 2750mm | 80mm x 2750mm</t>
  </si>
  <si>
    <t>#14 (Blanco)</t>
  </si>
  <si>
    <t>Zócalos de MDF de alta densidad con revestimiento foliado resistente a golpes y rayones. La opción ideal para cubrir juntas de dilatación en pisos flotantes con una estética moderna, excelente terminación y la mejor relación costo-beneficio del mercado.</t>
  </si>
  <si>
    <t>Keli</t>
  </si>
  <si>
    <t>Una línea de zócalos elegante y altamente funcional, ideal para quienes buscan una excelente relación precio-calidad. Fabricados en MDF de alta densidad y revestidos con un folio melamínico de gran adherencia, los zócalos KELI aportan calidez y una terminación estética impecable a cualquier ambiente con pisos flotantes o revestimientos.</t>
  </si>
  <si>
    <t>Ziba</t>
  </si>
  <si>
    <t>Zócalos de MDF de alta densidad de la línea ZIBA, revestidos con folio decorativo de gran resistencia. Destacan por su diseño minimalista de líneas rectas, su excelente rigidez para cubrir juntas de dilatación y su canal pasacables, aportando una terminación moderna y de categoría.</t>
  </si>
  <si>
    <t>80mm x 2750mm</t>
  </si>
  <si>
    <t xml:space="preserve">#14 (Blanco) | #22| #24| #49 </t>
  </si>
  <si>
    <t>Limpiadores</t>
  </si>
  <si>
    <t>Limpiador para Pisos Vinílicos 3 en 1</t>
  </si>
  <si>
    <t>1 litro</t>
  </si>
  <si>
    <t>Limpiador técnico ultra concentrado con fórmula neutra de secado rápido. Su acción 3 en 1 limpia a fondo, repele el polvo mediante un escudo antiestático y renueva el acabado original de pisos SPC, WPC y vinílicos sin dejar vetas ni residuos opacos.</t>
  </si>
  <si>
    <t>Adhesivo de Contacto para zocalos y revestimientos</t>
  </si>
  <si>
    <t>300ml</t>
  </si>
  <si>
    <t>Adhesivo de montaje en cartucho de 300 ml con agarre inicial extremo. Ideal para fijar zócalos de EPS, MDF o madera sin necesidad de clavos; ofrece un pegado elástico, rellena imperfecciones de la pared y garantiza una terminación limpia y profesional.</t>
  </si>
  <si>
    <t>Kekol K645 - Para pisos Vinilicos</t>
  </si>
  <si>
    <t>10kg.</t>
  </si>
  <si>
    <t>Adhesivo acrílico premium libre de solventes, diseñado para el pegado de pisos vinílicos, losetas y alfombras. Destaca por su gran agarre inicial, su película de alta elasticidad que resiste el tránsito intenso y su compatibilidad con sistemas de losa radiante.</t>
  </si>
  <si>
    <t>Masa Autonivelante</t>
  </si>
  <si>
    <t>Kekol KL-85 - Para carpetas</t>
  </si>
  <si>
    <t>25kg.</t>
  </si>
  <si>
    <t>Masa  autonivelante normal, en polvo compuesto por cemento portland, polímeros y aditivos de procesos, que permiten lograr un mortero de alta fluidez, que facilita la obtención de superficies sólidas, firme, niveladas y planas con solo verter mortero fluido en la superficie.</t>
  </si>
  <si>
    <t>Manta de Goma Eva</t>
  </si>
  <si>
    <t xml:space="preserve">1mm | 1.5mm </t>
  </si>
  <si>
    <t>Subpiso de goma EVA de alta densidad diseñado especialmente para pisos vinílicos SPC y WPC. Brinda el soporte firme indispensable para proteger los encastres "click", reduce eficazmente el ruido de las pisadas y actúa como una barrera 100% impermeable contra la humedad.</t>
  </si>
  <si>
    <t>Manta de Goma IXPE</t>
  </si>
  <si>
    <t xml:space="preserve">1.5mm </t>
  </si>
  <si>
    <t>Subpiso tecnológico premium de polietileno reticulado por irradiación (IXPE). Ofrece una densidad extrema que protege los encastres del piso vinílico, una reducción acústica insuperable, total impermeabilidad y una excelente conductividad, ideal para sistemas de losa radiante.</t>
  </si>
  <si>
    <t>Lars con Pasacable</t>
  </si>
  <si>
    <t>75mm x 2500mm</t>
  </si>
  <si>
    <t>Blanco | Maderados</t>
  </si>
  <si>
    <t>Zócalos de PVC técnico inyectado con un exclusivo sistema pasacables oculto en su interior. Son 100% impermeables, ultra resistentes a los golpes de la vida cotidiana y no requieren mantenimiento, ofreciendo una solución estética y funcional para cualquier tipo de piso.</t>
  </si>
  <si>
    <t>Latika</t>
  </si>
  <si>
    <t>20mm</t>
  </si>
  <si>
    <t>95mm x 2000xmm</t>
  </si>
  <si>
    <t>Blanco</t>
  </si>
  <si>
    <t>Zócalos premium de EPS de alta densidad con un robusto espesor de 20 mm. Ideales para cubrir amplias juntas de dilatación en pisos flotantes, cuentan con un gran canal pasacables, son 100% resistentes al agua y ofrecen una terminación visual de gran categoría y resistencia a los golpes.</t>
  </si>
  <si>
    <t>Dora</t>
  </si>
  <si>
    <t>100mm x 2400mm</t>
  </si>
  <si>
    <t>Zócalos de EPS de alta densidad con diseño moderno y líneas puras. Son 100% impermeables, ultra resistentes a los golpes del hogar, cuentan con canal pasacables integrado y vienen listos para instalar, ofreciendo una terminación inalterable y libre de mantenimiento.</t>
  </si>
  <si>
    <t>Integra 80</t>
  </si>
  <si>
    <t>80mm x 2400mm</t>
  </si>
  <si>
    <t>Zócalos premium de EPS de alta densidad con una estilizada altura de 80 mm. Son 100% resistentes al agua y a los impactos, cuentan con canal pasacables posterior y vienen listos para instalar, aportando una terminación moderna, elegante e inalterable en el tiempo.</t>
  </si>
  <si>
    <t>Lars Conector Zocalos</t>
  </si>
  <si>
    <t>Lars Esquinero 90 int.</t>
  </si>
  <si>
    <t>Lars Esquinero 90 ext.</t>
  </si>
  <si>
    <t>Lars Punta de terminacion</t>
  </si>
  <si>
    <t>Vega Block de terminacion</t>
  </si>
  <si>
    <t>Integra 80 corner</t>
  </si>
  <si>
    <t>Tapa Zocalo JC999-W1</t>
  </si>
  <si>
    <t>Zócalo de EPS de alta densidad diseñado para cubrir y ocultar zócalos preexistentes sin necesidad de romper o picar la pared. Es 100% impermeable, ultra resistente a los golpes cotidianos y ofrece una renovación rápida, limpia y con una estética moderna de líneas puras.</t>
  </si>
  <si>
    <t>Zocalos EPS</t>
  </si>
  <si>
    <t>Max W - Europeo</t>
  </si>
  <si>
    <t>14mm</t>
  </si>
  <si>
    <t>75mm x 2900mm</t>
  </si>
  <si>
    <t>Blanco | Negro | Gris</t>
  </si>
  <si>
    <t>Zócalos de EPS de ultra alta densidad diseñados para máxima resistencia al impacto y durabilidad extrema. Son 100% impermeables, cuentan con canal pasacables posterior y vienen listos para instalar, ofreciendo un acabado minimalista de alta categoría e inalterable en áreas de alto tránsito.</t>
  </si>
  <si>
    <t>Max W - Cuadrado</t>
  </si>
  <si>
    <t>60mm x 2900mm | 75mm x 2900mm</t>
  </si>
  <si>
    <t>Max W - Premium</t>
  </si>
  <si>
    <t>Max W - Cuarta Caña</t>
  </si>
  <si>
    <t>15mm x 2900mm</t>
  </si>
  <si>
    <t>Max W - Plus</t>
  </si>
  <si>
    <t>18mm</t>
  </si>
  <si>
    <t>70mm x 2900mm</t>
  </si>
  <si>
    <t>N01 - Cuadrado</t>
  </si>
  <si>
    <t>100mm x 2900mm</t>
  </si>
  <si>
    <t>Zócalo de EPS de alta densidad con diseño clásico, recto y minimalista. Es 100% resistente al agua y a los impactos cotidianos, cuenta con canal posterior pasacables y viene listo para instalar, ofreciendo una terminación moderna, duradera y ultra funcional para todo tipo de ambientes.</t>
  </si>
  <si>
    <t>N02 - Redondo</t>
  </si>
  <si>
    <t>N03 - Curve</t>
  </si>
  <si>
    <t>60mm x 2900mm</t>
  </si>
  <si>
    <t>N04 - Tapa Zocalo</t>
  </si>
  <si>
    <t>120mm x 2900mm</t>
  </si>
  <si>
    <t>N05 - Tapa Zocalo</t>
  </si>
  <si>
    <t>150mm x 2900mm</t>
  </si>
  <si>
    <t>N06 - Tapa Zocalo</t>
  </si>
  <si>
    <t>SL101 - Cuadrado</t>
  </si>
  <si>
    <t>13mm</t>
  </si>
  <si>
    <t>SL102 - Cuadrado +Ranura</t>
  </si>
  <si>
    <t>SL71 - Cuadrado</t>
  </si>
  <si>
    <t>70mm x 2400mm</t>
  </si>
  <si>
    <t>SL72 - Cuadrado +Ranura</t>
  </si>
  <si>
    <t>SL11 - Cuarta Caña</t>
  </si>
  <si>
    <t>17mm</t>
  </si>
  <si>
    <t>17mm x 2400mm</t>
  </si>
  <si>
    <t>Fado - 0610 Dora</t>
  </si>
  <si>
    <t>58mm x 2400mm</t>
  </si>
  <si>
    <t>Zócalos FADO de EPS de alta densidad con un exclusivo diseño vanguardista y líneas minimalistas. Son 100% impermeables, altamente resistentes a los impactos cotidianos, cuentan con espacio pasacables trasero y vienen listos para instalar sin necesidad de mantenimiento.</t>
  </si>
  <si>
    <t>Fado - 19 Ontario</t>
  </si>
  <si>
    <t>Ontario</t>
  </si>
  <si>
    <t>Fado - 26 Buffalo Oak</t>
  </si>
  <si>
    <t>Buffalo Oak</t>
  </si>
  <si>
    <t>Fado - 30 Davos Oak</t>
  </si>
  <si>
    <t>Davos oak</t>
  </si>
  <si>
    <t>Fado - 28 Koga Oak</t>
  </si>
  <si>
    <t>Koga Oak</t>
  </si>
  <si>
    <t>Fado - 20  Burgos Oak</t>
  </si>
  <si>
    <t>Burgos Oak</t>
  </si>
  <si>
    <t>Fado - 23 Modena Oak</t>
  </si>
  <si>
    <t>Modena Oak</t>
  </si>
  <si>
    <t>Fado - 09 Memorial Oak</t>
  </si>
  <si>
    <t>Memorial Oak</t>
  </si>
  <si>
    <t>Fado - 32 Nebraska Oak</t>
  </si>
  <si>
    <t>Fado - 12 Dark Oak</t>
  </si>
  <si>
    <t>Dark Oak</t>
  </si>
  <si>
    <t>Fado - 11 Holme Oak</t>
  </si>
  <si>
    <t>Holme Oak</t>
  </si>
  <si>
    <t>Fado2 - Zocalo Cuadrado</t>
  </si>
  <si>
    <t>80mm x 2850mm</t>
  </si>
  <si>
    <t>#31| #61| #70| #98| #W1</t>
  </si>
  <si>
    <t>El zócalo Fado 2 es la evolución directa de una de las líneas de diseño más exitosas del mercado. Fabricado con Poliestireno Expandido de Alta Densidad (EPS), este modelo mantiene la esencia vanguardista y minimalista de su predecesor, pero incorpora un perfil optimizado con mayor presencia geométrica y una altura estilizada, ideal para proyectos contemporáneos que buscan un toque extra de sofisticación y jerarquía en sus terminaciones.</t>
  </si>
  <si>
    <t>Fado2 - Zocalo</t>
  </si>
  <si>
    <t>58mm x 2850mm</t>
  </si>
  <si>
    <t>#08| #26| #31| #33| #58| #61| #70| #71| #80| #82| #84| #95| #98| #W1</t>
  </si>
  <si>
    <t>Fado2 - Cuarta Caña</t>
  </si>
  <si>
    <t>14mm x 2850mm</t>
  </si>
  <si>
    <t>Fado2 - Angulo 22/22</t>
  </si>
  <si>
    <t>22mm x 2850mm</t>
  </si>
  <si>
    <t>#31| #61| #70| #98</t>
  </si>
  <si>
    <t>Fado2 - Tapajunta</t>
  </si>
  <si>
    <t>3.9mm</t>
  </si>
  <si>
    <t>50mm x 2450mm</t>
  </si>
  <si>
    <t>Fado2 - Angulo 24/6</t>
  </si>
  <si>
    <t>6mm</t>
  </si>
  <si>
    <t>24mm x 2450mm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</si>
</sst>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
    <numFmt numFmtId="165" formatCode="yyyy-mm"/>
    <numFmt numFmtId="166" formatCode="d/m"/>
  </numFmts>
  <fonts count="11">
    <font>
      <sz val="11.0"/>
      <color theme="1"/>
      <name val="Calibri"/>
      <scheme val="minor"/>
    </font>
    <font>
      <sz val="11.0"/>
      <color rgb="FFFFFFFF"/>
      <name val="Calibri"/>
    </font>
    <font>
      <sz val="11.0"/>
      <color theme="0"/>
      <name val="Calibri"/>
    </font>
    <font>
      <color theme="1"/>
      <name val="Calibri"/>
      <scheme val="minor"/>
    </font>
    <font>
      <sz val="11.0"/>
      <color theme="1"/>
      <name val="Calibri"/>
    </font>
    <font>
      <b/>
      <color theme="1"/>
      <name val="Calibri"/>
      <scheme val="minor"/>
    </font>
    <font>
      <i/>
      <color theme="1"/>
      <name val="Calibri"/>
      <scheme val="minor"/>
    </font>
    <font>
      <sz val="10.0"/>
      <color theme="1"/>
      <name val="&quot;Google Sans&quot;"/>
    </font>
    <font>
      <u/>
      <sz val="10.0"/>
      <color rgb="FF0000FF"/>
      <name val="&quot;Google Sans&quot;"/>
    </font>
    <font>
      <b/>
      <sz val="11.0"/>
      <color theme="0"/>
      <name val="Calibri"/>
    </font>
    <font>
      <b/>
      <sz val="11.0"/>
      <color rgb="FFFFFFFF"/>
      <name val="Calibri"/>
    </font>
  </fonts>
  <fills count="9">
    <fill>
      <patternFill patternType="none"/>
    </fill>
    <fill>
      <patternFill patternType="lightGray"/>
    </fill>
    <fill>
      <patternFill patternType="solid">
        <fgColor rgb="FF000000"/>
        <bgColor rgb="FF000000"/>
      </patternFill>
    </fill>
    <fill>
      <patternFill patternType="solid">
        <fgColor theme="0"/>
        <bgColor theme="0"/>
      </patternFill>
    </fill>
    <fill>
      <patternFill patternType="solid">
        <fgColor rgb="FFFFFFFF"/>
        <bgColor rgb="FFFFFFFF"/>
      </patternFill>
    </fill>
    <fill>
      <patternFill patternType="solid">
        <fgColor rgb="FFF3F3F3"/>
        <bgColor rgb="FFF3F3F3"/>
      </patternFill>
    </fill>
    <fill>
      <patternFill patternType="solid">
        <fgColor theme="1"/>
        <bgColor theme="1"/>
      </patternFill>
    </fill>
    <fill>
      <patternFill patternType="solid">
        <fgColor rgb="FFFF0000"/>
        <bgColor rgb="FFFF0000"/>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2" numFmtId="0" xfId="0" applyAlignment="1" applyBorder="1" applyFont="1">
      <alignment horizontal="center"/>
    </xf>
    <xf borderId="1" fillId="2" fontId="2" numFmtId="2" xfId="0" applyAlignment="1" applyBorder="1" applyFont="1" applyNumberFormat="1">
      <alignment horizontal="center"/>
    </xf>
    <xf borderId="0" fillId="3" fontId="3" numFmtId="0" xfId="0" applyAlignment="1" applyFill="1" applyFont="1">
      <alignment horizontal="center" readingOrder="0"/>
    </xf>
    <xf borderId="0" fillId="3" fontId="3" numFmtId="0" xfId="0" applyAlignment="1" applyFont="1">
      <alignment readingOrder="0"/>
    </xf>
    <xf borderId="0" fillId="3" fontId="3" numFmtId="2" xfId="0" applyAlignment="1" applyFont="1" applyNumberFormat="1">
      <alignment horizontal="center" readingOrder="0"/>
    </xf>
    <xf borderId="0" fillId="3" fontId="3" numFmtId="2" xfId="0" applyAlignment="1" applyFont="1" applyNumberFormat="1">
      <alignment horizontal="center"/>
    </xf>
    <xf borderId="0" fillId="3" fontId="3" numFmtId="0" xfId="0" applyAlignment="1" applyFont="1">
      <alignment horizontal="center"/>
    </xf>
    <xf borderId="0" fillId="3" fontId="3" numFmtId="2" xfId="0" applyFont="1" applyNumberFormat="1"/>
    <xf borderId="0" fillId="4" fontId="3" numFmtId="0" xfId="0" applyAlignment="1" applyFill="1" applyFont="1">
      <alignment horizontal="center"/>
    </xf>
    <xf borderId="0" fillId="4" fontId="3" numFmtId="0" xfId="0" applyFont="1"/>
    <xf borderId="0" fillId="3" fontId="3" numFmtId="0" xfId="0" applyAlignment="1" applyFont="1">
      <alignment horizontal="center" readingOrder="0"/>
    </xf>
    <xf borderId="0" fillId="3" fontId="3" numFmtId="2" xfId="0" applyAlignment="1" applyFont="1" applyNumberFormat="1">
      <alignment readingOrder="0"/>
    </xf>
    <xf borderId="0" fillId="5" fontId="3" numFmtId="0" xfId="0" applyAlignment="1" applyFill="1" applyFont="1">
      <alignment horizontal="center"/>
    </xf>
    <xf borderId="0" fillId="5" fontId="3" numFmtId="0" xfId="0" applyFont="1"/>
    <xf borderId="0" fillId="3" fontId="4" numFmtId="0" xfId="0" applyAlignment="1" applyFont="1">
      <alignment horizontal="center" readingOrder="0" vertical="bottom"/>
    </xf>
    <xf borderId="0" fillId="3" fontId="4" numFmtId="0" xfId="0" applyAlignment="1" applyFont="1">
      <alignment vertical="bottom"/>
    </xf>
    <xf borderId="0" fillId="3" fontId="4" numFmtId="0" xfId="0" applyAlignment="1" applyFont="1">
      <alignment readingOrder="0" vertical="bottom"/>
    </xf>
    <xf borderId="0" fillId="3" fontId="4" numFmtId="0" xfId="0" applyAlignment="1" applyFont="1">
      <alignment horizontal="center" vertical="bottom"/>
    </xf>
    <xf borderId="0" fillId="3" fontId="4" numFmtId="2" xfId="0" applyAlignment="1" applyFont="1" applyNumberFormat="1">
      <alignment horizontal="center" vertical="bottom"/>
    </xf>
    <xf borderId="0" fillId="3" fontId="4" numFmtId="2" xfId="0" applyAlignment="1" applyFont="1" applyNumberFormat="1">
      <alignment horizontal="right" readingOrder="0" vertical="bottom"/>
    </xf>
    <xf borderId="0" fillId="5" fontId="4" numFmtId="0" xfId="0" applyAlignment="1" applyFont="1">
      <alignment vertical="bottom"/>
    </xf>
    <xf borderId="0" fillId="3" fontId="5" numFmtId="0" xfId="0" applyAlignment="1" applyFont="1">
      <alignment horizontal="center"/>
    </xf>
    <xf borderId="0" fillId="4" fontId="4" numFmtId="0" xfId="0" applyAlignment="1" applyFont="1">
      <alignment vertical="bottom"/>
    </xf>
    <xf borderId="0" fillId="3" fontId="4" numFmtId="2" xfId="0" applyAlignment="1" applyFont="1" applyNumberFormat="1">
      <alignment horizontal="center" readingOrder="0" vertical="bottom"/>
    </xf>
    <xf borderId="0" fillId="3" fontId="4" numFmtId="2" xfId="0" applyAlignment="1" applyFont="1" applyNumberFormat="1">
      <alignment readingOrder="0" vertical="bottom"/>
    </xf>
    <xf borderId="0" fillId="3" fontId="6" numFmtId="0" xfId="0" applyAlignment="1" applyFont="1">
      <alignment horizontal="center" readingOrder="0"/>
    </xf>
    <xf borderId="0" fillId="3" fontId="3" numFmtId="164" xfId="0" applyAlignment="1" applyFont="1" applyNumberFormat="1">
      <alignment horizontal="center" readingOrder="0"/>
    </xf>
    <xf borderId="0" fillId="3" fontId="3" numFmtId="0" xfId="0" applyAlignment="1" applyFont="1">
      <alignment horizontal="right" readingOrder="0"/>
    </xf>
    <xf borderId="0" fillId="0" fontId="3" numFmtId="0" xfId="0" applyAlignment="1" applyFont="1">
      <alignment horizontal="center"/>
    </xf>
    <xf borderId="0" fillId="0" fontId="3" numFmtId="0" xfId="0" applyFont="1"/>
    <xf borderId="0" fillId="0" fontId="3" numFmtId="0" xfId="0" applyAlignment="1" applyFont="1">
      <alignment readingOrder="0"/>
    </xf>
    <xf borderId="0" fillId="0" fontId="3" numFmtId="0" xfId="0" applyAlignment="1" applyFont="1">
      <alignment horizontal="center"/>
    </xf>
    <xf borderId="0" fillId="0" fontId="3" numFmtId="2" xfId="0" applyAlignment="1" applyFont="1" applyNumberFormat="1">
      <alignment horizontal="center"/>
    </xf>
    <xf borderId="0" fillId="0" fontId="3" numFmtId="2" xfId="0" applyFont="1" applyNumberFormat="1"/>
    <xf borderId="1" fillId="6" fontId="2" numFmtId="0" xfId="0" applyAlignment="1" applyBorder="1" applyFill="1" applyFont="1">
      <alignment horizontal="center"/>
    </xf>
    <xf borderId="1" fillId="6" fontId="1" numFmtId="0" xfId="0" applyAlignment="1" applyBorder="1" applyFont="1">
      <alignment horizontal="center" readingOrder="0"/>
    </xf>
    <xf borderId="1" fillId="7" fontId="2" numFmtId="0" xfId="0" applyAlignment="1" applyBorder="1" applyFill="1" applyFont="1">
      <alignment horizontal="center"/>
    </xf>
    <xf borderId="1" fillId="7" fontId="2" numFmtId="0" xfId="0" applyAlignment="1" applyBorder="1" applyFont="1">
      <alignment horizontal="left"/>
    </xf>
    <xf borderId="0" fillId="0" fontId="3" numFmtId="0" xfId="0" applyAlignment="1" applyFont="1">
      <alignment horizontal="center" readingOrder="0"/>
    </xf>
    <xf borderId="0" fillId="0" fontId="3" numFmtId="2" xfId="0" applyAlignment="1" applyFont="1" applyNumberFormat="1">
      <alignment horizontal="center" readingOrder="0"/>
    </xf>
    <xf borderId="0" fillId="0" fontId="7" numFmtId="0" xfId="0" applyAlignment="1" applyFont="1">
      <alignment readingOrder="0"/>
    </xf>
    <xf borderId="0" fillId="0" fontId="3" numFmtId="0" xfId="0" applyFont="1"/>
    <xf borderId="0" fillId="0" fontId="8" numFmtId="0" xfId="0" applyAlignment="1" applyFont="1">
      <alignment readingOrder="0"/>
    </xf>
    <xf borderId="0" fillId="0" fontId="4" numFmtId="0" xfId="0" applyAlignment="1" applyFont="1">
      <alignment horizontal="center" vertical="bottom"/>
    </xf>
    <xf borderId="0" fillId="0" fontId="4" numFmtId="0" xfId="0" applyAlignment="1" applyFont="1">
      <alignment horizontal="center" readingOrder="0" vertical="bottom"/>
    </xf>
    <xf borderId="0" fillId="0" fontId="4" numFmtId="2" xfId="0" applyAlignment="1" applyFont="1" applyNumberFormat="1">
      <alignment horizontal="center" vertical="bottom"/>
    </xf>
    <xf borderId="0" fillId="0" fontId="4" numFmtId="0" xfId="0" applyAlignment="1" applyFont="1">
      <alignment vertical="bottom"/>
    </xf>
    <xf borderId="0" fillId="0" fontId="4" numFmtId="0" xfId="0" applyAlignment="1" applyFont="1">
      <alignment readingOrder="0" vertical="bottom"/>
    </xf>
    <xf borderId="0" fillId="0" fontId="4" numFmtId="2" xfId="0" applyAlignment="1" applyFont="1" applyNumberFormat="1">
      <alignment horizontal="center" readingOrder="0" vertical="bottom"/>
    </xf>
    <xf borderId="0" fillId="0" fontId="3" numFmtId="1" xfId="0" applyAlignment="1" applyFont="1" applyNumberFormat="1">
      <alignment horizontal="center" readingOrder="0"/>
    </xf>
    <xf borderId="1" fillId="6" fontId="1" numFmtId="0" xfId="0" applyAlignment="1" applyBorder="1" applyFont="1">
      <alignment readingOrder="0"/>
    </xf>
    <xf borderId="1" fillId="6" fontId="2" numFmtId="0" xfId="0" applyBorder="1" applyFont="1"/>
    <xf borderId="1" fillId="7" fontId="2" numFmtId="0" xfId="0" applyBorder="1" applyFont="1"/>
    <xf borderId="0" fillId="8" fontId="3" numFmtId="0" xfId="0" applyAlignment="1" applyFill="1" applyFont="1">
      <alignment readingOrder="0"/>
    </xf>
    <xf borderId="0" fillId="0" fontId="3" numFmtId="0" xfId="0" applyAlignment="1" applyFont="1">
      <alignment horizontal="right" readingOrder="0"/>
    </xf>
    <xf borderId="0" fillId="0" fontId="4" numFmtId="0" xfId="0" applyAlignment="1" applyFont="1">
      <alignment horizontal="right" vertical="bottom"/>
    </xf>
    <xf borderId="0" fillId="8" fontId="3" numFmtId="0" xfId="0" applyAlignment="1" applyFont="1">
      <alignment horizontal="center" readingOrder="0"/>
    </xf>
    <xf borderId="0" fillId="0" fontId="3" numFmtId="164" xfId="0" applyAlignment="1" applyFont="1" applyNumberFormat="1">
      <alignment horizontal="center" readingOrder="0"/>
    </xf>
    <xf borderId="0" fillId="0" fontId="3" numFmtId="0" xfId="0" applyAlignment="1" applyFont="1">
      <alignment horizontal="center" readingOrder="0"/>
    </xf>
    <xf borderId="0" fillId="0" fontId="3" numFmtId="0" xfId="0" applyAlignment="1" applyFont="1">
      <alignment shrinkToFit="0" wrapText="0"/>
    </xf>
    <xf borderId="0" fillId="3" fontId="3" numFmtId="0" xfId="0" applyFont="1"/>
    <xf borderId="0" fillId="8" fontId="4" numFmtId="0" xfId="0" applyAlignment="1" applyFont="1">
      <alignment horizontal="center" readingOrder="0" vertical="bottom"/>
    </xf>
    <xf borderId="0" fillId="0" fontId="4" numFmtId="0" xfId="0" applyAlignment="1" applyFont="1">
      <alignment horizontal="right" readingOrder="0" vertical="bottom"/>
    </xf>
    <xf borderId="0" fillId="0" fontId="3" numFmtId="165" xfId="0" applyAlignment="1" applyFont="1" applyNumberFormat="1">
      <alignment horizontal="center" readingOrder="0"/>
    </xf>
    <xf borderId="1" fillId="6" fontId="2" numFmtId="2" xfId="0" applyAlignment="1" applyBorder="1" applyFont="1" applyNumberFormat="1">
      <alignment horizontal="center"/>
    </xf>
    <xf borderId="0" fillId="0" fontId="3" numFmtId="166" xfId="0" applyAlignment="1" applyFont="1" applyNumberFormat="1">
      <alignment horizontal="center" readingOrder="0"/>
    </xf>
    <xf borderId="1" fillId="6" fontId="2" numFmtId="2" xfId="0" applyAlignment="1" applyBorder="1" applyFont="1" applyNumberFormat="1">
      <alignment horizontal="right"/>
    </xf>
    <xf borderId="1" fillId="6" fontId="1" numFmtId="2" xfId="0" applyAlignment="1" applyBorder="1" applyFont="1" applyNumberFormat="1">
      <alignment readingOrder="0"/>
    </xf>
    <xf borderId="1" fillId="7" fontId="1" numFmtId="0" xfId="0" applyAlignment="1" applyBorder="1" applyFont="1">
      <alignment horizontal="center" vertical="bottom"/>
    </xf>
    <xf borderId="0" fillId="0" fontId="3" numFmtId="2" xfId="0" applyAlignment="1" applyFont="1" applyNumberFormat="1">
      <alignment horizontal="right"/>
    </xf>
    <xf borderId="0" fillId="0" fontId="3" numFmtId="2" xfId="0" applyAlignment="1" applyFont="1" applyNumberFormat="1">
      <alignment horizontal="right" readingOrder="0"/>
    </xf>
    <xf borderId="1" fillId="6" fontId="9" numFmtId="0" xfId="0" applyAlignment="1" applyBorder="1" applyFont="1">
      <alignment horizontal="center"/>
    </xf>
    <xf borderId="1" fillId="6" fontId="10" numFmtId="0" xfId="0" applyAlignment="1" applyBorder="1" applyFont="1">
      <alignment horizontal="center" readingOrder="0"/>
    </xf>
    <xf borderId="1" fillId="7" fontId="9" numFmtId="0" xfId="0" applyAlignment="1" applyBorder="1" applyFont="1">
      <alignment horizontal="center"/>
    </xf>
    <xf borderId="1" fillId="7" fontId="10" numFmtId="0" xfId="0" applyAlignment="1" applyBorder="1" applyFont="1">
      <alignment horizontal="center" vertical="bottom"/>
    </xf>
    <xf borderId="0" fillId="0" fontId="5" numFmtId="0" xfId="0" applyFont="1"/>
    <xf borderId="0" fillId="8" fontId="3" numFmtId="0" xfId="0" applyFont="1"/>
    <xf borderId="0" fillId="7" fontId="3" numFmtId="0" xfId="0" applyFon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3">
    <tableStyle count="3" pivot="0" name="2-PORCELANATOS-style">
      <tableStyleElement dxfId="1" type="headerRow"/>
      <tableStyleElement dxfId="2" type="firstRowStripe"/>
      <tableStyleElement dxfId="3" type="secondRowStripe"/>
    </tableStyle>
    <tableStyle count="3" pivot="0" name="PISOS DE MADERA E INGENIERIA-style">
      <tableStyleElement dxfId="1" type="headerRow"/>
      <tableStyleElement dxfId="2" type="firstRowStripe"/>
      <tableStyleElement dxfId="3" type="secondRowStripe"/>
    </tableStyle>
    <tableStyle count="3" pivot="0" name="DECK-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C88" displayName="Table_1" name="Table_1" id="1">
  <tableColumns count="2">
    <tableColumn name="Categoria Principal" id="1"/>
    <tableColumn name="Categoria Secundaria" id="2"/>
  </tableColumns>
  <tableStyleInfo name="2-PORCELANATOS-style" showColumnStripes="0" showFirstColumn="1" showLastColumn="1" showRowStripes="1"/>
</table>
</file>

<file path=xl/tables/table2.xml><?xml version="1.0" encoding="utf-8"?>
<table xmlns="http://schemas.openxmlformats.org/spreadsheetml/2006/main" ref="B1:C45" displayName="Table_2" name="Table_2" id="2">
  <tableColumns count="2">
    <tableColumn name="Categoria Principal" id="1"/>
    <tableColumn name="Categoria Secundaria" id="2"/>
  </tableColumns>
  <tableStyleInfo name="PISOS DE MADERA E INGENIERIA-style" showColumnStripes="0" showFirstColumn="1" showLastColumn="1" showRowStripes="1"/>
</table>
</file>

<file path=xl/tables/table3.xml><?xml version="1.0" encoding="utf-8"?>
<table xmlns="http://schemas.openxmlformats.org/spreadsheetml/2006/main" ref="B1:B32" displayName="Table_3" name="Table_3" id="3">
  <tableColumns count="1">
    <tableColumn name="Categoria Principal" id="1"/>
  </tableColumns>
  <tableStyleInfo name="DEC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torehaus.com.ar/productos/porcelanato-rodano-light-grey-75x75-1h4sx/" TargetMode="External"/><Relationship Id="rId2" Type="http://schemas.openxmlformats.org/officeDocument/2006/relationships/drawing" Target="../drawings/drawing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1.43"/>
    <col customWidth="1" min="3" max="3" width="21.57"/>
    <col customWidth="1" min="4" max="4" width="15.71"/>
    <col customWidth="1" min="5" max="5" width="28.0"/>
    <col customWidth="1" min="6" max="6" width="10.71"/>
    <col customWidth="1" min="7" max="7" width="21.86"/>
    <col customWidth="1" min="8" max="8" width="10.71"/>
    <col customWidth="1" min="9" max="9" width="17.14"/>
    <col customWidth="1" min="10" max="10" width="18.57"/>
    <col customWidth="1" min="11" max="11" width="16.57"/>
    <col customWidth="1" min="12" max="12" width="10.71"/>
    <col customWidth="1" min="13" max="13" width="4.71"/>
    <col customWidth="1" min="14" max="14" width="10.71"/>
    <col customWidth="1" min="15" max="15" width="18.0"/>
    <col customWidth="1" min="16" max="17" width="10.71"/>
    <col customWidth="1" min="18" max="18" width="4.71"/>
    <col customWidth="1" min="19" max="21" width="10.71"/>
    <col customWidth="1" min="22" max="22" width="4.71"/>
    <col customWidth="1" min="23" max="23" width="15.29"/>
    <col customWidth="1" min="24" max="26" width="10.71"/>
    <col customWidth="1" min="27" max="27" width="15.29"/>
    <col customWidth="1" min="28" max="28" width="14.29"/>
    <col customWidth="1" min="29" max="30" width="10.71"/>
    <col customWidth="1" min="31" max="31" width="28.14"/>
    <col customWidth="1" min="32" max="32" width="17.0"/>
    <col customWidth="1" min="33" max="33" width="8.43"/>
    <col customWidth="1" min="34" max="35" width="10.71"/>
    <col customWidth="1" min="36" max="36" width="248.29"/>
  </cols>
  <sheetData>
    <row r="1">
      <c r="A1" s="1" t="s">
        <v>0</v>
      </c>
      <c r="B1" s="1" t="s">
        <v>1</v>
      </c>
      <c r="C1" s="1" t="s">
        <v>2</v>
      </c>
      <c r="D1" s="2" t="s">
        <v>3</v>
      </c>
      <c r="E1" s="1" t="s">
        <v>4</v>
      </c>
      <c r="F1" s="2" t="s">
        <v>5</v>
      </c>
      <c r="G1" s="2" t="s">
        <v>6</v>
      </c>
      <c r="H1" s="2" t="s">
        <v>7</v>
      </c>
      <c r="I1" s="2" t="s">
        <v>8</v>
      </c>
      <c r="J1" s="1" t="s">
        <v>9</v>
      </c>
      <c r="K1" s="2" t="s">
        <v>10</v>
      </c>
      <c r="L1" s="2" t="s">
        <v>11</v>
      </c>
      <c r="M1" s="1" t="s">
        <v>12</v>
      </c>
      <c r="N1" s="2" t="s">
        <v>13</v>
      </c>
      <c r="O1" s="2" t="s">
        <v>14</v>
      </c>
      <c r="P1" s="2" t="s">
        <v>15</v>
      </c>
      <c r="Q1" s="2" t="s">
        <v>16</v>
      </c>
      <c r="R1" s="1" t="s">
        <v>12</v>
      </c>
      <c r="S1" s="2" t="s">
        <v>17</v>
      </c>
      <c r="T1" s="1" t="s">
        <v>12</v>
      </c>
      <c r="U1" s="2" t="s">
        <v>18</v>
      </c>
      <c r="V1" s="1" t="s">
        <v>12</v>
      </c>
      <c r="W1" s="1" t="s">
        <v>19</v>
      </c>
      <c r="X1" s="3" t="s">
        <v>20</v>
      </c>
      <c r="Y1" s="1" t="s">
        <v>21</v>
      </c>
      <c r="Z1" s="3" t="s">
        <v>22</v>
      </c>
      <c r="AA1" s="1" t="s">
        <v>23</v>
      </c>
      <c r="AB1" s="1" t="s">
        <v>24</v>
      </c>
      <c r="AC1" s="1" t="s">
        <v>25</v>
      </c>
      <c r="AD1" s="3" t="s">
        <v>26</v>
      </c>
      <c r="AE1" s="2" t="s">
        <v>27</v>
      </c>
      <c r="AF1" s="2" t="s">
        <v>28</v>
      </c>
      <c r="AG1" s="2" t="s">
        <v>29</v>
      </c>
      <c r="AH1" s="2" t="s">
        <v>30</v>
      </c>
      <c r="AI1" s="2" t="s">
        <v>31</v>
      </c>
      <c r="AJ1" s="2" t="s">
        <v>32</v>
      </c>
    </row>
    <row r="2">
      <c r="A2" s="4">
        <v>14704.0</v>
      </c>
      <c r="B2" s="5" t="s">
        <v>33</v>
      </c>
      <c r="C2" s="5" t="s">
        <v>34</v>
      </c>
      <c r="D2" s="5" t="s">
        <v>35</v>
      </c>
      <c r="E2" s="5" t="s">
        <v>36</v>
      </c>
      <c r="F2" s="5" t="s">
        <v>37</v>
      </c>
      <c r="G2" s="5" t="s">
        <v>38</v>
      </c>
      <c r="H2" s="4">
        <v>2967.0</v>
      </c>
      <c r="I2" s="5" t="s">
        <v>39</v>
      </c>
      <c r="J2" s="5" t="s">
        <v>40</v>
      </c>
      <c r="K2" s="5" t="s">
        <v>41</v>
      </c>
      <c r="L2" s="4">
        <v>10.0</v>
      </c>
      <c r="M2" s="5" t="s">
        <v>42</v>
      </c>
      <c r="N2" s="4" t="s">
        <v>43</v>
      </c>
      <c r="O2" s="4" t="s">
        <v>44</v>
      </c>
      <c r="P2" s="4" t="s">
        <v>45</v>
      </c>
      <c r="Q2" s="4">
        <v>157.0</v>
      </c>
      <c r="R2" s="5" t="s">
        <v>42</v>
      </c>
      <c r="S2" s="4">
        <v>1380.0</v>
      </c>
      <c r="T2" s="5" t="s">
        <v>42</v>
      </c>
      <c r="U2" s="4">
        <v>1.3</v>
      </c>
      <c r="V2" s="5" t="s">
        <v>46</v>
      </c>
      <c r="W2" s="4">
        <v>6.0</v>
      </c>
      <c r="X2" s="6">
        <v>22.0</v>
      </c>
      <c r="Y2" s="4" t="s">
        <v>47</v>
      </c>
      <c r="Z2" s="7">
        <f t="shared" ref="Z2:Z172" si="1">U2*X2</f>
        <v>28.6</v>
      </c>
      <c r="AA2" s="4">
        <v>15.0</v>
      </c>
      <c r="AB2" s="4"/>
      <c r="AC2" s="8">
        <f t="shared" ref="AC2:AC172" si="2">AA2*AB2</f>
        <v>0</v>
      </c>
      <c r="AD2" s="9"/>
      <c r="AE2" s="10" t="s">
        <v>48</v>
      </c>
      <c r="AF2" s="11"/>
      <c r="AG2" s="11"/>
      <c r="AH2" s="11"/>
      <c r="AI2" s="11"/>
      <c r="AJ2" s="11" t="str">
        <f>IFERROR(__xludf.DUMMYFUNCTION("AI(""Completa un valor adecuado para esta celda en función del contexto de la tabla"")"),"Piso flotante laminado de origen alemán, marca Kronotex y línea Amazone, diseñado para uso comercial intenso gracias a su alta resistencia a la abrasión AC5. Posee un espesor de 10 mm, sistema de instalación click y cuenta con bisel en sus tablas para una"&amp;" terminación elegante. Con un formato de 1380 mm por 157 mm, cada caja cubre una superficie de 1.3 m2.")</f>
        <v>Piso flotante laminado de origen alemán, marca Kronotex y línea Amazone, diseñado para uso comercial intenso gracias a su alta resistencia a la abrasión AC5. Posee un espesor de 10 mm, sistema de instalación click y cuenta con bisel en sus tablas para una terminación elegante. Con un formato de 1380 mm por 157 mm, cada caja cubre una superficie de 1.3 m2.</v>
      </c>
    </row>
    <row r="3">
      <c r="A3" s="4">
        <v>25340.0</v>
      </c>
      <c r="B3" s="5" t="s">
        <v>33</v>
      </c>
      <c r="C3" s="5" t="s">
        <v>34</v>
      </c>
      <c r="D3" s="5" t="s">
        <v>35</v>
      </c>
      <c r="E3" s="5" t="s">
        <v>49</v>
      </c>
      <c r="F3" s="5" t="s">
        <v>50</v>
      </c>
      <c r="G3" s="5" t="s">
        <v>51</v>
      </c>
      <c r="H3" s="12"/>
      <c r="I3" s="5" t="s">
        <v>52</v>
      </c>
      <c r="J3" s="5" t="s">
        <v>53</v>
      </c>
      <c r="K3" s="5" t="s">
        <v>54</v>
      </c>
      <c r="L3" s="4">
        <v>8.0</v>
      </c>
      <c r="M3" s="5" t="s">
        <v>42</v>
      </c>
      <c r="N3" s="4" t="s">
        <v>55</v>
      </c>
      <c r="O3" s="4" t="s">
        <v>44</v>
      </c>
      <c r="P3" s="4" t="s">
        <v>45</v>
      </c>
      <c r="Q3" s="4">
        <v>198.0</v>
      </c>
      <c r="R3" s="5" t="s">
        <v>42</v>
      </c>
      <c r="S3" s="4">
        <v>1216.0</v>
      </c>
      <c r="T3" s="5" t="s">
        <v>42</v>
      </c>
      <c r="U3" s="4">
        <v>2.17</v>
      </c>
      <c r="V3" s="5" t="s">
        <v>46</v>
      </c>
      <c r="W3" s="4">
        <v>9.0</v>
      </c>
      <c r="X3" s="6">
        <v>16.0</v>
      </c>
      <c r="Y3" s="4" t="s">
        <v>56</v>
      </c>
      <c r="Z3" s="7">
        <f t="shared" si="1"/>
        <v>34.72</v>
      </c>
      <c r="AA3" s="4">
        <v>15.0</v>
      </c>
      <c r="AB3" s="4">
        <v>65.0</v>
      </c>
      <c r="AC3" s="8">
        <f t="shared" si="2"/>
        <v>975</v>
      </c>
      <c r="AD3" s="13">
        <v>1634.01</v>
      </c>
      <c r="AE3" s="14" t="s">
        <v>57</v>
      </c>
      <c r="AF3" s="15"/>
      <c r="AG3" s="15"/>
      <c r="AH3" s="15"/>
      <c r="AI3" s="15"/>
      <c r="AJ3" s="15" t="str">
        <f>IFERROR(__xludf.DUMMYFUNCTION("AI(""Completa un valor adecuado para esta celda en función del contexto de la tabla"")"),"Piso flotante laminado de origen alemán, ideal para uso comercial por su resistencia a la abrasión AC4. Con un espesor de 8 mm y sistema de instalación click, este modelo de la línea Dinamic no cuenta con bisel y pertenece a la categoría clásica. Cada caj"&amp;"a cubre una superficie de 2.13 m2.")</f>
        <v>Piso flotante laminado de origen alemán, ideal para uso comercial por su resistencia a la abrasión AC4. Con un espesor de 8 mm y sistema de instalación click, este modelo de la línea Dinamic no cuenta con bisel y pertenece a la categoría clásica. Cada caja cubre una superficie de 2.13 m2.</v>
      </c>
    </row>
    <row r="4">
      <c r="A4" s="4">
        <v>23554.0</v>
      </c>
      <c r="B4" s="5" t="s">
        <v>33</v>
      </c>
      <c r="C4" s="5" t="s">
        <v>34</v>
      </c>
      <c r="D4" s="5" t="s">
        <v>35</v>
      </c>
      <c r="E4" s="5" t="s">
        <v>58</v>
      </c>
      <c r="F4" s="5" t="s">
        <v>37</v>
      </c>
      <c r="G4" s="5" t="s">
        <v>59</v>
      </c>
      <c r="H4" s="4">
        <v>1202.0</v>
      </c>
      <c r="I4" s="5" t="s">
        <v>39</v>
      </c>
      <c r="J4" s="5" t="s">
        <v>60</v>
      </c>
      <c r="K4" s="5" t="s">
        <v>41</v>
      </c>
      <c r="L4" s="4">
        <v>12.0</v>
      </c>
      <c r="M4" s="5" t="s">
        <v>42</v>
      </c>
      <c r="N4" s="4" t="s">
        <v>43</v>
      </c>
      <c r="O4" s="4" t="s">
        <v>44</v>
      </c>
      <c r="P4" s="4" t="s">
        <v>45</v>
      </c>
      <c r="Q4" s="4">
        <v>191.0</v>
      </c>
      <c r="R4" s="5" t="s">
        <v>42</v>
      </c>
      <c r="S4" s="4">
        <v>1380.0</v>
      </c>
      <c r="T4" s="5" t="s">
        <v>42</v>
      </c>
      <c r="U4" s="4">
        <v>1.32</v>
      </c>
      <c r="V4" s="5" t="s">
        <v>46</v>
      </c>
      <c r="W4" s="4">
        <v>5.0</v>
      </c>
      <c r="X4" s="6">
        <v>16.55</v>
      </c>
      <c r="Y4" s="4" t="s">
        <v>61</v>
      </c>
      <c r="Z4" s="7">
        <f t="shared" si="1"/>
        <v>21.846</v>
      </c>
      <c r="AA4" s="4">
        <v>15.0</v>
      </c>
      <c r="AB4" s="4">
        <v>56.0</v>
      </c>
      <c r="AC4" s="8">
        <f t="shared" si="2"/>
        <v>840</v>
      </c>
      <c r="AD4" s="13">
        <v>4142.0</v>
      </c>
      <c r="AE4" s="10" t="s">
        <v>62</v>
      </c>
      <c r="AF4" s="11"/>
      <c r="AG4" s="11"/>
      <c r="AH4" s="11"/>
      <c r="AI4" s="11"/>
      <c r="AJ4" s="11" t="str">
        <f>IFERROR(__xludf.DUMMYFUNCTION("ai(""descripcion breve de este piso"")"),"Piso flotante laminado de origen alemán, ideal para uso comercial intenso por su resistencia a la abrasión AC5. Con un espesor de 12 mm y sistema de instalación click, este modelo cuenta con bisel en sus cuatro lados y protección resistente al agua. Cada "&amp;"caja cubre una superficie de 1.32 m2.")</f>
        <v>Piso flotante laminado de origen alemán, ideal para uso comercial intenso por su resistencia a la abrasión AC5. Con un espesor de 12 mm y sistema de instalación click, este modelo cuenta con bisel en sus cuatro lados y protección resistente al agua. Cada caja cubre una superficie de 1.32 m2.</v>
      </c>
    </row>
    <row r="5">
      <c r="A5" s="4">
        <v>23559.0</v>
      </c>
      <c r="B5" s="5" t="s">
        <v>33</v>
      </c>
      <c r="C5" s="5" t="s">
        <v>34</v>
      </c>
      <c r="D5" s="5" t="s">
        <v>35</v>
      </c>
      <c r="E5" s="5" t="s">
        <v>58</v>
      </c>
      <c r="F5" s="5" t="s">
        <v>37</v>
      </c>
      <c r="G5" s="5" t="s">
        <v>59</v>
      </c>
      <c r="H5" s="4" t="s">
        <v>63</v>
      </c>
      <c r="I5" s="5" t="s">
        <v>39</v>
      </c>
      <c r="J5" s="5" t="s">
        <v>64</v>
      </c>
      <c r="K5" s="5" t="s">
        <v>41</v>
      </c>
      <c r="L5" s="4">
        <v>12.0</v>
      </c>
      <c r="M5" s="5" t="s">
        <v>42</v>
      </c>
      <c r="N5" s="4" t="s">
        <v>43</v>
      </c>
      <c r="O5" s="4" t="s">
        <v>44</v>
      </c>
      <c r="P5" s="4" t="s">
        <v>45</v>
      </c>
      <c r="Q5" s="4">
        <v>191.0</v>
      </c>
      <c r="R5" s="5" t="s">
        <v>42</v>
      </c>
      <c r="S5" s="4">
        <v>1380.0</v>
      </c>
      <c r="T5" s="5" t="s">
        <v>42</v>
      </c>
      <c r="U5" s="4">
        <v>1.32</v>
      </c>
      <c r="V5" s="5" t="s">
        <v>46</v>
      </c>
      <c r="W5" s="4">
        <v>5.0</v>
      </c>
      <c r="X5" s="6">
        <v>21.95</v>
      </c>
      <c r="Y5" s="4" t="s">
        <v>47</v>
      </c>
      <c r="Z5" s="7">
        <f t="shared" si="1"/>
        <v>28.974</v>
      </c>
      <c r="AA5" s="4">
        <v>15.0</v>
      </c>
      <c r="AB5" s="4">
        <v>56.0</v>
      </c>
      <c r="AC5" s="8">
        <f t="shared" si="2"/>
        <v>840</v>
      </c>
      <c r="AD5" s="13">
        <v>2967.35</v>
      </c>
      <c r="AE5" s="14" t="s">
        <v>65</v>
      </c>
      <c r="AF5" s="15"/>
      <c r="AG5" s="15"/>
      <c r="AH5" s="15"/>
      <c r="AI5" s="15"/>
      <c r="AJ5" s="15" t="str">
        <f>IFERROR(__xludf.DUMMYFUNCTION("AI(""Completa un valor adecuado para esta celda en función del contexto de la tabla"")"),"Piso flotante laminado de origen alemán, marca Kronotex y línea Exquisit, diseñado para uso comercial por su resistencia a la abrasión AC4. Posee un espesor de 8 mm, sistema de instalación click y bisel en sus cuatro lados para una terminación elegante. C"&amp;"ada caja contiene 8 tablas y cubre una superficie de 2.13 m2.")</f>
        <v>Piso flotante laminado de origen alemán, marca Kronotex y línea Exquisit, diseñado para uso comercial por su resistencia a la abrasión AC4. Posee un espesor de 8 mm, sistema de instalación click y bisel en sus cuatro lados para una terminación elegante. Cada caja contiene 8 tablas y cubre una superficie de 2.13 m2.</v>
      </c>
    </row>
    <row r="6">
      <c r="A6" s="4">
        <v>23754.0</v>
      </c>
      <c r="B6" s="5" t="s">
        <v>33</v>
      </c>
      <c r="C6" s="5" t="s">
        <v>34</v>
      </c>
      <c r="D6" s="5" t="s">
        <v>35</v>
      </c>
      <c r="E6" s="5" t="s">
        <v>36</v>
      </c>
      <c r="F6" s="5" t="s">
        <v>37</v>
      </c>
      <c r="G6" s="5" t="s">
        <v>66</v>
      </c>
      <c r="H6" s="4" t="s">
        <v>67</v>
      </c>
      <c r="I6" s="5" t="s">
        <v>39</v>
      </c>
      <c r="J6" s="5" t="s">
        <v>68</v>
      </c>
      <c r="K6" s="5" t="s">
        <v>54</v>
      </c>
      <c r="L6" s="4">
        <v>7.0</v>
      </c>
      <c r="M6" s="5" t="s">
        <v>42</v>
      </c>
      <c r="N6" s="4" t="s">
        <v>55</v>
      </c>
      <c r="O6" s="4" t="s">
        <v>44</v>
      </c>
      <c r="P6" s="8"/>
      <c r="Q6" s="4">
        <v>193.0</v>
      </c>
      <c r="R6" s="5" t="s">
        <v>42</v>
      </c>
      <c r="S6" s="4">
        <v>1376.0</v>
      </c>
      <c r="T6" s="5" t="s">
        <v>42</v>
      </c>
      <c r="U6" s="4">
        <v>2.39</v>
      </c>
      <c r="V6" s="5" t="s">
        <v>46</v>
      </c>
      <c r="W6" s="4">
        <v>9.0</v>
      </c>
      <c r="X6" s="6">
        <v>13.1</v>
      </c>
      <c r="Y6" s="4" t="s">
        <v>47</v>
      </c>
      <c r="Z6" s="7">
        <f t="shared" si="1"/>
        <v>31.309</v>
      </c>
      <c r="AA6" s="4">
        <v>15.0</v>
      </c>
      <c r="AB6" s="8"/>
      <c r="AC6" s="8">
        <f t="shared" si="2"/>
        <v>0</v>
      </c>
      <c r="AD6" s="13">
        <v>143.4</v>
      </c>
      <c r="AE6" s="10" t="s">
        <v>69</v>
      </c>
      <c r="AF6" s="11"/>
      <c r="AG6" s="11"/>
      <c r="AH6" s="11"/>
      <c r="AI6" s="11"/>
      <c r="AJ6" s="11" t="str">
        <f>IFERROR(__xludf.DUMMYFUNCTION("AI(""Completa un valor adecuado para esta celda en función del contexto de la tabla"")"),"Piso flotante laminado de origen alemán, marca Kronotex, diseñado para uso comercial por su resistencia a la abrasión AC4. Posee un espesor de 8 mm, cuenta con bisel en sus lados y su diseño en tono Fresno polar brinda elegancia a los ambientes. Cada caja"&amp;" rinde 2.13 m2 e incluye 8 tablas.")</f>
        <v>Piso flotante laminado de origen alemán, marca Kronotex, diseñado para uso comercial por su resistencia a la abrasión AC4. Posee un espesor de 8 mm, cuenta con bisel en sus lados y su diseño en tono Fresno polar brinda elegancia a los ambientes. Cada caja rinde 2.13 m2 e incluye 8 tablas.</v>
      </c>
    </row>
    <row r="7">
      <c r="A7" s="4">
        <v>25078.0</v>
      </c>
      <c r="B7" s="5" t="s">
        <v>33</v>
      </c>
      <c r="C7" s="5" t="s">
        <v>34</v>
      </c>
      <c r="D7" s="5" t="s">
        <v>35</v>
      </c>
      <c r="E7" s="5" t="s">
        <v>58</v>
      </c>
      <c r="F7" s="5" t="s">
        <v>37</v>
      </c>
      <c r="G7" s="5" t="s">
        <v>70</v>
      </c>
      <c r="H7" s="4" t="s">
        <v>71</v>
      </c>
      <c r="I7" s="5" t="s">
        <v>72</v>
      </c>
      <c r="J7" s="5" t="s">
        <v>73</v>
      </c>
      <c r="K7" s="5" t="s">
        <v>54</v>
      </c>
      <c r="L7" s="4">
        <v>8.0</v>
      </c>
      <c r="M7" s="5" t="s">
        <v>42</v>
      </c>
      <c r="N7" s="4" t="s">
        <v>55</v>
      </c>
      <c r="O7" s="4" t="s">
        <v>44</v>
      </c>
      <c r="P7" s="4" t="s">
        <v>74</v>
      </c>
      <c r="Q7" s="4">
        <v>195.0</v>
      </c>
      <c r="R7" s="5" t="s">
        <v>42</v>
      </c>
      <c r="S7" s="4">
        <v>1288.0</v>
      </c>
      <c r="T7" s="5" t="s">
        <v>42</v>
      </c>
      <c r="U7" s="4">
        <v>2.26</v>
      </c>
      <c r="V7" s="5" t="s">
        <v>46</v>
      </c>
      <c r="W7" s="4">
        <v>9.0</v>
      </c>
      <c r="X7" s="6">
        <v>21.5</v>
      </c>
      <c r="Y7" s="4" t="s">
        <v>61</v>
      </c>
      <c r="Z7" s="7">
        <f t="shared" si="1"/>
        <v>48.59</v>
      </c>
      <c r="AA7" s="4">
        <v>15.0</v>
      </c>
      <c r="AB7" s="8"/>
      <c r="AC7" s="8">
        <f t="shared" si="2"/>
        <v>0</v>
      </c>
      <c r="AD7" s="13">
        <v>1593.3</v>
      </c>
      <c r="AE7" s="14" t="s">
        <v>75</v>
      </c>
      <c r="AF7" s="15"/>
      <c r="AG7" s="15"/>
      <c r="AH7" s="15"/>
      <c r="AI7" s="15"/>
      <c r="AJ7" s="15" t="str">
        <f>IFERROR(__xludf.DUMMYFUNCTION("AI(""Completa un valor adecuado para esta celda en función del contexto de la tabla"")"),"Piso flotante laminado de origen alemán, marca Kronotex y línea Advance, ideal para uso comercial por su resistencia AC4. Con un espesor de 8 mm y sistema de instalación click, este modelo cuenta con bisel en sus cuatro lados. Cada caja cubre una superfic"&amp;"ie de 2.13 m2.")</f>
        <v>Piso flotante laminado de origen alemán, marca Kronotex y línea Advance, ideal para uso comercial por su resistencia AC4. Con un espesor de 8 mm y sistema de instalación click, este modelo cuenta con bisel en sus cuatro lados. Cada caja cubre una superficie de 2.13 m2.</v>
      </c>
    </row>
    <row r="8">
      <c r="A8" s="4">
        <v>23010.0</v>
      </c>
      <c r="B8" s="5" t="s">
        <v>33</v>
      </c>
      <c r="C8" s="5" t="s">
        <v>34</v>
      </c>
      <c r="D8" s="5" t="s">
        <v>35</v>
      </c>
      <c r="E8" s="5" t="s">
        <v>36</v>
      </c>
      <c r="F8" s="5" t="s">
        <v>37</v>
      </c>
      <c r="G8" s="5" t="s">
        <v>76</v>
      </c>
      <c r="H8" s="4">
        <v>8155.0</v>
      </c>
      <c r="I8" s="5" t="s">
        <v>72</v>
      </c>
      <c r="J8" s="5" t="s">
        <v>77</v>
      </c>
      <c r="K8" s="5" t="s">
        <v>41</v>
      </c>
      <c r="L8" s="4">
        <v>10.0</v>
      </c>
      <c r="M8" s="5" t="s">
        <v>42</v>
      </c>
      <c r="N8" s="4" t="s">
        <v>43</v>
      </c>
      <c r="O8" s="4" t="s">
        <v>44</v>
      </c>
      <c r="P8" s="4" t="s">
        <v>45</v>
      </c>
      <c r="Q8" s="4">
        <v>242.0</v>
      </c>
      <c r="R8" s="5" t="s">
        <v>42</v>
      </c>
      <c r="S8" s="4">
        <v>2000.0</v>
      </c>
      <c r="T8" s="5" t="s">
        <v>42</v>
      </c>
      <c r="U8" s="4">
        <v>2.42</v>
      </c>
      <c r="V8" s="5" t="s">
        <v>46</v>
      </c>
      <c r="W8" s="4">
        <v>7.0</v>
      </c>
      <c r="X8" s="6">
        <v>30.5</v>
      </c>
      <c r="Y8" s="4" t="s">
        <v>47</v>
      </c>
      <c r="Z8" s="7">
        <f t="shared" si="1"/>
        <v>73.81</v>
      </c>
      <c r="AA8" s="4">
        <v>15.0</v>
      </c>
      <c r="AB8" s="8"/>
      <c r="AC8" s="8">
        <f t="shared" si="2"/>
        <v>0</v>
      </c>
      <c r="AD8" s="13">
        <v>970.42</v>
      </c>
      <c r="AE8" s="10" t="s">
        <v>78</v>
      </c>
      <c r="AJ8" s="11" t="str">
        <f>IFERROR(__xludf.DUMMYFUNCTION("AI(""Completa un valor adecuado para esta celda en función del contexto de la tabla"")"),"Piso flotante laminado de origen alemán, diseñado para uso comercial por su resistencia a la abrasión AC4. Con un espesor de 8 mm, este modelo de la línea Advance cuenta con bisel en sus cuatro lados. Cada caja contiene 8 tablas y cubre una superficie de "&amp;"2.13 m2.")</f>
        <v>Piso flotante laminado de origen alemán, diseñado para uso comercial por su resistencia a la abrasión AC4. Con un espesor de 8 mm, este modelo de la línea Advance cuenta con bisel en sus cuatro lados. Cada caja contiene 8 tablas y cubre una superficie de 2.13 m2.</v>
      </c>
    </row>
    <row r="9">
      <c r="A9" s="16">
        <v>24856.0</v>
      </c>
      <c r="B9" s="5" t="s">
        <v>33</v>
      </c>
      <c r="C9" s="5" t="s">
        <v>34</v>
      </c>
      <c r="D9" s="5" t="s">
        <v>35</v>
      </c>
      <c r="E9" s="17" t="s">
        <v>49</v>
      </c>
      <c r="F9" s="17" t="s">
        <v>37</v>
      </c>
      <c r="G9" s="18" t="s">
        <v>79</v>
      </c>
      <c r="H9" s="16">
        <v>8155.0</v>
      </c>
      <c r="I9" s="5" t="s">
        <v>72</v>
      </c>
      <c r="J9" s="17" t="s">
        <v>80</v>
      </c>
      <c r="K9" s="5" t="s">
        <v>41</v>
      </c>
      <c r="L9" s="19">
        <v>8.0</v>
      </c>
      <c r="M9" s="17" t="s">
        <v>42</v>
      </c>
      <c r="N9" s="19" t="s">
        <v>43</v>
      </c>
      <c r="O9" s="19" t="s">
        <v>44</v>
      </c>
      <c r="P9" s="19" t="s">
        <v>45</v>
      </c>
      <c r="Q9" s="19">
        <v>195.0</v>
      </c>
      <c r="R9" s="17" t="s">
        <v>42</v>
      </c>
      <c r="S9" s="19">
        <v>1290.0</v>
      </c>
      <c r="T9" s="17" t="s">
        <v>42</v>
      </c>
      <c r="U9" s="19">
        <v>2.26</v>
      </c>
      <c r="V9" s="17" t="s">
        <v>46</v>
      </c>
      <c r="W9" s="19">
        <v>9.0</v>
      </c>
      <c r="X9" s="20">
        <v>26.85</v>
      </c>
      <c r="Y9" s="19" t="s">
        <v>61</v>
      </c>
      <c r="Z9" s="20">
        <f t="shared" si="1"/>
        <v>60.681</v>
      </c>
      <c r="AA9" s="4">
        <v>15.0</v>
      </c>
      <c r="AB9" s="19">
        <v>52.0</v>
      </c>
      <c r="AC9" s="8">
        <f t="shared" si="2"/>
        <v>780</v>
      </c>
      <c r="AD9" s="21">
        <v>2756.19</v>
      </c>
      <c r="AE9" s="14" t="s">
        <v>81</v>
      </c>
      <c r="AF9" s="22"/>
      <c r="AG9" s="22"/>
      <c r="AH9" s="22"/>
      <c r="AI9" s="22"/>
      <c r="AJ9" s="22" t="str">
        <f>IFERROR(__xludf.DUMMYFUNCTION("AI(""Completa un valor adecuado para esta celda en función del contexto de la tabla"")"),"Piso flotante laminado de origen alemán, ideal para uso comercial por su resistencia a la abrasión AC4. Con un espesor de 8 mm y sistema de instalación click, este modelo de la línea Variostep cuenta con bisel en sus cuatro lados. Cada caja cubre una supe"&amp;"rficie de 2.22 m2.")</f>
        <v>Piso flotante laminado de origen alemán, ideal para uso comercial por su resistencia a la abrasión AC4. Con un espesor de 8 mm y sistema de instalación click, este modelo de la línea Variostep cuenta con bisel en sus cuatro lados. Cada caja cubre una superficie de 2.22 m2.</v>
      </c>
    </row>
    <row r="10">
      <c r="A10" s="4">
        <v>25203.0</v>
      </c>
      <c r="B10" s="5" t="s">
        <v>33</v>
      </c>
      <c r="C10" s="5" t="s">
        <v>34</v>
      </c>
      <c r="D10" s="5" t="s">
        <v>35</v>
      </c>
      <c r="E10" s="5" t="s">
        <v>58</v>
      </c>
      <c r="F10" s="5" t="s">
        <v>37</v>
      </c>
      <c r="G10" s="5" t="s">
        <v>82</v>
      </c>
      <c r="H10" s="4" t="s">
        <v>83</v>
      </c>
      <c r="I10" s="5" t="s">
        <v>72</v>
      </c>
      <c r="J10" s="5" t="s">
        <v>73</v>
      </c>
      <c r="K10" s="5" t="s">
        <v>54</v>
      </c>
      <c r="L10" s="4">
        <v>8.0</v>
      </c>
      <c r="M10" s="5" t="s">
        <v>42</v>
      </c>
      <c r="N10" s="4" t="s">
        <v>55</v>
      </c>
      <c r="O10" s="4" t="s">
        <v>45</v>
      </c>
      <c r="P10" s="4" t="s">
        <v>74</v>
      </c>
      <c r="Q10" s="4">
        <v>245.0</v>
      </c>
      <c r="R10" s="5" t="s">
        <v>42</v>
      </c>
      <c r="S10" s="4">
        <v>2003.0</v>
      </c>
      <c r="T10" s="5" t="s">
        <v>42</v>
      </c>
      <c r="U10" s="4">
        <v>2.94</v>
      </c>
      <c r="V10" s="5" t="s">
        <v>46</v>
      </c>
      <c r="W10" s="4">
        <v>6.0</v>
      </c>
      <c r="X10" s="6">
        <v>28.84</v>
      </c>
      <c r="Y10" s="4" t="s">
        <v>61</v>
      </c>
      <c r="Z10" s="7">
        <f t="shared" si="1"/>
        <v>84.7896</v>
      </c>
      <c r="AA10" s="4">
        <v>15.0</v>
      </c>
      <c r="AB10" s="8"/>
      <c r="AC10" s="8">
        <f t="shared" si="2"/>
        <v>0</v>
      </c>
      <c r="AD10" s="13">
        <v>2281.44</v>
      </c>
      <c r="AE10" s="10" t="s">
        <v>84</v>
      </c>
      <c r="AF10" s="11"/>
      <c r="AG10" s="11"/>
      <c r="AH10" s="11"/>
      <c r="AI10" s="11"/>
      <c r="AJ10" s="11" t="str">
        <f>IFERROR(__xludf.DUMMYFUNCTION("AI(""Completa un valor adecuado para esta celda en función del contexto de la tabla"")"),"Piso flotante laminado de origen alemán, marca Krono Original de la línea More, diseñado para uso comercial con resistencia a la abrasión AC4. Posee un espesor de 8 mm, sistema de bisel en sus cuatro lados y cuenta con manto incorporado para mayor confort"&amp;". Este modelo, resistente al agua (Water Resistant), se presenta en tablas de 2003 mm por 245 mm, con un rendimiento por caja de 2.94 m2.")</f>
        <v>Piso flotante laminado de origen alemán, marca Krono Original de la línea More, diseñado para uso comercial con resistencia a la abrasión AC4. Posee un espesor de 8 mm, sistema de bisel en sus cuatro lados y cuenta con manto incorporado para mayor confort. Este modelo, resistente al agua (Water Resistant), se presenta en tablas de 2003 mm por 245 mm, con un rendimiento por caja de 2.94 m2.</v>
      </c>
    </row>
    <row r="11">
      <c r="A11" s="4">
        <v>17887.0</v>
      </c>
      <c r="B11" s="5" t="s">
        <v>33</v>
      </c>
      <c r="C11" s="5" t="s">
        <v>34</v>
      </c>
      <c r="D11" s="5" t="s">
        <v>35</v>
      </c>
      <c r="E11" s="5" t="s">
        <v>36</v>
      </c>
      <c r="F11" s="5" t="s">
        <v>37</v>
      </c>
      <c r="G11" s="5" t="s">
        <v>85</v>
      </c>
      <c r="H11" s="4">
        <v>3007.0</v>
      </c>
      <c r="I11" s="5" t="s">
        <v>39</v>
      </c>
      <c r="J11" s="5" t="s">
        <v>86</v>
      </c>
      <c r="K11" s="5" t="s">
        <v>54</v>
      </c>
      <c r="L11" s="4">
        <v>8.0</v>
      </c>
      <c r="M11" s="5" t="s">
        <v>42</v>
      </c>
      <c r="N11" s="4" t="s">
        <v>55</v>
      </c>
      <c r="O11" s="4" t="s">
        <v>44</v>
      </c>
      <c r="P11" s="4" t="s">
        <v>44</v>
      </c>
      <c r="Q11" s="4">
        <v>193.0</v>
      </c>
      <c r="R11" s="5" t="s">
        <v>42</v>
      </c>
      <c r="S11" s="4">
        <v>1380.0</v>
      </c>
      <c r="T11" s="5" t="s">
        <v>42</v>
      </c>
      <c r="U11" s="4">
        <v>2.13</v>
      </c>
      <c r="V11" s="5" t="s">
        <v>46</v>
      </c>
      <c r="W11" s="4">
        <v>8.0</v>
      </c>
      <c r="X11" s="6">
        <v>19.1</v>
      </c>
      <c r="Y11" s="4" t="s">
        <v>47</v>
      </c>
      <c r="Z11" s="7">
        <f t="shared" si="1"/>
        <v>40.683</v>
      </c>
      <c r="AA11" s="4">
        <v>15.0</v>
      </c>
      <c r="AB11" s="4">
        <v>56.0</v>
      </c>
      <c r="AC11" s="8">
        <f t="shared" si="2"/>
        <v>840</v>
      </c>
      <c r="AD11" s="13">
        <v>331.28</v>
      </c>
      <c r="AE11" s="14" t="s">
        <v>87</v>
      </c>
      <c r="AF11" s="15"/>
      <c r="AG11" s="15"/>
      <c r="AH11" s="15"/>
      <c r="AI11" s="15"/>
      <c r="AJ11" s="15" t="str">
        <f>IFERROR(__xludf.DUMMYFUNCTION("AI(""Completa un valor adecuado para esta celda en función del contexto de la tabla"")"),"Piso flotante laminado de origen alemán, diseñado para uso comercial intenso gracias a su alta resistencia a la abrasión AC5. Con un espesor de 8 mm y sistema de instalación click, este modelo de la línea ORCA cuenta con bisel y tecnología waterproof que "&amp;"ofrece protección avanzada contra la humedad. Cada caja cubre una superficie de 2.26 m2.")</f>
        <v>Piso flotante laminado de origen alemán, diseñado para uso comercial intenso gracias a su alta resistencia a la abrasión AC5. Con un espesor de 8 mm y sistema de instalación click, este modelo de la línea ORCA cuenta con bisel y tecnología waterproof que ofrece protección avanzada contra la humedad. Cada caja cubre una superficie de 2.26 m2.</v>
      </c>
    </row>
    <row r="12">
      <c r="A12" s="4">
        <v>24420.0</v>
      </c>
      <c r="B12" s="5" t="s">
        <v>33</v>
      </c>
      <c r="C12" s="5" t="s">
        <v>34</v>
      </c>
      <c r="D12" s="5" t="s">
        <v>35</v>
      </c>
      <c r="E12" s="5" t="s">
        <v>58</v>
      </c>
      <c r="F12" s="5" t="s">
        <v>37</v>
      </c>
      <c r="G12" s="5" t="s">
        <v>88</v>
      </c>
      <c r="H12" s="4" t="s">
        <v>89</v>
      </c>
      <c r="I12" s="5" t="s">
        <v>72</v>
      </c>
      <c r="J12" s="5" t="s">
        <v>60</v>
      </c>
      <c r="K12" s="5" t="s">
        <v>41</v>
      </c>
      <c r="L12" s="4">
        <v>8.0</v>
      </c>
      <c r="M12" s="5" t="s">
        <v>42</v>
      </c>
      <c r="N12" s="4" t="s">
        <v>43</v>
      </c>
      <c r="O12" s="4" t="s">
        <v>44</v>
      </c>
      <c r="P12" s="4" t="s">
        <v>45</v>
      </c>
      <c r="Q12" s="4">
        <v>192.0</v>
      </c>
      <c r="R12" s="5" t="s">
        <v>42</v>
      </c>
      <c r="S12" s="4">
        <v>1285.0</v>
      </c>
      <c r="T12" s="5" t="s">
        <v>42</v>
      </c>
      <c r="U12" s="4">
        <v>2.22</v>
      </c>
      <c r="V12" s="5" t="s">
        <v>46</v>
      </c>
      <c r="W12" s="4">
        <v>9.0</v>
      </c>
      <c r="X12" s="6">
        <v>17.8</v>
      </c>
      <c r="Y12" s="4" t="s">
        <v>47</v>
      </c>
      <c r="Z12" s="7">
        <f t="shared" si="1"/>
        <v>39.516</v>
      </c>
      <c r="AA12" s="4">
        <v>15.0</v>
      </c>
      <c r="AB12" s="8"/>
      <c r="AC12" s="8">
        <f t="shared" si="2"/>
        <v>0</v>
      </c>
      <c r="AD12" s="13">
        <v>435.11</v>
      </c>
      <c r="AE12" s="10" t="s">
        <v>90</v>
      </c>
      <c r="AF12" s="11"/>
      <c r="AG12" s="11"/>
      <c r="AH12" s="11"/>
      <c r="AI12" s="11"/>
      <c r="AJ12" s="11" t="str">
        <f>IFERROR(__xludf.DUMMYFUNCTION("AI(""Completa un valor adecuado para esta celda en función del contexto de la tabla"")"),"Piso flotante laminado de origen alemán, ideal para uso comercial por su resistencia a la abrasión AC4. Con un espesor de 8 mm, este modelo cuenta con bisel, manto incorporado y protección resistente al agua. Cada caja cubre una superficie de 2.94 m2.")</f>
        <v>Piso flotante laminado de origen alemán, ideal para uso comercial por su resistencia a la abrasión AC4. Con un espesor de 8 mm, este modelo cuenta con bisel, manto incorporado y protección resistente al agua. Cada caja cubre una superficie de 2.94 m2.</v>
      </c>
    </row>
    <row r="13">
      <c r="A13" s="4">
        <v>19424.0</v>
      </c>
      <c r="B13" s="5" t="s">
        <v>33</v>
      </c>
      <c r="C13" s="5" t="s">
        <v>34</v>
      </c>
      <c r="D13" s="5" t="s">
        <v>35</v>
      </c>
      <c r="E13" s="5" t="s">
        <v>36</v>
      </c>
      <c r="F13" s="5" t="s">
        <v>37</v>
      </c>
      <c r="G13" s="5" t="s">
        <v>91</v>
      </c>
      <c r="H13" s="4">
        <v>3585.0</v>
      </c>
      <c r="I13" s="5" t="s">
        <v>39</v>
      </c>
      <c r="J13" s="5" t="s">
        <v>86</v>
      </c>
      <c r="K13" s="5" t="s">
        <v>54</v>
      </c>
      <c r="L13" s="4">
        <v>8.0</v>
      </c>
      <c r="M13" s="5" t="s">
        <v>42</v>
      </c>
      <c r="N13" s="4" t="s">
        <v>55</v>
      </c>
      <c r="O13" s="4" t="s">
        <v>44</v>
      </c>
      <c r="P13" s="4" t="s">
        <v>44</v>
      </c>
      <c r="Q13" s="4">
        <v>193.0</v>
      </c>
      <c r="R13" s="5" t="s">
        <v>42</v>
      </c>
      <c r="S13" s="4">
        <v>1380.0</v>
      </c>
      <c r="T13" s="5" t="s">
        <v>42</v>
      </c>
      <c r="U13" s="4">
        <v>2.13</v>
      </c>
      <c r="V13" s="5" t="s">
        <v>46</v>
      </c>
      <c r="W13" s="4">
        <v>8.0</v>
      </c>
      <c r="X13" s="6">
        <v>16.0</v>
      </c>
      <c r="Y13" s="4" t="s">
        <v>61</v>
      </c>
      <c r="Z13" s="7">
        <f t="shared" si="1"/>
        <v>34.08</v>
      </c>
      <c r="AA13" s="4">
        <v>15.0</v>
      </c>
      <c r="AB13" s="4">
        <v>56.0</v>
      </c>
      <c r="AC13" s="8">
        <f t="shared" si="2"/>
        <v>840</v>
      </c>
      <c r="AD13" s="13">
        <v>328.02</v>
      </c>
      <c r="AE13" s="14" t="s">
        <v>92</v>
      </c>
      <c r="AF13" s="15"/>
      <c r="AG13" s="15"/>
      <c r="AH13" s="15"/>
      <c r="AI13" s="15"/>
      <c r="AJ13" s="15" t="str">
        <f>IFERROR(__xludf.DUMMYFUNCTION("AI(""Completa un valor adecuado para esta celda en función del contexto de la tabla"")"),"Piso flotante laminado de origen alemán, marca Krono Original y línea More, diseñado para uso comercial con resistencia a la abrasión AC4. Este modelo de 7 mm de espesor cuenta con sistema de instalación click, bisel en sus cuatro lados y protección resis"&amp;"tente al agua con manto incorporado. Cada caja contiene 9 tablas y cubre una superficie de 2.26 m2.")</f>
        <v>Piso flotante laminado de origen alemán, marca Krono Original y línea More, diseñado para uso comercial con resistencia a la abrasión AC4. Este modelo de 7 mm de espesor cuenta con sistema de instalación click, bisel en sus cuatro lados y protección resistente al agua con manto incorporado. Cada caja contiene 9 tablas y cubre una superficie de 2.26 m2.</v>
      </c>
    </row>
    <row r="14">
      <c r="A14" s="4">
        <v>25210.0</v>
      </c>
      <c r="B14" s="5" t="s">
        <v>33</v>
      </c>
      <c r="C14" s="5" t="s">
        <v>34</v>
      </c>
      <c r="D14" s="5" t="s">
        <v>35</v>
      </c>
      <c r="E14" s="5" t="s">
        <v>49</v>
      </c>
      <c r="F14" s="5" t="s">
        <v>37</v>
      </c>
      <c r="G14" s="5" t="s">
        <v>93</v>
      </c>
      <c r="H14" s="4" t="s">
        <v>94</v>
      </c>
      <c r="I14" s="5" t="s">
        <v>72</v>
      </c>
      <c r="J14" s="17" t="s">
        <v>80</v>
      </c>
      <c r="K14" s="5" t="s">
        <v>41</v>
      </c>
      <c r="L14" s="4" t="s">
        <v>95</v>
      </c>
      <c r="M14" s="5" t="s">
        <v>42</v>
      </c>
      <c r="N14" s="4" t="s">
        <v>43</v>
      </c>
      <c r="O14" s="4" t="s">
        <v>45</v>
      </c>
      <c r="P14" s="4" t="s">
        <v>45</v>
      </c>
      <c r="Q14" s="4">
        <v>245.0</v>
      </c>
      <c r="R14" s="5" t="s">
        <v>42</v>
      </c>
      <c r="S14" s="4">
        <v>2003.0</v>
      </c>
      <c r="T14" s="5" t="s">
        <v>42</v>
      </c>
      <c r="U14" s="4">
        <v>3.44</v>
      </c>
      <c r="V14" s="5" t="s">
        <v>46</v>
      </c>
      <c r="W14" s="4">
        <v>7.0</v>
      </c>
      <c r="X14" s="6">
        <v>21.2</v>
      </c>
      <c r="Y14" s="4" t="s">
        <v>47</v>
      </c>
      <c r="Z14" s="7">
        <f t="shared" si="1"/>
        <v>72.928</v>
      </c>
      <c r="AA14" s="4">
        <v>15.0</v>
      </c>
      <c r="AB14" s="4">
        <v>52.0</v>
      </c>
      <c r="AC14" s="8">
        <f t="shared" si="2"/>
        <v>780</v>
      </c>
      <c r="AD14" s="13">
        <v>495.36</v>
      </c>
      <c r="AE14" s="10" t="s">
        <v>96</v>
      </c>
      <c r="AF14" s="11"/>
      <c r="AG14" s="11"/>
      <c r="AH14" s="11"/>
      <c r="AI14" s="11"/>
      <c r="AJ14" s="11" t="str">
        <f>IFERROR(__xludf.DUMMYFUNCTION("AI(""Completa un valor adecuado para esta celda en función del contexto de la tabla"")"),"Piso flotante laminado de origen alemán, ideal para uso comercial intenso por su resistencia a la abrasión AC5. Con un espesor de 8 mm, este modelo de la línea ORCA cuenta con bisel y tecnología waterproof para una mayor protección contra el agua. Cada ca"&amp;"ja cubre una superficie de 2.26 m2.")</f>
        <v>Piso flotante laminado de origen alemán, ideal para uso comercial intenso por su resistencia a la abrasión AC5. Con un espesor de 8 mm, este modelo de la línea ORCA cuenta con bisel y tecnología waterproof para una mayor protección contra el agua. Cada caja cubre una superficie de 2.26 m2.</v>
      </c>
    </row>
    <row r="15">
      <c r="A15" s="4">
        <v>17002.0</v>
      </c>
      <c r="B15" s="5" t="s">
        <v>33</v>
      </c>
      <c r="C15" s="5" t="s">
        <v>34</v>
      </c>
      <c r="D15" s="5" t="s">
        <v>35</v>
      </c>
      <c r="E15" s="5" t="s">
        <v>36</v>
      </c>
      <c r="F15" s="5" t="s">
        <v>37</v>
      </c>
      <c r="G15" s="5" t="s">
        <v>97</v>
      </c>
      <c r="H15" s="4">
        <v>4769.0</v>
      </c>
      <c r="I15" s="5" t="s">
        <v>39</v>
      </c>
      <c r="J15" s="5" t="s">
        <v>40</v>
      </c>
      <c r="K15" s="5" t="s">
        <v>41</v>
      </c>
      <c r="L15" s="4">
        <v>10.0</v>
      </c>
      <c r="M15" s="5" t="s">
        <v>42</v>
      </c>
      <c r="N15" s="4" t="s">
        <v>43</v>
      </c>
      <c r="O15" s="4" t="s">
        <v>44</v>
      </c>
      <c r="P15" s="4" t="s">
        <v>45</v>
      </c>
      <c r="Q15" s="4">
        <v>157.0</v>
      </c>
      <c r="R15" s="5" t="s">
        <v>42</v>
      </c>
      <c r="S15" s="4">
        <v>1380.0</v>
      </c>
      <c r="T15" s="5" t="s">
        <v>42</v>
      </c>
      <c r="U15" s="4">
        <v>1.3</v>
      </c>
      <c r="V15" s="5" t="s">
        <v>46</v>
      </c>
      <c r="W15" s="4">
        <v>6.0</v>
      </c>
      <c r="X15" s="6">
        <v>22.0</v>
      </c>
      <c r="Y15" s="4" t="s">
        <v>47</v>
      </c>
      <c r="Z15" s="7">
        <f t="shared" si="1"/>
        <v>28.6</v>
      </c>
      <c r="AA15" s="4">
        <v>15.0</v>
      </c>
      <c r="AB15" s="4"/>
      <c r="AC15" s="8">
        <f t="shared" si="2"/>
        <v>0</v>
      </c>
      <c r="AD15" s="13">
        <v>243.1</v>
      </c>
      <c r="AE15" s="14" t="s">
        <v>98</v>
      </c>
      <c r="AF15" s="15"/>
      <c r="AG15" s="15"/>
      <c r="AH15" s="15"/>
      <c r="AI15" s="15"/>
      <c r="AJ15" s="15" t="str">
        <f>IFERROR(__xludf.DUMMYFUNCTION("AI(""Completa un valor adecuado para esta celda en función del contexto de la tabla"")"),"Piso flotante laminado de origen alemán, marca Krono Original, diseñado para uso comercial con resistencia a la abrasión AC4. Posee un espesor de 8 mm, cuenta con bisel y tecnología resistente al agua. Cada caja contiene 9 tablas y rinde una superficie de"&amp;" 2.26 m2.")</f>
        <v>Piso flotante laminado de origen alemán, marca Krono Original, diseñado para uso comercial con resistencia a la abrasión AC4. Posee un espesor de 8 mm, cuenta con bisel y tecnología resistente al agua. Cada caja contiene 9 tablas y rinde una superficie de 2.26 m2.</v>
      </c>
    </row>
    <row r="16">
      <c r="A16" s="4">
        <v>18057.0</v>
      </c>
      <c r="B16" s="5" t="s">
        <v>33</v>
      </c>
      <c r="C16" s="5" t="s">
        <v>34</v>
      </c>
      <c r="D16" s="5" t="s">
        <v>35</v>
      </c>
      <c r="E16" s="5" t="s">
        <v>36</v>
      </c>
      <c r="F16" s="5" t="s">
        <v>37</v>
      </c>
      <c r="G16" s="5" t="s">
        <v>99</v>
      </c>
      <c r="H16" s="4" t="s">
        <v>100</v>
      </c>
      <c r="I16" s="5" t="s">
        <v>39</v>
      </c>
      <c r="J16" s="5" t="s">
        <v>86</v>
      </c>
      <c r="K16" s="5" t="s">
        <v>54</v>
      </c>
      <c r="L16" s="4">
        <v>8.0</v>
      </c>
      <c r="M16" s="5" t="s">
        <v>42</v>
      </c>
      <c r="N16" s="4" t="s">
        <v>55</v>
      </c>
      <c r="O16" s="4" t="s">
        <v>44</v>
      </c>
      <c r="P16" s="4" t="s">
        <v>44</v>
      </c>
      <c r="Q16" s="4">
        <v>193.0</v>
      </c>
      <c r="R16" s="5" t="s">
        <v>42</v>
      </c>
      <c r="S16" s="4">
        <v>1380.0</v>
      </c>
      <c r="T16" s="5" t="s">
        <v>42</v>
      </c>
      <c r="U16" s="4">
        <v>2.13</v>
      </c>
      <c r="V16" s="5" t="s">
        <v>46</v>
      </c>
      <c r="W16" s="4">
        <v>8.0</v>
      </c>
      <c r="X16" s="6">
        <v>16.0</v>
      </c>
      <c r="Y16" s="4" t="s">
        <v>47</v>
      </c>
      <c r="Z16" s="7">
        <f t="shared" si="1"/>
        <v>34.08</v>
      </c>
      <c r="AA16" s="4">
        <v>15.0</v>
      </c>
      <c r="AB16" s="8"/>
      <c r="AC16" s="8">
        <f t="shared" si="2"/>
        <v>0</v>
      </c>
      <c r="AD16" s="13">
        <v>402.57</v>
      </c>
      <c r="AE16" s="10" t="s">
        <v>101</v>
      </c>
      <c r="AF16" s="11"/>
      <c r="AG16" s="11"/>
      <c r="AH16" s="11"/>
      <c r="AI16" s="11"/>
      <c r="AJ16" s="11" t="str">
        <f>IFERROR(__xludf.DUMMYFUNCTION("AI(""Completa un valor adecuado para esta celda en función del contexto de la tabla"")"),"Piso flotante de origen alemán Misty Plains Oak, diseñado para uso comercial intenso con una resistencia a la abrasión AC5. Posee un espesor de 8 mm, sistema con bisel y tecnología Waterproof de la línea ORCA para mayor protección contra el agua. Cada caj"&amp;"a contiene 9 tablas y rinde 2.26 m2.")</f>
        <v>Piso flotante de origen alemán Misty Plains Oak, diseñado para uso comercial intenso con una resistencia a la abrasión AC5. Posee un espesor de 8 mm, sistema con bisel y tecnología Waterproof de la línea ORCA para mayor protección contra el agua. Cada caja contiene 9 tablas y rinde 2.26 m2.</v>
      </c>
    </row>
    <row r="17">
      <c r="A17" s="4">
        <v>25206.0</v>
      </c>
      <c r="B17" s="5" t="s">
        <v>33</v>
      </c>
      <c r="C17" s="5" t="s">
        <v>34</v>
      </c>
      <c r="D17" s="5" t="s">
        <v>35</v>
      </c>
      <c r="E17" s="5" t="s">
        <v>58</v>
      </c>
      <c r="F17" s="5" t="s">
        <v>37</v>
      </c>
      <c r="G17" s="5" t="s">
        <v>102</v>
      </c>
      <c r="H17" s="4" t="s">
        <v>103</v>
      </c>
      <c r="I17" s="5" t="s">
        <v>72</v>
      </c>
      <c r="J17" s="5" t="s">
        <v>73</v>
      </c>
      <c r="K17" s="5" t="s">
        <v>54</v>
      </c>
      <c r="L17" s="4">
        <v>7.0</v>
      </c>
      <c r="M17" s="5" t="s">
        <v>42</v>
      </c>
      <c r="N17" s="4" t="s">
        <v>55</v>
      </c>
      <c r="O17" s="4" t="s">
        <v>45</v>
      </c>
      <c r="P17" s="4" t="s">
        <v>74</v>
      </c>
      <c r="Q17" s="4">
        <v>195.0</v>
      </c>
      <c r="R17" s="5" t="s">
        <v>42</v>
      </c>
      <c r="S17" s="4">
        <v>1288.0</v>
      </c>
      <c r="T17" s="5" t="s">
        <v>42</v>
      </c>
      <c r="U17" s="4">
        <v>2.26</v>
      </c>
      <c r="V17" s="5" t="s">
        <v>46</v>
      </c>
      <c r="W17" s="4">
        <v>9.0</v>
      </c>
      <c r="X17" s="6">
        <v>24.0</v>
      </c>
      <c r="Y17" s="4" t="s">
        <v>61</v>
      </c>
      <c r="Z17" s="7">
        <f t="shared" si="1"/>
        <v>54.24</v>
      </c>
      <c r="AA17" s="4">
        <v>15.0</v>
      </c>
      <c r="AB17" s="8"/>
      <c r="AC17" s="8">
        <f t="shared" si="2"/>
        <v>0</v>
      </c>
      <c r="AD17" s="13">
        <v>3037.44</v>
      </c>
      <c r="AE17" s="14" t="s">
        <v>104</v>
      </c>
      <c r="AF17" s="15"/>
      <c r="AG17" s="15"/>
      <c r="AH17" s="15"/>
      <c r="AI17" s="15"/>
      <c r="AJ17" s="15" t="str">
        <f>IFERROR(__xludf.DUMMYFUNCTION("AI(""Completa un valor adecuado para esta celda en función del contexto de la tabla"")"),"Piso flotante laminado de origen alemán, diseñado para uso comercial intenso gracias a su resistencia a la abrasión AC5. Con un espesor de 8 mm y tecnología waterproof, este modelo de la línea ORCA cuenta con bisel en sus cuatro lados y sistema de instala"&amp;"ción click. Cada caja cubre una superficie de 2.26 m2.")</f>
        <v>Piso flotante laminado de origen alemán, diseñado para uso comercial intenso gracias a su resistencia a la abrasión AC5. Con un espesor de 8 mm y tecnología waterproof, este modelo de la línea ORCA cuenta con bisel en sus cuatro lados y sistema de instalación click. Cada caja cubre una superficie de 2.26 m2.</v>
      </c>
    </row>
    <row r="18">
      <c r="A18" s="4">
        <v>24691.0</v>
      </c>
      <c r="B18" s="5" t="s">
        <v>33</v>
      </c>
      <c r="C18" s="5" t="s">
        <v>34</v>
      </c>
      <c r="D18" s="5" t="s">
        <v>35</v>
      </c>
      <c r="E18" s="5" t="s">
        <v>58</v>
      </c>
      <c r="F18" s="5" t="s">
        <v>37</v>
      </c>
      <c r="G18" s="5" t="s">
        <v>105</v>
      </c>
      <c r="H18" s="8"/>
      <c r="I18" s="5" t="s">
        <v>72</v>
      </c>
      <c r="J18" s="5" t="s">
        <v>60</v>
      </c>
      <c r="K18" s="5" t="s">
        <v>41</v>
      </c>
      <c r="L18" s="4">
        <v>12.0</v>
      </c>
      <c r="M18" s="5" t="s">
        <v>42</v>
      </c>
      <c r="N18" s="4" t="s">
        <v>43</v>
      </c>
      <c r="O18" s="4" t="s">
        <v>44</v>
      </c>
      <c r="P18" s="4" t="s">
        <v>45</v>
      </c>
      <c r="Q18" s="4">
        <v>245.0</v>
      </c>
      <c r="R18" s="5" t="s">
        <v>42</v>
      </c>
      <c r="S18" s="4">
        <v>2003.0</v>
      </c>
      <c r="T18" s="5" t="s">
        <v>42</v>
      </c>
      <c r="U18" s="4">
        <v>1.96</v>
      </c>
      <c r="V18" s="5" t="s">
        <v>46</v>
      </c>
      <c r="W18" s="4">
        <v>4.0</v>
      </c>
      <c r="X18" s="6">
        <v>16.55</v>
      </c>
      <c r="Y18" s="4" t="s">
        <v>61</v>
      </c>
      <c r="Z18" s="7">
        <f t="shared" si="1"/>
        <v>32.438</v>
      </c>
      <c r="AA18" s="4">
        <v>15.0</v>
      </c>
      <c r="AB18" s="8"/>
      <c r="AC18" s="8">
        <f t="shared" si="2"/>
        <v>0</v>
      </c>
      <c r="AD18" s="13">
        <v>113.68</v>
      </c>
      <c r="AE18" s="10" t="s">
        <v>106</v>
      </c>
      <c r="AF18" s="11"/>
      <c r="AG18" s="11"/>
      <c r="AH18" s="11"/>
      <c r="AI18" s="11"/>
      <c r="AJ18" s="11" t="str">
        <f>IFERROR(__xludf.DUMMYFUNCTION("AI(""Completa un valor adecuado para esta celda en función del contexto de la tabla"")"),"Piso flotante de origen alemán con tecnología Water Resistant, diseñado para uso comercial con resistencia a la abrasión AC4. Posee un espesor de 8 mm y un sistema de instalación click que facilita su montaje, incluyendo bisel en sus cuatro lados para un "&amp;"acabado elegante. Cada caja contiene 8 tablas que cubren una superficie de 2.26 m2.")</f>
        <v>Piso flotante de origen alemán con tecnología Water Resistant, diseñado para uso comercial con resistencia a la abrasión AC4. Posee un espesor de 8 mm y un sistema de instalación click que facilita su montaje, incluyendo bisel en sus cuatro lados para un acabado elegante. Cada caja contiene 8 tablas que cubren una superficie de 2.26 m2.</v>
      </c>
    </row>
    <row r="19">
      <c r="A19" s="4">
        <v>26543.0</v>
      </c>
      <c r="B19" s="5" t="s">
        <v>33</v>
      </c>
      <c r="C19" s="5" t="s">
        <v>34</v>
      </c>
      <c r="D19" s="5" t="s">
        <v>35</v>
      </c>
      <c r="E19" s="5" t="s">
        <v>58</v>
      </c>
      <c r="F19" s="5" t="s">
        <v>37</v>
      </c>
      <c r="G19" s="5" t="s">
        <v>107</v>
      </c>
      <c r="H19" s="4" t="s">
        <v>108</v>
      </c>
      <c r="I19" s="5" t="s">
        <v>39</v>
      </c>
      <c r="J19" s="5" t="s">
        <v>64</v>
      </c>
      <c r="K19" s="5" t="s">
        <v>41</v>
      </c>
      <c r="L19" s="4">
        <v>12.0</v>
      </c>
      <c r="M19" s="5" t="s">
        <v>42</v>
      </c>
      <c r="N19" s="4" t="s">
        <v>43</v>
      </c>
      <c r="O19" s="4" t="s">
        <v>44</v>
      </c>
      <c r="P19" s="4" t="s">
        <v>45</v>
      </c>
      <c r="Q19" s="4">
        <v>191.0</v>
      </c>
      <c r="R19" s="5" t="s">
        <v>42</v>
      </c>
      <c r="S19" s="4">
        <v>1380.0</v>
      </c>
      <c r="T19" s="5" t="s">
        <v>42</v>
      </c>
      <c r="U19" s="4">
        <v>1.32</v>
      </c>
      <c r="V19" s="5" t="s">
        <v>46</v>
      </c>
      <c r="W19" s="4">
        <v>5.0</v>
      </c>
      <c r="X19" s="6">
        <v>21.95</v>
      </c>
      <c r="Y19" s="4" t="s">
        <v>47</v>
      </c>
      <c r="Z19" s="7">
        <f t="shared" si="1"/>
        <v>28.974</v>
      </c>
      <c r="AA19" s="4">
        <v>15.0</v>
      </c>
      <c r="AB19" s="8"/>
      <c r="AC19" s="8">
        <f t="shared" si="2"/>
        <v>0</v>
      </c>
      <c r="AD19" s="13">
        <v>677.47</v>
      </c>
      <c r="AE19" s="14" t="s">
        <v>109</v>
      </c>
      <c r="AF19" s="15"/>
      <c r="AG19" s="15"/>
      <c r="AH19" s="15"/>
      <c r="AI19" s="15"/>
      <c r="AJ19" s="15" t="str">
        <f>IFERROR(__xludf.DUMMYFUNCTION("AI(""Completa un valor adecuado para esta celda en función del contexto de la tabla"")"),"Piso flotante laminado de origen alemán, ideal para uso comercial intenso por su resistencia a la abrasión AC5. Con un espesor de 8 mm y tecnología resistente al agua (Waterproof) de la línea ORCA, este modelo cuenta con bisel en sus cuatro lados y sistem"&amp;"a de instalación click. Cada caja cubre una superficie de 2.26 m2.")</f>
        <v>Piso flotante laminado de origen alemán, ideal para uso comercial intenso por su resistencia a la abrasión AC5. Con un espesor de 8 mm y tecnología resistente al agua (Waterproof) de la línea ORCA, este modelo cuenta con bisel en sus cuatro lados y sistema de instalación click. Cada caja cubre una superficie de 2.26 m2.</v>
      </c>
    </row>
    <row r="20">
      <c r="A20" s="4">
        <v>24687.0</v>
      </c>
      <c r="B20" s="5" t="s">
        <v>33</v>
      </c>
      <c r="C20" s="5" t="s">
        <v>34</v>
      </c>
      <c r="D20" s="5" t="s">
        <v>35</v>
      </c>
      <c r="E20" s="5" t="s">
        <v>49</v>
      </c>
      <c r="F20" s="5" t="s">
        <v>37</v>
      </c>
      <c r="G20" s="5" t="s">
        <v>110</v>
      </c>
      <c r="H20" s="4">
        <v>8575.0</v>
      </c>
      <c r="I20" s="5" t="s">
        <v>72</v>
      </c>
      <c r="J20" s="17" t="s">
        <v>80</v>
      </c>
      <c r="K20" s="5" t="s">
        <v>41</v>
      </c>
      <c r="L20" s="4" t="s">
        <v>95</v>
      </c>
      <c r="M20" s="5" t="s">
        <v>42</v>
      </c>
      <c r="N20" s="4" t="s">
        <v>43</v>
      </c>
      <c r="O20" s="4" t="s">
        <v>45</v>
      </c>
      <c r="P20" s="4" t="s">
        <v>45</v>
      </c>
      <c r="Q20" s="4">
        <v>195.0</v>
      </c>
      <c r="R20" s="5" t="s">
        <v>42</v>
      </c>
      <c r="S20" s="4">
        <v>1288.0</v>
      </c>
      <c r="T20" s="5" t="s">
        <v>42</v>
      </c>
      <c r="U20" s="4">
        <v>2.26</v>
      </c>
      <c r="V20" s="5" t="s">
        <v>46</v>
      </c>
      <c r="W20" s="4">
        <v>9.0</v>
      </c>
      <c r="X20" s="6">
        <v>21.2</v>
      </c>
      <c r="Y20" s="4" t="s">
        <v>47</v>
      </c>
      <c r="Z20" s="7">
        <f t="shared" si="1"/>
        <v>47.912</v>
      </c>
      <c r="AA20" s="4">
        <v>15.0</v>
      </c>
      <c r="AB20" s="4">
        <v>52.0</v>
      </c>
      <c r="AC20" s="8">
        <f t="shared" si="2"/>
        <v>780</v>
      </c>
      <c r="AD20" s="13">
        <v>0.0</v>
      </c>
      <c r="AE20" s="10" t="s">
        <v>111</v>
      </c>
      <c r="AF20" s="11"/>
      <c r="AG20" s="11"/>
      <c r="AH20" s="11"/>
      <c r="AI20" s="11"/>
      <c r="AJ20" s="11" t="str">
        <f>IFERROR(__xludf.DUMMYFUNCTION("AI(""Completa un valor adecuado para esta celda en función del contexto de la tabla"")"),"Piso flotante laminado de origen alemán, ideal para uso comercial intenso por su resistencia a la abrasión AC5. Con un espesor de 8 mm y línea ORCA, este modelo cuenta con bisel y tecnología waterproof para una mayor protección contra el agua. Cada caja c"&amp;"ubre una superficie de 2.26 m2.")</f>
        <v>Piso flotante laminado de origen alemán, ideal para uso comercial intenso por su resistencia a la abrasión AC5. Con un espesor de 8 mm y línea ORCA, este modelo cuenta con bisel y tecnología waterproof para una mayor protección contra el agua. Cada caja cubre una superficie de 2.26 m2.</v>
      </c>
    </row>
    <row r="21" ht="15.75" customHeight="1">
      <c r="A21" s="4">
        <v>24883.0</v>
      </c>
      <c r="B21" s="5" t="s">
        <v>33</v>
      </c>
      <c r="C21" s="5" t="s">
        <v>34</v>
      </c>
      <c r="D21" s="5" t="s">
        <v>35</v>
      </c>
      <c r="E21" s="5" t="s">
        <v>36</v>
      </c>
      <c r="F21" s="5" t="s">
        <v>37</v>
      </c>
      <c r="G21" s="5" t="s">
        <v>112</v>
      </c>
      <c r="H21" s="4" t="s">
        <v>113</v>
      </c>
      <c r="I21" s="5" t="s">
        <v>72</v>
      </c>
      <c r="J21" s="5" t="s">
        <v>60</v>
      </c>
      <c r="K21" s="5" t="s">
        <v>41</v>
      </c>
      <c r="L21" s="4">
        <v>8.0</v>
      </c>
      <c r="M21" s="5" t="s">
        <v>42</v>
      </c>
      <c r="N21" s="4" t="s">
        <v>43</v>
      </c>
      <c r="O21" s="4" t="s">
        <v>44</v>
      </c>
      <c r="P21" s="4" t="s">
        <v>45</v>
      </c>
      <c r="Q21" s="4">
        <v>195.0</v>
      </c>
      <c r="R21" s="5" t="s">
        <v>42</v>
      </c>
      <c r="S21" s="4">
        <v>1288.0</v>
      </c>
      <c r="T21" s="5" t="s">
        <v>42</v>
      </c>
      <c r="U21" s="4">
        <v>2.26</v>
      </c>
      <c r="V21" s="5" t="s">
        <v>46</v>
      </c>
      <c r="W21" s="4">
        <v>9.0</v>
      </c>
      <c r="X21" s="6">
        <v>18.0</v>
      </c>
      <c r="Y21" s="4" t="s">
        <v>47</v>
      </c>
      <c r="Z21" s="7">
        <f t="shared" si="1"/>
        <v>40.68</v>
      </c>
      <c r="AA21" s="4">
        <v>15.0</v>
      </c>
      <c r="AB21" s="4">
        <v>52.0</v>
      </c>
      <c r="AC21" s="8">
        <f t="shared" si="2"/>
        <v>780</v>
      </c>
      <c r="AD21" s="13">
        <v>198.88</v>
      </c>
      <c r="AE21" s="14" t="s">
        <v>114</v>
      </c>
      <c r="AF21" s="15"/>
      <c r="AG21" s="15"/>
      <c r="AH21" s="15"/>
      <c r="AI21" s="15"/>
      <c r="AJ21" s="15" t="str">
        <f>IFERROR(__xludf.DUMMYFUNCTION("AI(""Completa un valor adecuado para esta celda en función del contexto de la tabla"")"),"Piso flotante laminado de origen alemán, diseñado para uso comercial intenso gracias a su alta resistencia a la abrasión AC5. Con un espesor de 8 mm y tecnología waterproof ORCA, este modelo cuenta con un sistema de instalación click, bisel en sus cuatro "&amp;"lados y una base que cubre 2.26 m2 por caja. Es ideal para espacios con alto tráfico que requieren durabilidad y protección contra la humedad.")</f>
        <v>Piso flotante laminado de origen alemán, diseñado para uso comercial intenso gracias a su alta resistencia a la abrasión AC5. Con un espesor de 8 mm y tecnología waterproof ORCA, este modelo cuenta con un sistema de instalación click, bisel en sus cuatro lados y una base que cubre 2.26 m2 por caja. Es ideal para espacios con alto tráfico que requieren durabilidad y protección contra la humedad.</v>
      </c>
    </row>
    <row r="22">
      <c r="A22" s="4">
        <v>10014.0</v>
      </c>
      <c r="B22" s="5" t="s">
        <v>33</v>
      </c>
      <c r="C22" s="5" t="s">
        <v>34</v>
      </c>
      <c r="D22" s="5" t="s">
        <v>35</v>
      </c>
      <c r="E22" s="5" t="s">
        <v>36</v>
      </c>
      <c r="F22" s="5" t="s">
        <v>37</v>
      </c>
      <c r="G22" s="5" t="s">
        <v>115</v>
      </c>
      <c r="H22" s="4" t="s">
        <v>116</v>
      </c>
      <c r="I22" s="5" t="s">
        <v>72</v>
      </c>
      <c r="J22" s="5" t="s">
        <v>117</v>
      </c>
      <c r="K22" s="5" t="s">
        <v>54</v>
      </c>
      <c r="L22" s="4">
        <v>8.0</v>
      </c>
      <c r="M22" s="5" t="s">
        <v>42</v>
      </c>
      <c r="N22" s="4" t="s">
        <v>55</v>
      </c>
      <c r="O22" s="4" t="s">
        <v>44</v>
      </c>
      <c r="P22" s="4" t="s">
        <v>44</v>
      </c>
      <c r="Q22" s="4">
        <v>192.0</v>
      </c>
      <c r="R22" s="5" t="s">
        <v>42</v>
      </c>
      <c r="S22" s="4">
        <v>1280.0</v>
      </c>
      <c r="T22" s="5" t="s">
        <v>42</v>
      </c>
      <c r="U22" s="4">
        <v>2.22</v>
      </c>
      <c r="V22" s="5" t="s">
        <v>46</v>
      </c>
      <c r="W22" s="4">
        <v>9.0</v>
      </c>
      <c r="X22" s="6">
        <v>12.9</v>
      </c>
      <c r="Y22" s="4" t="s">
        <v>56</v>
      </c>
      <c r="Z22" s="7">
        <f t="shared" si="1"/>
        <v>28.638</v>
      </c>
      <c r="AA22" s="4">
        <v>15.0</v>
      </c>
      <c r="AB22" s="8"/>
      <c r="AC22" s="8">
        <f t="shared" si="2"/>
        <v>0</v>
      </c>
      <c r="AD22" s="13">
        <v>559.44</v>
      </c>
      <c r="AE22" s="10" t="s">
        <v>118</v>
      </c>
      <c r="AF22" s="11"/>
      <c r="AG22" s="11"/>
      <c r="AH22" s="11"/>
      <c r="AI22" s="11"/>
      <c r="AJ22" s="11" t="str">
        <f>IFERROR(__xludf.DUMMYFUNCTION("AI(""Completa un valor adecuado para esta celda en función del contexto de la tabla"")"),"Piso flotante laminado de origen alemán, diseñado para uso comercial intenso gracias a su resistencia a la abrasión AC5. Posee un espesor de 8 mm, cuenta con bisel en sus cuatro lados y tecnología waterproof para una mayor resistencia al agua. Cada caja c"&amp;"ontiene 9 tablas y cubre una superficie de 2.26 m2.")</f>
        <v>Piso flotante laminado de origen alemán, diseñado para uso comercial intenso gracias a su resistencia a la abrasión AC5. Posee un espesor de 8 mm, cuenta con bisel en sus cuatro lados y tecnología waterproof para una mayor resistencia al agua. Cada caja contiene 9 tablas y cubre una superficie de 2.26 m2.</v>
      </c>
    </row>
    <row r="23" ht="15.75" customHeight="1">
      <c r="A23" s="4">
        <v>23565.0</v>
      </c>
      <c r="B23" s="5" t="s">
        <v>33</v>
      </c>
      <c r="C23" s="5" t="s">
        <v>34</v>
      </c>
      <c r="D23" s="5" t="s">
        <v>35</v>
      </c>
      <c r="E23" s="5" t="s">
        <v>36</v>
      </c>
      <c r="F23" s="5" t="s">
        <v>37</v>
      </c>
      <c r="G23" s="5" t="s">
        <v>119</v>
      </c>
      <c r="H23" s="4" t="s">
        <v>120</v>
      </c>
      <c r="I23" s="5" t="s">
        <v>121</v>
      </c>
      <c r="J23" s="5" t="s">
        <v>60</v>
      </c>
      <c r="K23" s="5" t="s">
        <v>54</v>
      </c>
      <c r="L23" s="4">
        <v>8.0</v>
      </c>
      <c r="M23" s="5" t="s">
        <v>42</v>
      </c>
      <c r="N23" s="4" t="s">
        <v>55</v>
      </c>
      <c r="O23" s="4" t="s">
        <v>44</v>
      </c>
      <c r="P23" s="4" t="s">
        <v>45</v>
      </c>
      <c r="Q23" s="4">
        <v>133.0</v>
      </c>
      <c r="R23" s="5" t="s">
        <v>42</v>
      </c>
      <c r="S23" s="4">
        <v>665.0</v>
      </c>
      <c r="T23" s="5" t="s">
        <v>42</v>
      </c>
      <c r="U23" s="4">
        <v>1.24</v>
      </c>
      <c r="V23" s="5" t="s">
        <v>46</v>
      </c>
      <c r="W23" s="4">
        <v>14.0</v>
      </c>
      <c r="X23" s="6">
        <v>6.9</v>
      </c>
      <c r="Y23" s="4" t="s">
        <v>56</v>
      </c>
      <c r="Z23" s="7">
        <f t="shared" si="1"/>
        <v>8.556</v>
      </c>
      <c r="AA23" s="4">
        <v>15.0</v>
      </c>
      <c r="AB23" s="4">
        <v>96.0</v>
      </c>
      <c r="AC23" s="8">
        <f t="shared" si="2"/>
        <v>1440</v>
      </c>
      <c r="AD23" s="13">
        <v>5061.68</v>
      </c>
      <c r="AE23" s="14" t="s">
        <v>122</v>
      </c>
      <c r="AF23" s="15"/>
      <c r="AG23" s="15"/>
      <c r="AH23" s="15"/>
      <c r="AI23" s="15"/>
      <c r="AJ23" s="15" t="str">
        <f>IFERROR(__xludf.DUMMYFUNCTION("AI(""Completa un valor adecuado para esta celda en función del contexto de la tabla"")"),"Piso flotante laminado de origen alemán, ideal para uso comercial intenso por su resistencia a la abrasión AC5. Con un espesor de 8 mm y sistema de instalación click, este modelo de la línea ORCA cuenta con bisel en sus cuatro lados y protección waterproo"&amp;"f. Cada caja cubre una superficie de 2.26 m2.")</f>
        <v>Piso flotante laminado de origen alemán, ideal para uso comercial intenso por su resistencia a la abrasión AC5. Con un espesor de 8 mm y sistema de instalación click, este modelo de la línea ORCA cuenta con bisel en sus cuatro lados y protección waterproof. Cada caja cubre una superficie de 2.26 m2.</v>
      </c>
    </row>
    <row r="24" ht="15.75" customHeight="1">
      <c r="A24" s="4">
        <v>19210.0</v>
      </c>
      <c r="B24" s="5" t="s">
        <v>33</v>
      </c>
      <c r="C24" s="5" t="s">
        <v>34</v>
      </c>
      <c r="D24" s="5" t="s">
        <v>35</v>
      </c>
      <c r="E24" s="5" t="s">
        <v>36</v>
      </c>
      <c r="F24" s="5" t="s">
        <v>37</v>
      </c>
      <c r="G24" s="5" t="s">
        <v>123</v>
      </c>
      <c r="H24" s="4" t="s">
        <v>124</v>
      </c>
      <c r="I24" s="5" t="s">
        <v>39</v>
      </c>
      <c r="J24" s="5" t="s">
        <v>60</v>
      </c>
      <c r="K24" s="5" t="s">
        <v>54</v>
      </c>
      <c r="L24" s="4">
        <v>10.0</v>
      </c>
      <c r="M24" s="5" t="s">
        <v>42</v>
      </c>
      <c r="N24" s="4" t="s">
        <v>55</v>
      </c>
      <c r="O24" s="4" t="s">
        <v>44</v>
      </c>
      <c r="P24" s="4" t="s">
        <v>45</v>
      </c>
      <c r="Q24" s="4">
        <v>156.0</v>
      </c>
      <c r="R24" s="5" t="s">
        <v>42</v>
      </c>
      <c r="S24" s="4">
        <v>1380.0</v>
      </c>
      <c r="T24" s="5" t="s">
        <v>42</v>
      </c>
      <c r="U24" s="4">
        <v>1.3</v>
      </c>
      <c r="V24" s="5" t="s">
        <v>46</v>
      </c>
      <c r="W24" s="4">
        <v>6.0</v>
      </c>
      <c r="X24" s="6">
        <v>16.0</v>
      </c>
      <c r="Y24" s="4" t="s">
        <v>47</v>
      </c>
      <c r="Z24" s="7">
        <f t="shared" si="1"/>
        <v>20.8</v>
      </c>
      <c r="AA24" s="4">
        <v>15.0</v>
      </c>
      <c r="AB24" s="8"/>
      <c r="AC24" s="8">
        <f t="shared" si="2"/>
        <v>0</v>
      </c>
      <c r="AD24" s="13">
        <v>5801.9</v>
      </c>
      <c r="AE24" s="10" t="s">
        <v>125</v>
      </c>
      <c r="AF24" s="11"/>
      <c r="AG24" s="11"/>
      <c r="AH24" s="11"/>
      <c r="AI24" s="11"/>
      <c r="AJ24" s="11" t="str">
        <f>IFERROR(__xludf.DUMMYFUNCTION("AI(""Completa un valor adecuado para esta celda en función del contexto de la tabla"")"),"Piso flotante laminado de origen alemán, diseñado para uso comercial intenso gracias a su resistencia de abrasión AC5. Posee un espesor de 8 mm y tecnología waterproof de la línea ORCA, incluyendo bisel en sus cuatro lados para un acabado realista. Cada c"&amp;"aja rinde 2.26 m2.")</f>
        <v>Piso flotante laminado de origen alemán, diseñado para uso comercial intenso gracias a su resistencia de abrasión AC5. Posee un espesor de 8 mm y tecnología waterproof de la línea ORCA, incluyendo bisel en sus cuatro lados para un acabado realista. Cada caja rinde 2.26 m2.</v>
      </c>
    </row>
    <row r="25" ht="15.75" customHeight="1">
      <c r="A25" s="4">
        <v>20298.0</v>
      </c>
      <c r="B25" s="5" t="s">
        <v>33</v>
      </c>
      <c r="C25" s="5" t="s">
        <v>34</v>
      </c>
      <c r="D25" s="5" t="s">
        <v>35</v>
      </c>
      <c r="E25" s="5" t="s">
        <v>36</v>
      </c>
      <c r="F25" s="5" t="s">
        <v>37</v>
      </c>
      <c r="G25" s="5" t="s">
        <v>126</v>
      </c>
      <c r="H25" s="4">
        <v>5539.0</v>
      </c>
      <c r="I25" s="5" t="s">
        <v>72</v>
      </c>
      <c r="J25" s="5" t="s">
        <v>127</v>
      </c>
      <c r="K25" s="5" t="s">
        <v>54</v>
      </c>
      <c r="L25" s="4">
        <v>10.0</v>
      </c>
      <c r="M25" s="5" t="s">
        <v>42</v>
      </c>
      <c r="N25" s="4" t="s">
        <v>55</v>
      </c>
      <c r="O25" s="4" t="s">
        <v>44</v>
      </c>
      <c r="P25" s="4" t="s">
        <v>45</v>
      </c>
      <c r="Q25" s="4">
        <v>192.0</v>
      </c>
      <c r="R25" s="5" t="s">
        <v>42</v>
      </c>
      <c r="S25" s="4">
        <v>1280.0</v>
      </c>
      <c r="T25" s="5" t="s">
        <v>42</v>
      </c>
      <c r="U25" s="4">
        <v>1.73</v>
      </c>
      <c r="V25" s="5" t="s">
        <v>46</v>
      </c>
      <c r="W25" s="4">
        <v>7.0</v>
      </c>
      <c r="X25" s="6">
        <v>30.5</v>
      </c>
      <c r="Y25" s="4" t="s">
        <v>47</v>
      </c>
      <c r="Z25" s="7">
        <f t="shared" si="1"/>
        <v>52.765</v>
      </c>
      <c r="AA25" s="4">
        <v>15.0</v>
      </c>
      <c r="AB25" s="4">
        <v>52.0</v>
      </c>
      <c r="AC25" s="8">
        <f t="shared" si="2"/>
        <v>780</v>
      </c>
      <c r="AD25" s="13">
        <v>499.97</v>
      </c>
      <c r="AE25" s="14" t="s">
        <v>128</v>
      </c>
      <c r="AF25" s="15"/>
      <c r="AG25" s="15"/>
      <c r="AH25" s="15"/>
      <c r="AI25" s="15"/>
      <c r="AJ25" s="15" t="str">
        <f>IFERROR(__xludf.DUMMYFUNCTION("AI(""Completa un valor adecuado para esta celda en función del contexto de la tabla"")"),"Piso flotante de origen alemán con tecnología Waterproof de la línea ORCA, diseñado para uso comercial intenso gracias a su alta resistencia a la abrasión AC5. Posee un espesor de 8 mm, sistema de instalación click con bisel en sus cuatro lados y una base"&amp;" que cubre 2.26 m2 por caja. Sus tablas con diseño de nogal Appalachian Hickory ofrecen una solución duradera y estética para espacios de alto tránsito.")</f>
        <v>Piso flotante de origen alemán con tecnología Waterproof de la línea ORCA, diseñado para uso comercial intenso gracias a su alta resistencia a la abrasión AC5. Posee un espesor de 8 mm, sistema de instalación click con bisel en sus cuatro lados y una base que cubre 2.26 m2 por caja. Sus tablas con diseño de nogal Appalachian Hickory ofrecen una solución duradera y estética para espacios de alto tránsito.</v>
      </c>
    </row>
    <row r="26" ht="15.75" customHeight="1">
      <c r="A26" s="4">
        <v>24838.0</v>
      </c>
      <c r="B26" s="5" t="s">
        <v>33</v>
      </c>
      <c r="C26" s="5" t="s">
        <v>34</v>
      </c>
      <c r="D26" s="5" t="s">
        <v>35</v>
      </c>
      <c r="E26" s="5" t="s">
        <v>58</v>
      </c>
      <c r="F26" s="5" t="s">
        <v>37</v>
      </c>
      <c r="G26" s="5" t="s">
        <v>129</v>
      </c>
      <c r="H26" s="4">
        <v>50182.0</v>
      </c>
      <c r="I26" s="5" t="s">
        <v>72</v>
      </c>
      <c r="J26" s="5" t="s">
        <v>60</v>
      </c>
      <c r="K26" s="5" t="s">
        <v>41</v>
      </c>
      <c r="L26" s="4">
        <v>12.0</v>
      </c>
      <c r="M26" s="5" t="s">
        <v>42</v>
      </c>
      <c r="N26" s="4" t="s">
        <v>43</v>
      </c>
      <c r="O26" s="4" t="s">
        <v>44</v>
      </c>
      <c r="P26" s="4" t="s">
        <v>74</v>
      </c>
      <c r="Q26" s="4">
        <v>188.0</v>
      </c>
      <c r="R26" s="5" t="s">
        <v>42</v>
      </c>
      <c r="S26" s="4">
        <v>1375.0</v>
      </c>
      <c r="T26" s="5" t="s">
        <v>42</v>
      </c>
      <c r="U26" s="4">
        <v>1.29</v>
      </c>
      <c r="V26" s="5" t="s">
        <v>46</v>
      </c>
      <c r="W26" s="4">
        <v>5.0</v>
      </c>
      <c r="X26" s="6">
        <v>16.55</v>
      </c>
      <c r="Y26" s="4" t="s">
        <v>61</v>
      </c>
      <c r="Z26" s="7">
        <f t="shared" si="1"/>
        <v>21.3495</v>
      </c>
      <c r="AA26" s="4">
        <v>15.0</v>
      </c>
      <c r="AB26" s="8"/>
      <c r="AC26" s="8">
        <f t="shared" si="2"/>
        <v>0</v>
      </c>
      <c r="AD26" s="13">
        <v>1830.5</v>
      </c>
      <c r="AE26" s="10" t="s">
        <v>130</v>
      </c>
      <c r="AF26" s="11"/>
      <c r="AG26" s="11"/>
      <c r="AH26" s="11"/>
      <c r="AI26" s="11"/>
      <c r="AJ26" s="11" t="str">
        <f>IFERROR(__xludf.DUMMYFUNCTION("AI(""Completa un valor adecuado para esta celda en función del contexto de la tabla"")"),"Piso flotante laminado de origen alemán, ideal para uso comercial intenso por su resistencia a la abrasión AC5. Con un espesor de 8 mm y sistema de instalación click, este modelo cuenta con bisel y tecnología waterproof. Cada caja cubre una superficie de "&amp;"2.73 m2.")</f>
        <v>Piso flotante laminado de origen alemán, ideal para uso comercial intenso por su resistencia a la abrasión AC5. Con un espesor de 8 mm y sistema de instalación click, este modelo cuenta con bisel y tecnología waterproof. Cada caja cubre una superficie de 2.73 m2.</v>
      </c>
    </row>
    <row r="27" ht="15.75" customHeight="1">
      <c r="A27" s="4">
        <v>24398.0</v>
      </c>
      <c r="B27" s="5" t="s">
        <v>33</v>
      </c>
      <c r="C27" s="5" t="s">
        <v>34</v>
      </c>
      <c r="D27" s="5" t="s">
        <v>35</v>
      </c>
      <c r="E27" s="5" t="s">
        <v>36</v>
      </c>
      <c r="F27" s="5" t="s">
        <v>37</v>
      </c>
      <c r="G27" s="5" t="s">
        <v>131</v>
      </c>
      <c r="H27" s="4" t="s">
        <v>132</v>
      </c>
      <c r="I27" s="5" t="s">
        <v>72</v>
      </c>
      <c r="J27" s="5" t="s">
        <v>60</v>
      </c>
      <c r="K27" s="5" t="s">
        <v>54</v>
      </c>
      <c r="L27" s="4">
        <v>10.0</v>
      </c>
      <c r="M27" s="5" t="s">
        <v>42</v>
      </c>
      <c r="N27" s="4" t="s">
        <v>55</v>
      </c>
      <c r="O27" s="4" t="s">
        <v>44</v>
      </c>
      <c r="P27" s="4" t="s">
        <v>45</v>
      </c>
      <c r="Q27" s="4">
        <v>192.0</v>
      </c>
      <c r="R27" s="5" t="s">
        <v>42</v>
      </c>
      <c r="S27" s="4">
        <v>1280.0</v>
      </c>
      <c r="T27" s="5" t="s">
        <v>42</v>
      </c>
      <c r="U27" s="4">
        <v>1.76</v>
      </c>
      <c r="V27" s="5" t="s">
        <v>46</v>
      </c>
      <c r="W27" s="4">
        <v>7.0</v>
      </c>
      <c r="X27" s="6">
        <v>16.0</v>
      </c>
      <c r="Y27" s="4" t="s">
        <v>56</v>
      </c>
      <c r="Z27" s="7">
        <f t="shared" si="1"/>
        <v>28.16</v>
      </c>
      <c r="AA27" s="4">
        <v>15.0</v>
      </c>
      <c r="AB27" s="8"/>
      <c r="AC27" s="8">
        <f t="shared" si="2"/>
        <v>0</v>
      </c>
      <c r="AD27" s="13">
        <v>1029.59</v>
      </c>
      <c r="AE27" s="14" t="s">
        <v>133</v>
      </c>
      <c r="AF27" s="15"/>
      <c r="AG27" s="15"/>
      <c r="AH27" s="15"/>
      <c r="AI27" s="15"/>
      <c r="AJ27" s="15" t="str">
        <f>IFERROR(__xludf.DUMMYFUNCTION("AI(""Completa un valor adecuado para esta celda en función del contexto de la tabla"")"),"Piso flotante laminado de origen alemán, diseñado para uso comercial intenso gracias a su alta resistencia a la abrasión AC5. Este modelo de la línea ORCA tiene un espesor de 8 mm y destaca por su formato largo de 2003 mm, con sistema de instalación click"&amp;" y biselado. Su tecnología waterproof ofrece una protección superior contra el agua, y cada caja rinde 2.73 m2.")</f>
        <v>Piso flotante laminado de origen alemán, diseñado para uso comercial intenso gracias a su alta resistencia a la abrasión AC5. Este modelo de la línea ORCA tiene un espesor de 8 mm y destaca por su formato largo de 2003 mm, con sistema de instalación click y biselado. Su tecnología waterproof ofrece una protección superior contra el agua, y cada caja rinde 2.73 m2.</v>
      </c>
    </row>
    <row r="28" ht="15.75" customHeight="1">
      <c r="A28" s="4">
        <v>23551.0</v>
      </c>
      <c r="B28" s="5" t="s">
        <v>33</v>
      </c>
      <c r="C28" s="5" t="s">
        <v>34</v>
      </c>
      <c r="D28" s="5" t="s">
        <v>35</v>
      </c>
      <c r="E28" s="5" t="s">
        <v>36</v>
      </c>
      <c r="F28" s="5" t="s">
        <v>37</v>
      </c>
      <c r="G28" s="5" t="s">
        <v>134</v>
      </c>
      <c r="H28" s="4" t="s">
        <v>135</v>
      </c>
      <c r="I28" s="5" t="s">
        <v>39</v>
      </c>
      <c r="J28" s="5" t="s">
        <v>60</v>
      </c>
      <c r="K28" s="5" t="s">
        <v>54</v>
      </c>
      <c r="L28" s="4">
        <v>8.0</v>
      </c>
      <c r="M28" s="5" t="s">
        <v>42</v>
      </c>
      <c r="N28" s="4" t="s">
        <v>55</v>
      </c>
      <c r="O28" s="4" t="s">
        <v>44</v>
      </c>
      <c r="P28" s="8"/>
      <c r="Q28" s="4">
        <v>193.0</v>
      </c>
      <c r="R28" s="5" t="s">
        <v>42</v>
      </c>
      <c r="S28" s="4">
        <v>1380.0</v>
      </c>
      <c r="T28" s="5" t="s">
        <v>42</v>
      </c>
      <c r="U28" s="4">
        <v>2.13</v>
      </c>
      <c r="V28" s="5" t="s">
        <v>46</v>
      </c>
      <c r="W28" s="4">
        <v>8.0</v>
      </c>
      <c r="X28" s="6">
        <v>13.8</v>
      </c>
      <c r="Y28" s="4" t="s">
        <v>47</v>
      </c>
      <c r="Z28" s="7">
        <f t="shared" si="1"/>
        <v>29.394</v>
      </c>
      <c r="AA28" s="4">
        <v>15.0</v>
      </c>
      <c r="AB28" s="8"/>
      <c r="AC28" s="8">
        <f t="shared" si="2"/>
        <v>0</v>
      </c>
      <c r="AD28" s="13">
        <v>1107.59</v>
      </c>
      <c r="AE28" s="10" t="s">
        <v>136</v>
      </c>
      <c r="AF28" s="11"/>
      <c r="AG28" s="11"/>
      <c r="AH28" s="11"/>
      <c r="AI28" s="11"/>
      <c r="AJ28" s="11" t="str">
        <f>IFERROR(__xludf.DUMMYFUNCTION("AI(""Completa un valor adecuado para esta celda en función del contexto de la tabla"")"),"Piso flotante laminado de origen alemán con tecnología Waterproof, ideal para uso comercial intenso gracias a su alta resistencia a la abrasión AC5. Con un espesor de 8 mm y sistema de instalación click, este modelo de la línea ORCA cuenta con bisel en su"&amp;"s cuatro lados y un formato de tabla extra largo de 2003 mm. Cada caja cubre una superficie de 2.73 m2.")</f>
        <v>Piso flotante laminado de origen alemán con tecnología Waterproof, ideal para uso comercial intenso gracias a su alta resistencia a la abrasión AC5. Con un espesor de 8 mm y sistema de instalación click, este modelo de la línea ORCA cuenta con bisel en sus cuatro lados y un formato de tabla extra largo de 2003 mm. Cada caja cubre una superficie de 2.73 m2.</v>
      </c>
    </row>
    <row r="29" ht="15.75" customHeight="1">
      <c r="A29" s="4">
        <v>18181.0</v>
      </c>
      <c r="B29" s="5" t="s">
        <v>33</v>
      </c>
      <c r="C29" s="5" t="s">
        <v>34</v>
      </c>
      <c r="D29" s="5" t="s">
        <v>35</v>
      </c>
      <c r="E29" s="5" t="s">
        <v>36</v>
      </c>
      <c r="F29" s="5" t="s">
        <v>37</v>
      </c>
      <c r="G29" s="5" t="s">
        <v>137</v>
      </c>
      <c r="H29" s="4" t="s">
        <v>138</v>
      </c>
      <c r="I29" s="5" t="s">
        <v>39</v>
      </c>
      <c r="J29" s="5" t="s">
        <v>86</v>
      </c>
      <c r="K29" s="5" t="s">
        <v>54</v>
      </c>
      <c r="L29" s="4">
        <v>8.0</v>
      </c>
      <c r="M29" s="5" t="s">
        <v>42</v>
      </c>
      <c r="N29" s="4" t="s">
        <v>55</v>
      </c>
      <c r="O29" s="4" t="s">
        <v>44</v>
      </c>
      <c r="P29" s="4" t="s">
        <v>44</v>
      </c>
      <c r="Q29" s="4">
        <v>193.0</v>
      </c>
      <c r="R29" s="5" t="s">
        <v>42</v>
      </c>
      <c r="S29" s="4">
        <v>1380.0</v>
      </c>
      <c r="T29" s="5" t="s">
        <v>42</v>
      </c>
      <c r="U29" s="4">
        <v>2.13</v>
      </c>
      <c r="V29" s="5" t="s">
        <v>46</v>
      </c>
      <c r="W29" s="4">
        <v>8.0</v>
      </c>
      <c r="X29" s="6">
        <v>16.0</v>
      </c>
      <c r="Y29" s="4" t="s">
        <v>56</v>
      </c>
      <c r="Z29" s="7">
        <f t="shared" si="1"/>
        <v>34.08</v>
      </c>
      <c r="AA29" s="4">
        <v>15.0</v>
      </c>
      <c r="AB29" s="8"/>
      <c r="AC29" s="8">
        <f t="shared" si="2"/>
        <v>0</v>
      </c>
      <c r="AD29" s="13">
        <v>1576.2</v>
      </c>
      <c r="AE29" s="14" t="s">
        <v>139</v>
      </c>
      <c r="AF29" s="15"/>
      <c r="AG29" s="15"/>
      <c r="AH29" s="15"/>
      <c r="AI29" s="15"/>
      <c r="AJ29" s="15" t="str">
        <f>IFERROR(__xludf.DUMMYFUNCTION("AI(""Completa un valor adecuado para esta celda en función del contexto de la tabla"")"),"Piso flotante laminado de origen alemán, marca Krono Original, ideal para uso comercial intenso gracias a su resistencia de grado AC5. Posee un espesor de 8 mm, tecnología waterproof y bisel en sus tablas, las cuales presentan un formato largo de 2003 mm."&amp;" Cada caja contiene 7 unidades y rinde 2.73 m2.")</f>
        <v>Piso flotante laminado de origen alemán, marca Krono Original, ideal para uso comercial intenso gracias a su resistencia de grado AC5. Posee un espesor de 8 mm, tecnología waterproof y bisel en sus tablas, las cuales presentan un formato largo de 2003 mm. Cada caja contiene 7 unidades y rinde 2.73 m2.</v>
      </c>
    </row>
    <row r="30" ht="15.75" customHeight="1">
      <c r="A30" s="4">
        <v>25202.0</v>
      </c>
      <c r="B30" s="5" t="s">
        <v>33</v>
      </c>
      <c r="C30" s="5" t="s">
        <v>34</v>
      </c>
      <c r="D30" s="5" t="s">
        <v>35</v>
      </c>
      <c r="E30" s="5" t="s">
        <v>49</v>
      </c>
      <c r="F30" s="5" t="s">
        <v>37</v>
      </c>
      <c r="G30" s="5" t="s">
        <v>140</v>
      </c>
      <c r="H30" s="4">
        <v>5543.0</v>
      </c>
      <c r="I30" s="5" t="s">
        <v>72</v>
      </c>
      <c r="J30" s="17" t="s">
        <v>80</v>
      </c>
      <c r="K30" s="5" t="s">
        <v>41</v>
      </c>
      <c r="L30" s="4" t="s">
        <v>95</v>
      </c>
      <c r="M30" s="5" t="s">
        <v>42</v>
      </c>
      <c r="N30" s="4" t="s">
        <v>43</v>
      </c>
      <c r="O30" s="4" t="s">
        <v>45</v>
      </c>
      <c r="P30" s="4" t="s">
        <v>45</v>
      </c>
      <c r="Q30" s="4">
        <v>245.0</v>
      </c>
      <c r="R30" s="5" t="s">
        <v>42</v>
      </c>
      <c r="S30" s="4">
        <v>2003.0</v>
      </c>
      <c r="T30" s="5" t="s">
        <v>42</v>
      </c>
      <c r="U30" s="4">
        <v>3.44</v>
      </c>
      <c r="V30" s="5" t="s">
        <v>46</v>
      </c>
      <c r="W30" s="4">
        <v>9.0</v>
      </c>
      <c r="X30" s="6">
        <v>19.0</v>
      </c>
      <c r="Y30" s="4" t="s">
        <v>47</v>
      </c>
      <c r="Z30" s="7">
        <f t="shared" si="1"/>
        <v>65.36</v>
      </c>
      <c r="AA30" s="4">
        <v>15.0</v>
      </c>
      <c r="AB30" s="4">
        <v>52.0</v>
      </c>
      <c r="AC30" s="8">
        <f t="shared" si="2"/>
        <v>780</v>
      </c>
      <c r="AD30" s="13">
        <v>820.38</v>
      </c>
      <c r="AE30" s="10" t="s">
        <v>141</v>
      </c>
      <c r="AF30" s="11"/>
      <c r="AG30" s="11"/>
      <c r="AH30" s="11"/>
      <c r="AI30" s="11"/>
      <c r="AJ30" s="11" t="str">
        <f>IFERROR(__xludf.DUMMYFUNCTION("AI(""Completa un valor adecuado para esta celda en función del contexto de la tabla"")"),"Piso flotante laminado de origen alemán, marca Krono Original, ideal para uso comercial por su resistencia a la abrasión AC4. Con un espesor de 8 mm y sistema de instalación click, este modelo de la línea More cuenta con bisel y tecnología Water Resistant"&amp;". Cada caja cubre una superficie de 2.26 m2.")</f>
        <v>Piso flotante laminado de origen alemán, marca Krono Original, ideal para uso comercial por su resistencia a la abrasión AC4. Con un espesor de 8 mm y sistema de instalación click, este modelo de la línea More cuenta con bisel y tecnología Water Resistant. Cada caja cubre una superficie de 2.26 m2.</v>
      </c>
    </row>
    <row r="31" ht="15.75" customHeight="1">
      <c r="A31" s="4">
        <v>23760.0</v>
      </c>
      <c r="B31" s="5" t="s">
        <v>33</v>
      </c>
      <c r="C31" s="5" t="s">
        <v>34</v>
      </c>
      <c r="D31" s="5" t="s">
        <v>35</v>
      </c>
      <c r="E31" s="5" t="s">
        <v>36</v>
      </c>
      <c r="F31" s="5" t="s">
        <v>37</v>
      </c>
      <c r="G31" s="5" t="s">
        <v>142</v>
      </c>
      <c r="H31" s="4" t="s">
        <v>143</v>
      </c>
      <c r="I31" s="5" t="s">
        <v>39</v>
      </c>
      <c r="J31" s="5" t="s">
        <v>60</v>
      </c>
      <c r="K31" s="5" t="s">
        <v>54</v>
      </c>
      <c r="L31" s="4">
        <v>8.0</v>
      </c>
      <c r="M31" s="5" t="s">
        <v>42</v>
      </c>
      <c r="N31" s="4" t="s">
        <v>55</v>
      </c>
      <c r="O31" s="4" t="s">
        <v>44</v>
      </c>
      <c r="P31" s="4" t="s">
        <v>45</v>
      </c>
      <c r="Q31" s="4">
        <v>193.0</v>
      </c>
      <c r="R31" s="5" t="s">
        <v>42</v>
      </c>
      <c r="S31" s="4">
        <v>1380.0</v>
      </c>
      <c r="T31" s="5" t="s">
        <v>42</v>
      </c>
      <c r="U31" s="4">
        <v>2.13</v>
      </c>
      <c r="V31" s="5" t="s">
        <v>46</v>
      </c>
      <c r="W31" s="4">
        <v>8.0</v>
      </c>
      <c r="X31" s="6">
        <v>12.9</v>
      </c>
      <c r="Y31" s="4" t="s">
        <v>56</v>
      </c>
      <c r="Z31" s="7">
        <f t="shared" si="1"/>
        <v>27.477</v>
      </c>
      <c r="AA31" s="4">
        <v>15.0</v>
      </c>
      <c r="AB31" s="8"/>
      <c r="AC31" s="8">
        <f t="shared" si="2"/>
        <v>0</v>
      </c>
      <c r="AD31" s="13">
        <v>460.07</v>
      </c>
      <c r="AE31" s="14" t="s">
        <v>144</v>
      </c>
      <c r="AF31" s="15"/>
      <c r="AG31" s="15"/>
      <c r="AH31" s="15"/>
      <c r="AI31" s="15"/>
      <c r="AJ31" s="15" t="str">
        <f>IFERROR(__xludf.DUMMYFUNCTION("AI(""Completa un valor adecuado para esta celda en función del contexto de la tabla"")"),"Piso flotante laminado de origen alemán, marca Krono Original, diseñado para uso comercial con resistencia a la abrasión AC4. Posee un espesor de 8 mm y un sistema de instalación click que incluye bisel en sus cuatro lados. Con protección resistente al ag"&amp;"ua, cada caja de este modelo Sienna Montreux cubre una superficie de 2.26 m2.")</f>
        <v>Piso flotante laminado de origen alemán, marca Krono Original, diseñado para uso comercial con resistencia a la abrasión AC4. Posee un espesor de 8 mm y un sistema de instalación click que incluye bisel en sus cuatro lados. Con protección resistente al agua, cada caja de este modelo Sienna Montreux cubre una superficie de 2.26 m2.</v>
      </c>
    </row>
    <row r="32" ht="15.75" customHeight="1">
      <c r="A32" s="4">
        <v>19319.0</v>
      </c>
      <c r="B32" s="5" t="s">
        <v>33</v>
      </c>
      <c r="C32" s="5" t="s">
        <v>34</v>
      </c>
      <c r="D32" s="5" t="s">
        <v>35</v>
      </c>
      <c r="E32" s="5" t="s">
        <v>36</v>
      </c>
      <c r="F32" s="5" t="s">
        <v>37</v>
      </c>
      <c r="G32" s="5" t="s">
        <v>145</v>
      </c>
      <c r="H32" s="4">
        <v>8199.0</v>
      </c>
      <c r="I32" s="5" t="s">
        <v>72</v>
      </c>
      <c r="J32" s="5" t="s">
        <v>146</v>
      </c>
      <c r="K32" s="5" t="s">
        <v>54</v>
      </c>
      <c r="L32" s="4">
        <v>8.0</v>
      </c>
      <c r="M32" s="5" t="s">
        <v>42</v>
      </c>
      <c r="N32" s="4" t="s">
        <v>55</v>
      </c>
      <c r="O32" s="4" t="s">
        <v>44</v>
      </c>
      <c r="P32" s="4" t="s">
        <v>45</v>
      </c>
      <c r="Q32" s="4">
        <v>192.0</v>
      </c>
      <c r="R32" s="5" t="s">
        <v>42</v>
      </c>
      <c r="S32" s="4">
        <v>1280.0</v>
      </c>
      <c r="T32" s="5" t="s">
        <v>42</v>
      </c>
      <c r="U32" s="4">
        <v>2.22</v>
      </c>
      <c r="V32" s="5" t="s">
        <v>46</v>
      </c>
      <c r="W32" s="4">
        <v>9.0</v>
      </c>
      <c r="X32" s="6">
        <v>23.35</v>
      </c>
      <c r="Y32" s="4" t="s">
        <v>47</v>
      </c>
      <c r="Z32" s="7">
        <f t="shared" si="1"/>
        <v>51.837</v>
      </c>
      <c r="AA32" s="4">
        <v>15.0</v>
      </c>
      <c r="AB32" s="4">
        <v>52.0</v>
      </c>
      <c r="AC32" s="8">
        <f t="shared" si="2"/>
        <v>780</v>
      </c>
      <c r="AD32" s="13">
        <v>643.8</v>
      </c>
      <c r="AE32" s="10" t="s">
        <v>147</v>
      </c>
      <c r="AF32" s="11"/>
      <c r="AG32" s="11"/>
      <c r="AH32" s="11"/>
      <c r="AI32" s="11"/>
      <c r="AJ32" s="11" t="str">
        <f>IFERROR(__xludf.DUMMYFUNCTION("AI(""Completa un valor adecuado para esta celda en función del contexto de la tabla"")"),"Piso flotante laminado de origen alemán, diseñado para uso comercial con resistencia a la abrasión AC4. Posee un espesor de 8 mm, cuenta con bisel y tecnología Water Resistant para mayor protección contra la humedad. Cada caja contiene 9 tablas y cubre un"&amp;"a superficie de 2.26 m2.")</f>
        <v>Piso flotante laminado de origen alemán, diseñado para uso comercial con resistencia a la abrasión AC4. Posee un espesor de 8 mm, cuenta con bisel y tecnología Water Resistant para mayor protección contra la humedad. Cada caja contiene 9 tablas y cubre una superficie de 2.26 m2.</v>
      </c>
    </row>
    <row r="33" ht="15.75" customHeight="1">
      <c r="A33" s="16">
        <v>24729.0</v>
      </c>
      <c r="B33" s="5" t="s">
        <v>33</v>
      </c>
      <c r="C33" s="5" t="s">
        <v>34</v>
      </c>
      <c r="D33" s="5" t="s">
        <v>35</v>
      </c>
      <c r="E33" s="17" t="s">
        <v>49</v>
      </c>
      <c r="F33" s="17" t="s">
        <v>37</v>
      </c>
      <c r="G33" s="18" t="s">
        <v>148</v>
      </c>
      <c r="H33" s="16">
        <v>8006.0</v>
      </c>
      <c r="I33" s="5" t="s">
        <v>72</v>
      </c>
      <c r="J33" s="17" t="s">
        <v>80</v>
      </c>
      <c r="K33" s="5" t="s">
        <v>41</v>
      </c>
      <c r="L33" s="19">
        <v>8.0</v>
      </c>
      <c r="M33" s="17" t="s">
        <v>42</v>
      </c>
      <c r="N33" s="19" t="s">
        <v>43</v>
      </c>
      <c r="O33" s="19" t="s">
        <v>44</v>
      </c>
      <c r="P33" s="19" t="s">
        <v>45</v>
      </c>
      <c r="Q33" s="19">
        <v>195.0</v>
      </c>
      <c r="R33" s="17" t="s">
        <v>42</v>
      </c>
      <c r="S33" s="19">
        <v>1290.0</v>
      </c>
      <c r="T33" s="17" t="s">
        <v>42</v>
      </c>
      <c r="U33" s="19">
        <v>2.26</v>
      </c>
      <c r="V33" s="17" t="s">
        <v>46</v>
      </c>
      <c r="W33" s="19">
        <v>9.0</v>
      </c>
      <c r="X33" s="20">
        <v>26.85</v>
      </c>
      <c r="Y33" s="19" t="s">
        <v>61</v>
      </c>
      <c r="Z33" s="20">
        <f t="shared" si="1"/>
        <v>60.681</v>
      </c>
      <c r="AA33" s="4">
        <v>15.0</v>
      </c>
      <c r="AB33" s="19">
        <v>52.0</v>
      </c>
      <c r="AC33" s="8">
        <f t="shared" si="2"/>
        <v>780</v>
      </c>
      <c r="AD33" s="21">
        <v>106.22</v>
      </c>
      <c r="AE33" s="14" t="s">
        <v>149</v>
      </c>
      <c r="AF33" s="22"/>
      <c r="AG33" s="22"/>
      <c r="AH33" s="22"/>
      <c r="AI33" s="22"/>
      <c r="AJ33" s="22" t="str">
        <f>IFERROR(__xludf.DUMMYFUNCTION("AI(""Completa un valor adecuado para esta celda en función del contexto de la tabla"")"),"Piso flotante laminado de origen alemán, ideal para uso comercial intenso por su resistencia a la abrasión AC5. Con un espesor de 12 mm, este modelo de la marca Krono Original cuenta con bisel y protección resistente al agua. Cada caja cubre una superfici"&amp;"e de 1.29 m2.")</f>
        <v>Piso flotante laminado de origen alemán, ideal para uso comercial intenso por su resistencia a la abrasión AC5. Con un espesor de 12 mm, este modelo de la marca Krono Original cuenta con bisel y protección resistente al agua. Cada caja cubre una superficie de 1.29 m2.</v>
      </c>
    </row>
    <row r="34" ht="15.75" customHeight="1">
      <c r="A34" s="4">
        <v>24933.0</v>
      </c>
      <c r="B34" s="5" t="s">
        <v>33</v>
      </c>
      <c r="C34" s="5" t="s">
        <v>34</v>
      </c>
      <c r="D34" s="5" t="s">
        <v>35</v>
      </c>
      <c r="E34" s="5" t="s">
        <v>49</v>
      </c>
      <c r="F34" s="5" t="s">
        <v>50</v>
      </c>
      <c r="G34" s="5" t="s">
        <v>150</v>
      </c>
      <c r="H34" s="4"/>
      <c r="I34" s="5" t="s">
        <v>52</v>
      </c>
      <c r="J34" s="5" t="s">
        <v>53</v>
      </c>
      <c r="K34" s="5" t="s">
        <v>54</v>
      </c>
      <c r="L34" s="4">
        <v>8.0</v>
      </c>
      <c r="M34" s="5" t="s">
        <v>42</v>
      </c>
      <c r="N34" s="4" t="s">
        <v>55</v>
      </c>
      <c r="O34" s="4" t="s">
        <v>44</v>
      </c>
      <c r="P34" s="4" t="s">
        <v>45</v>
      </c>
      <c r="Q34" s="4">
        <v>198.0</v>
      </c>
      <c r="R34" s="5" t="s">
        <v>42</v>
      </c>
      <c r="S34" s="4">
        <v>1216.0</v>
      </c>
      <c r="T34" s="5" t="s">
        <v>42</v>
      </c>
      <c r="U34" s="4">
        <v>2.17</v>
      </c>
      <c r="V34" s="5" t="s">
        <v>46</v>
      </c>
      <c r="W34" s="4">
        <v>9.0</v>
      </c>
      <c r="X34" s="6">
        <v>16.0</v>
      </c>
      <c r="Y34" s="4" t="s">
        <v>47</v>
      </c>
      <c r="Z34" s="7">
        <f t="shared" si="1"/>
        <v>34.72</v>
      </c>
      <c r="AA34" s="4">
        <v>15.0</v>
      </c>
      <c r="AB34" s="4">
        <v>65.0</v>
      </c>
      <c r="AC34" s="8">
        <f t="shared" si="2"/>
        <v>975</v>
      </c>
      <c r="AD34" s="13">
        <v>17.36</v>
      </c>
      <c r="AE34" s="10" t="s">
        <v>151</v>
      </c>
      <c r="AF34" s="11"/>
      <c r="AG34" s="11"/>
      <c r="AH34" s="11"/>
      <c r="AI34" s="11"/>
      <c r="AJ34" s="11" t="str">
        <f>IFERROR(__xludf.DUMMYFUNCTION("AI(""Completa un valor adecuado para esta celda en función del contexto de la tabla"")"),"Piso flotante laminado de origen alemán, marca Krono Original, diseñado para uso comercial con resistencia a la abrasión AC4. Posee un espesor de 8 mm, cuenta con bisel en sus bordes y tecnología resistente al agua. Cada caja contiene 9 tablas que cubren "&amp;"una superficie total de 2.26 m2.")</f>
        <v>Piso flotante laminado de origen alemán, marca Krono Original, diseñado para uso comercial con resistencia a la abrasión AC4. Posee un espesor de 8 mm, cuenta con bisel en sus bordes y tecnología resistente al agua. Cada caja contiene 9 tablas que cubren una superficie total de 2.26 m2.</v>
      </c>
    </row>
    <row r="35" ht="15.75" customHeight="1">
      <c r="A35" s="4">
        <v>24758.0</v>
      </c>
      <c r="B35" s="5" t="s">
        <v>33</v>
      </c>
      <c r="C35" s="5" t="s">
        <v>34</v>
      </c>
      <c r="D35" s="5" t="s">
        <v>35</v>
      </c>
      <c r="E35" s="5" t="s">
        <v>49</v>
      </c>
      <c r="F35" s="5" t="s">
        <v>37</v>
      </c>
      <c r="G35" s="5" t="s">
        <v>152</v>
      </c>
      <c r="H35" s="8"/>
      <c r="I35" s="5" t="s">
        <v>72</v>
      </c>
      <c r="J35" s="17" t="s">
        <v>80</v>
      </c>
      <c r="K35" s="5" t="s">
        <v>41</v>
      </c>
      <c r="L35" s="4">
        <v>6.0</v>
      </c>
      <c r="M35" s="5" t="s">
        <v>42</v>
      </c>
      <c r="N35" s="4" t="s">
        <v>43</v>
      </c>
      <c r="O35" s="4" t="s">
        <v>44</v>
      </c>
      <c r="P35" s="4" t="s">
        <v>45</v>
      </c>
      <c r="Q35" s="4">
        <v>195.0</v>
      </c>
      <c r="R35" s="5" t="s">
        <v>42</v>
      </c>
      <c r="S35" s="4">
        <v>1288.0</v>
      </c>
      <c r="T35" s="5" t="s">
        <v>42</v>
      </c>
      <c r="U35" s="4">
        <v>2.76</v>
      </c>
      <c r="V35" s="5" t="s">
        <v>46</v>
      </c>
      <c r="W35" s="4">
        <v>11.0</v>
      </c>
      <c r="X35" s="6">
        <v>20.8</v>
      </c>
      <c r="Y35" s="4" t="s">
        <v>47</v>
      </c>
      <c r="Z35" s="7">
        <f t="shared" si="1"/>
        <v>57.408</v>
      </c>
      <c r="AA35" s="4">
        <v>15.0</v>
      </c>
      <c r="AB35" s="4">
        <v>52.0</v>
      </c>
      <c r="AC35" s="8">
        <f t="shared" si="2"/>
        <v>780</v>
      </c>
      <c r="AD35" s="13">
        <v>604.44</v>
      </c>
      <c r="AE35" s="14" t="s">
        <v>153</v>
      </c>
      <c r="AF35" s="15"/>
      <c r="AG35" s="15"/>
      <c r="AH35" s="15"/>
      <c r="AI35" s="15"/>
      <c r="AJ35" s="15" t="str">
        <f>IFERROR(__xludf.DUMMYFUNCTION("AI(""Completa un valor adecuado para esta celda en función del contexto de la tabla"")"),"Piso flotante laminado de origen alemán, marca Krono Original, diseñado para un uso comercial con resistencia a la abrasión AC4. Posee un espesor de 7 mm, sistema de bisel en sus lados y una base de 2.51 m2 por caja. Su diseño Gold Fiordaliso Oak ofrece p"&amp;"rotección resistente al agua.")</f>
        <v>Piso flotante laminado de origen alemán, marca Krono Original, diseñado para un uso comercial con resistencia a la abrasión AC4. Posee un espesor de 7 mm, sistema de bisel en sus lados y una base de 2.51 m2 por caja. Su diseño Gold Fiordaliso Oak ofrece protección resistente al agua.</v>
      </c>
    </row>
    <row r="36" ht="15.75" customHeight="1">
      <c r="A36" s="4">
        <v>24738.0</v>
      </c>
      <c r="B36" s="5" t="s">
        <v>33</v>
      </c>
      <c r="C36" s="5" t="s">
        <v>34</v>
      </c>
      <c r="D36" s="5" t="s">
        <v>35</v>
      </c>
      <c r="E36" s="5" t="s">
        <v>49</v>
      </c>
      <c r="F36" s="5" t="s">
        <v>37</v>
      </c>
      <c r="G36" s="5" t="s">
        <v>154</v>
      </c>
      <c r="H36" s="8"/>
      <c r="I36" s="5" t="s">
        <v>72</v>
      </c>
      <c r="J36" s="17" t="s">
        <v>80</v>
      </c>
      <c r="K36" s="5" t="s">
        <v>41</v>
      </c>
      <c r="L36" s="4">
        <v>6.0</v>
      </c>
      <c r="M36" s="5" t="s">
        <v>42</v>
      </c>
      <c r="N36" s="4" t="s">
        <v>43</v>
      </c>
      <c r="O36" s="4" t="s">
        <v>44</v>
      </c>
      <c r="P36" s="4" t="s">
        <v>45</v>
      </c>
      <c r="Q36" s="4">
        <v>195.0</v>
      </c>
      <c r="R36" s="5" t="s">
        <v>42</v>
      </c>
      <c r="S36" s="4">
        <v>1288.0</v>
      </c>
      <c r="T36" s="5" t="s">
        <v>42</v>
      </c>
      <c r="U36" s="4">
        <v>2.76</v>
      </c>
      <c r="V36" s="5" t="s">
        <v>46</v>
      </c>
      <c r="W36" s="4">
        <v>11.0</v>
      </c>
      <c r="X36" s="6">
        <v>20.8</v>
      </c>
      <c r="Y36" s="4" t="s">
        <v>47</v>
      </c>
      <c r="Z36" s="7">
        <f t="shared" si="1"/>
        <v>57.408</v>
      </c>
      <c r="AA36" s="4">
        <v>15.0</v>
      </c>
      <c r="AB36" s="4">
        <v>52.0</v>
      </c>
      <c r="AC36" s="8">
        <f t="shared" si="2"/>
        <v>780</v>
      </c>
      <c r="AD36" s="13">
        <v>645.84</v>
      </c>
      <c r="AE36" s="10" t="s">
        <v>155</v>
      </c>
      <c r="AF36" s="11"/>
      <c r="AG36" s="11"/>
      <c r="AH36" s="11"/>
      <c r="AI36" s="11"/>
      <c r="AJ36" s="11" t="str">
        <f>IFERROR(__xludf.DUMMYFUNCTION("AI(""Completa un valor adecuado para esta celda en función del contexto de la tabla"")"),"Piso flotante laminado de origen alemán, marca Krono Original, ideal para uso comercial gracias a su resistencia a la abrasión AC4. Con un espesor de 7 mm y sistema de instalación click, este modelo cuenta con bisel y protección resistente al agua. Cada c"&amp;"aja contiene 10 tablas y cubre una superficie de 2.51 m2.")</f>
        <v>Piso flotante laminado de origen alemán, marca Krono Original, ideal para uso comercial gracias a su resistencia a la abrasión AC4. Con un espesor de 7 mm y sistema de instalación click, este modelo cuenta con bisel y protección resistente al agua. Cada caja contiene 10 tablas y cubre una superficie de 2.51 m2.</v>
      </c>
    </row>
    <row r="37" ht="15.75" customHeight="1">
      <c r="A37" s="4">
        <v>24739.0</v>
      </c>
      <c r="B37" s="5" t="s">
        <v>33</v>
      </c>
      <c r="C37" s="5" t="s">
        <v>34</v>
      </c>
      <c r="D37" s="5" t="s">
        <v>35</v>
      </c>
      <c r="E37" s="5" t="s">
        <v>49</v>
      </c>
      <c r="F37" s="5" t="s">
        <v>37</v>
      </c>
      <c r="G37" s="5" t="s">
        <v>156</v>
      </c>
      <c r="H37" s="23"/>
      <c r="I37" s="5" t="s">
        <v>72</v>
      </c>
      <c r="J37" s="17" t="s">
        <v>80</v>
      </c>
      <c r="K37" s="5" t="s">
        <v>41</v>
      </c>
      <c r="L37" s="4">
        <v>6.0</v>
      </c>
      <c r="M37" s="5" t="s">
        <v>42</v>
      </c>
      <c r="N37" s="4" t="s">
        <v>43</v>
      </c>
      <c r="O37" s="4" t="s">
        <v>44</v>
      </c>
      <c r="P37" s="4" t="s">
        <v>45</v>
      </c>
      <c r="Q37" s="4">
        <v>195.0</v>
      </c>
      <c r="R37" s="5" t="s">
        <v>42</v>
      </c>
      <c r="S37" s="4">
        <v>1288.0</v>
      </c>
      <c r="T37" s="5" t="s">
        <v>42</v>
      </c>
      <c r="U37" s="4">
        <v>2.76</v>
      </c>
      <c r="V37" s="5" t="s">
        <v>46</v>
      </c>
      <c r="W37" s="4">
        <v>11.0</v>
      </c>
      <c r="X37" s="6">
        <v>20.8</v>
      </c>
      <c r="Y37" s="4" t="s">
        <v>47</v>
      </c>
      <c r="Z37" s="7">
        <f t="shared" si="1"/>
        <v>57.408</v>
      </c>
      <c r="AA37" s="4">
        <v>15.0</v>
      </c>
      <c r="AB37" s="4">
        <v>52.0</v>
      </c>
      <c r="AC37" s="8">
        <f t="shared" si="2"/>
        <v>780</v>
      </c>
      <c r="AD37" s="13">
        <v>5.52</v>
      </c>
      <c r="AE37" s="14" t="s">
        <v>157</v>
      </c>
      <c r="AF37" s="15"/>
      <c r="AG37" s="15"/>
      <c r="AH37" s="15"/>
      <c r="AI37" s="15"/>
      <c r="AJ37" s="15" t="str">
        <f>IFERROR(__xludf.DUMMYFUNCTION("AI(""Completa un valor adecuado para esta celda en función del contexto de la tabla"")"),"Piso flotante laminado de origen alemán, diseñado para uso comercial por su resistencia a la abrasión AC4. Con un espesor de 8 mm y sistema de instalación click, este modelo de la línea More cuenta con bisel en sus cuatro lados. Cada caja contiene 6 tabla"&amp;"s de gran formato (330 mm de ancho) que cubren una superficie de 2.55 m2.")</f>
        <v>Piso flotante laminado de origen alemán, diseñado para uso comercial por su resistencia a la abrasión AC4. Con un espesor de 8 mm y sistema de instalación click, este modelo de la línea More cuenta con bisel en sus cuatro lados. Cada caja contiene 6 tablas de gran formato (330 mm de ancho) que cubren una superficie de 2.55 m2.</v>
      </c>
    </row>
    <row r="38" ht="15.75" customHeight="1">
      <c r="A38" s="4">
        <v>23766.0</v>
      </c>
      <c r="B38" s="5" t="s">
        <v>33</v>
      </c>
      <c r="C38" s="5" t="s">
        <v>34</v>
      </c>
      <c r="D38" s="5" t="s">
        <v>35</v>
      </c>
      <c r="E38" s="5" t="s">
        <v>36</v>
      </c>
      <c r="F38" s="5" t="s">
        <v>37</v>
      </c>
      <c r="G38" s="5" t="s">
        <v>158</v>
      </c>
      <c r="H38" s="4">
        <v>4731.0</v>
      </c>
      <c r="I38" s="5" t="s">
        <v>39</v>
      </c>
      <c r="J38" s="5" t="s">
        <v>159</v>
      </c>
      <c r="K38" s="5" t="s">
        <v>41</v>
      </c>
      <c r="L38" s="4">
        <v>12.0</v>
      </c>
      <c r="M38" s="5" t="s">
        <v>42</v>
      </c>
      <c r="N38" s="4" t="s">
        <v>43</v>
      </c>
      <c r="O38" s="4" t="s">
        <v>44</v>
      </c>
      <c r="P38" s="4" t="s">
        <v>45</v>
      </c>
      <c r="Q38" s="4">
        <v>188.0</v>
      </c>
      <c r="R38" s="5" t="s">
        <v>42</v>
      </c>
      <c r="S38" s="4">
        <v>1375.0</v>
      </c>
      <c r="T38" s="5" t="s">
        <v>42</v>
      </c>
      <c r="U38" s="4">
        <v>1.3</v>
      </c>
      <c r="V38" s="5" t="s">
        <v>46</v>
      </c>
      <c r="W38" s="4">
        <v>5.0</v>
      </c>
      <c r="X38" s="6">
        <v>19.0</v>
      </c>
      <c r="Y38" s="4" t="s">
        <v>47</v>
      </c>
      <c r="Z38" s="7">
        <f t="shared" si="1"/>
        <v>24.7</v>
      </c>
      <c r="AA38" s="4">
        <v>15.0</v>
      </c>
      <c r="AB38" s="4">
        <v>56.0</v>
      </c>
      <c r="AC38" s="8">
        <f t="shared" si="2"/>
        <v>840</v>
      </c>
      <c r="AD38" s="13">
        <v>201.5</v>
      </c>
      <c r="AE38" s="10" t="s">
        <v>160</v>
      </c>
      <c r="AF38" s="11"/>
      <c r="AG38" s="11"/>
      <c r="AH38" s="11"/>
      <c r="AI38" s="11"/>
      <c r="AJ38" s="11" t="str">
        <f>IFERROR(__xludf.DUMMYFUNCTION("AI(""Completa un valor adecuado para esta celda en función del contexto de la tabla"")"),"Piso flotante de origen alemán con tecnología Water Resistant de la marca Krono Original, perteneciente a la línea More. Presenta un espesor de 8 mm y una resistencia a la abrasión AC4, lo que lo hace apto para uso comercial. Destaca por su formato de tab"&amp;"la de 330 mm de ancho con bisel en sus cuatro lados y un sistema de instalación click que facilita su montaje. Cada caja rinde 2.55 m2.")</f>
        <v>Piso flotante de origen alemán con tecnología Water Resistant de la marca Krono Original, perteneciente a la línea More. Presenta un espesor de 8 mm y una resistencia a la abrasión AC4, lo que lo hace apto para uso comercial. Destaca por su formato de tabla de 330 mm de ancho con bisel en sus cuatro lados y un sistema de instalación click que facilita su montaje. Cada caja rinde 2.55 m2.</v>
      </c>
    </row>
    <row r="39" ht="15.75" customHeight="1">
      <c r="A39" s="4">
        <v>24831.0</v>
      </c>
      <c r="B39" s="5" t="s">
        <v>33</v>
      </c>
      <c r="C39" s="5" t="s">
        <v>34</v>
      </c>
      <c r="D39" s="5" t="s">
        <v>35</v>
      </c>
      <c r="E39" s="5" t="s">
        <v>49</v>
      </c>
      <c r="F39" s="5" t="s">
        <v>37</v>
      </c>
      <c r="G39" s="5" t="s">
        <v>161</v>
      </c>
      <c r="H39" s="4">
        <v>2853.0</v>
      </c>
      <c r="I39" s="5" t="s">
        <v>72</v>
      </c>
      <c r="J39" s="17" t="s">
        <v>80</v>
      </c>
      <c r="K39" s="5" t="s">
        <v>41</v>
      </c>
      <c r="L39" s="4">
        <v>12.0</v>
      </c>
      <c r="M39" s="5" t="s">
        <v>42</v>
      </c>
      <c r="N39" s="4" t="s">
        <v>43</v>
      </c>
      <c r="O39" s="4" t="s">
        <v>44</v>
      </c>
      <c r="P39" s="4" t="s">
        <v>45</v>
      </c>
      <c r="Q39" s="4">
        <v>195.0</v>
      </c>
      <c r="R39" s="5" t="s">
        <v>42</v>
      </c>
      <c r="S39" s="4">
        <v>1288.0</v>
      </c>
      <c r="T39" s="5" t="s">
        <v>42</v>
      </c>
      <c r="U39" s="4">
        <v>1.51</v>
      </c>
      <c r="V39" s="5" t="s">
        <v>46</v>
      </c>
      <c r="W39" s="4">
        <v>6.0</v>
      </c>
      <c r="X39" s="6">
        <v>27.4</v>
      </c>
      <c r="Y39" s="4" t="s">
        <v>162</v>
      </c>
      <c r="Z39" s="7">
        <f t="shared" si="1"/>
        <v>41.374</v>
      </c>
      <c r="AA39" s="4">
        <v>15.0</v>
      </c>
      <c r="AB39" s="4">
        <v>52.0</v>
      </c>
      <c r="AC39" s="8">
        <f t="shared" si="2"/>
        <v>780</v>
      </c>
      <c r="AD39" s="13">
        <v>498.29</v>
      </c>
      <c r="AE39" s="14" t="s">
        <v>163</v>
      </c>
      <c r="AF39" s="15"/>
      <c r="AG39" s="15"/>
      <c r="AH39" s="15"/>
      <c r="AI39" s="15"/>
      <c r="AJ39" s="15" t="str">
        <f>IFERROR(__xludf.DUMMYFUNCTION("AI(""Completa un valor adecuado para esta celda en función del contexto de la tabla"")"),"Piso flotante laminado de origen alemán, marca Kronotex y línea Corepel, diseñado para uso comercial intenso gracias a su resistencia a la abrasión AC5. Posee un espesor de 6.5 mm, sistema de instalación click con bisel y tecnología impermeable Waterproof"&amp;". Cada caja contiene 7 tablas que cubren una superficie de 1.87 m2.")</f>
        <v>Piso flotante laminado de origen alemán, marca Kronotex y línea Corepel, diseñado para uso comercial intenso gracias a su resistencia a la abrasión AC5. Posee un espesor de 6.5 mm, sistema de instalación click con bisel y tecnología impermeable Waterproof. Cada caja contiene 7 tablas que cubren una superficie de 1.87 m2.</v>
      </c>
    </row>
    <row r="40" ht="15.75" customHeight="1">
      <c r="A40" s="4">
        <v>24737.0</v>
      </c>
      <c r="B40" s="5" t="s">
        <v>33</v>
      </c>
      <c r="C40" s="5" t="s">
        <v>34</v>
      </c>
      <c r="D40" s="5" t="s">
        <v>35</v>
      </c>
      <c r="E40" s="5" t="s">
        <v>49</v>
      </c>
      <c r="F40" s="5" t="s">
        <v>37</v>
      </c>
      <c r="G40" s="5" t="s">
        <v>164</v>
      </c>
      <c r="H40" s="8"/>
      <c r="I40" s="5" t="s">
        <v>72</v>
      </c>
      <c r="J40" s="17" t="s">
        <v>80</v>
      </c>
      <c r="K40" s="5" t="s">
        <v>41</v>
      </c>
      <c r="L40" s="4">
        <v>6.0</v>
      </c>
      <c r="M40" s="5" t="s">
        <v>42</v>
      </c>
      <c r="N40" s="4" t="s">
        <v>43</v>
      </c>
      <c r="O40" s="4" t="s">
        <v>44</v>
      </c>
      <c r="P40" s="4" t="s">
        <v>45</v>
      </c>
      <c r="Q40" s="4">
        <v>195.0</v>
      </c>
      <c r="R40" s="5" t="s">
        <v>42</v>
      </c>
      <c r="S40" s="4">
        <v>1288.0</v>
      </c>
      <c r="T40" s="5" t="s">
        <v>42</v>
      </c>
      <c r="U40" s="4">
        <v>2.76</v>
      </c>
      <c r="V40" s="5" t="s">
        <v>46</v>
      </c>
      <c r="W40" s="4">
        <v>11.0</v>
      </c>
      <c r="X40" s="6">
        <v>20.8</v>
      </c>
      <c r="Y40" s="4" t="s">
        <v>47</v>
      </c>
      <c r="Z40" s="7">
        <f t="shared" si="1"/>
        <v>57.408</v>
      </c>
      <c r="AA40" s="4">
        <v>15.0</v>
      </c>
      <c r="AB40" s="4">
        <v>52.0</v>
      </c>
      <c r="AC40" s="8">
        <f t="shared" si="2"/>
        <v>780</v>
      </c>
      <c r="AD40" s="13">
        <v>1526.28</v>
      </c>
      <c r="AE40" s="10" t="s">
        <v>165</v>
      </c>
      <c r="AF40" s="11"/>
      <c r="AG40" s="11"/>
      <c r="AH40" s="11"/>
      <c r="AI40" s="11"/>
      <c r="AJ40" s="11" t="str">
        <f>IFERROR(__xludf.DUMMYFUNCTION("AI(""Completa un valor adecuado para esta celda en función del contexto de la tabla"")"),"Piso flotante laminado de origen alemán, diseñado para uso comercial intenso gracias a su alta resistencia a la abrasión AC5. Este modelo Waterproof de la línea Corepel cuenta con un espesor de 6.5 mm, sistema de bisel en sus cuatro lados y una base que c"&amp;"ubre 1.87 m2 por caja. Su acabado en tono Norfolk Oak Beige ofrece una solución estética y duradera para espacios con alta exigencia funcional.")</f>
        <v>Piso flotante laminado de origen alemán, diseñado para uso comercial intenso gracias a su alta resistencia a la abrasión AC5. Este modelo Waterproof de la línea Corepel cuenta con un espesor de 6.5 mm, sistema de bisel en sus cuatro lados y una base que cubre 1.87 m2 por caja. Su acabado en tono Norfolk Oak Beige ofrece una solución estética y duradera para espacios con alta exigencia funcional.</v>
      </c>
    </row>
    <row r="41" ht="15.75" customHeight="1">
      <c r="A41" s="4">
        <v>20806.0</v>
      </c>
      <c r="B41" s="5" t="s">
        <v>33</v>
      </c>
      <c r="C41" s="5" t="s">
        <v>34</v>
      </c>
      <c r="D41" s="5" t="s">
        <v>35</v>
      </c>
      <c r="E41" s="5" t="s">
        <v>36</v>
      </c>
      <c r="F41" s="5" t="s">
        <v>37</v>
      </c>
      <c r="G41" s="5" t="s">
        <v>166</v>
      </c>
      <c r="H41" s="4" t="s">
        <v>167</v>
      </c>
      <c r="I41" s="5" t="s">
        <v>72</v>
      </c>
      <c r="J41" s="5" t="s">
        <v>168</v>
      </c>
      <c r="K41" s="5" t="s">
        <v>169</v>
      </c>
      <c r="L41" s="4">
        <v>7.0</v>
      </c>
      <c r="M41" s="5" t="s">
        <v>42</v>
      </c>
      <c r="N41" s="4" t="s">
        <v>170</v>
      </c>
      <c r="O41" s="4" t="s">
        <v>44</v>
      </c>
      <c r="P41" s="8"/>
      <c r="Q41" s="4">
        <v>192.0</v>
      </c>
      <c r="R41" s="5" t="s">
        <v>42</v>
      </c>
      <c r="S41" s="4">
        <v>1280.0</v>
      </c>
      <c r="T41" s="5" t="s">
        <v>42</v>
      </c>
      <c r="U41" s="4">
        <v>2.47</v>
      </c>
      <c r="V41" s="5" t="s">
        <v>46</v>
      </c>
      <c r="W41" s="4">
        <v>10.0</v>
      </c>
      <c r="X41" s="6">
        <v>13.1</v>
      </c>
      <c r="Y41" s="4" t="s">
        <v>47</v>
      </c>
      <c r="Z41" s="7">
        <f t="shared" si="1"/>
        <v>32.357</v>
      </c>
      <c r="AA41" s="4">
        <v>15.0</v>
      </c>
      <c r="AB41" s="8"/>
      <c r="AC41" s="8">
        <f t="shared" si="2"/>
        <v>0</v>
      </c>
      <c r="AD41" s="13">
        <v>1168.31</v>
      </c>
      <c r="AE41" s="14" t="s">
        <v>171</v>
      </c>
      <c r="AF41" s="15"/>
      <c r="AG41" s="15"/>
      <c r="AH41" s="15"/>
      <c r="AI41" s="15"/>
      <c r="AJ41" s="15" t="str">
        <f>IFERROR(__xludf.DUMMYFUNCTION("AI(""Completa un valor adecuado para esta celda en función del contexto de la tabla"")"),"Piso flotante de origen alemán con tecnología Waterproof de la línea Corepel de Kronotex. Diseñado para uso comercial intenso con una alta resistencia a la abrasión AC5, presenta un espesor de 6.5 mm y un diseño con bisel. Sus tablas de 193 mm de ancho po"&amp;"r 1380 mm de largo vienen en cajas de 7 unidades que cubren una superficie de 1.87 m2.")</f>
        <v>Piso flotante de origen alemán con tecnología Waterproof de la línea Corepel de Kronotex. Diseñado para uso comercial intenso con una alta resistencia a la abrasión AC5, presenta un espesor de 6.5 mm y un diseño con bisel. Sus tablas de 193 mm de ancho por 1380 mm de largo vienen en cajas de 7 unidades que cubren una superficie de 1.87 m2.</v>
      </c>
    </row>
    <row r="42" ht="15.75" customHeight="1">
      <c r="A42" s="16">
        <v>24783.0</v>
      </c>
      <c r="B42" s="5" t="s">
        <v>33</v>
      </c>
      <c r="C42" s="5" t="s">
        <v>34</v>
      </c>
      <c r="D42" s="5" t="s">
        <v>35</v>
      </c>
      <c r="E42" s="17" t="s">
        <v>49</v>
      </c>
      <c r="F42" s="17" t="s">
        <v>37</v>
      </c>
      <c r="G42" s="18" t="s">
        <v>172</v>
      </c>
      <c r="H42" s="16" t="s">
        <v>173</v>
      </c>
      <c r="I42" s="5" t="s">
        <v>72</v>
      </c>
      <c r="J42" s="17" t="s">
        <v>80</v>
      </c>
      <c r="K42" s="5" t="s">
        <v>41</v>
      </c>
      <c r="L42" s="19">
        <v>8.0</v>
      </c>
      <c r="M42" s="17" t="s">
        <v>42</v>
      </c>
      <c r="N42" s="19" t="s">
        <v>43</v>
      </c>
      <c r="O42" s="19" t="s">
        <v>44</v>
      </c>
      <c r="P42" s="19" t="s">
        <v>45</v>
      </c>
      <c r="Q42" s="19">
        <v>195.0</v>
      </c>
      <c r="R42" s="17" t="s">
        <v>42</v>
      </c>
      <c r="S42" s="19">
        <v>1290.0</v>
      </c>
      <c r="T42" s="17" t="s">
        <v>42</v>
      </c>
      <c r="U42" s="19">
        <v>2.26</v>
      </c>
      <c r="V42" s="17" t="s">
        <v>46</v>
      </c>
      <c r="W42" s="19">
        <v>9.0</v>
      </c>
      <c r="X42" s="20">
        <v>26.85</v>
      </c>
      <c r="Y42" s="19" t="s">
        <v>61</v>
      </c>
      <c r="Z42" s="20">
        <f t="shared" si="1"/>
        <v>60.681</v>
      </c>
      <c r="AA42" s="4">
        <v>15.0</v>
      </c>
      <c r="AB42" s="19">
        <v>52.0</v>
      </c>
      <c r="AC42" s="8">
        <f t="shared" si="2"/>
        <v>780</v>
      </c>
      <c r="AD42" s="21">
        <v>2273.56</v>
      </c>
      <c r="AE42" s="10" t="s">
        <v>174</v>
      </c>
      <c r="AF42" s="24"/>
      <c r="AG42" s="24"/>
      <c r="AH42" s="24"/>
      <c r="AI42" s="24"/>
      <c r="AJ42" s="24" t="str">
        <f>IFERROR(__xludf.DUMMYFUNCTION("AI(""Completa un valor adecuado para esta celda en función del contexto de la tabla"")"),"Piso flotante laminado de origen alemán, diseñado para uso comercial intenso gracias a su resistencia de alto rendimiento AC5. Con un espesor de 6.5 mm, este modelo de la línea Corepel cuenta con bisel en sus cuatro lados y un sistema de instalación rápid"&amp;"o tipo clic. Su diseño combina durabilidad y estética, ofreciendo una superficie resistente a rayones y fácil de mantener. Cada caja cubre una superficie de 1.87 m2.")</f>
        <v>Piso flotante laminado de origen alemán, diseñado para uso comercial intenso gracias a su resistencia de alto rendimiento AC5. Con un espesor de 6.5 mm, este modelo de la línea Corepel cuenta con bisel en sus cuatro lados y un sistema de instalación rápido tipo clic. Su diseño combina durabilidad y estética, ofreciendo una superficie resistente a rayones y fácil de mantener. Cada caja cubre una superficie de 1.87 m2.</v>
      </c>
    </row>
    <row r="43" ht="15.75" customHeight="1">
      <c r="A43" s="4">
        <v>25211.0</v>
      </c>
      <c r="B43" s="5" t="s">
        <v>33</v>
      </c>
      <c r="C43" s="5" t="s">
        <v>34</v>
      </c>
      <c r="D43" s="5" t="s">
        <v>35</v>
      </c>
      <c r="E43" s="5" t="s">
        <v>49</v>
      </c>
      <c r="F43" s="5" t="s">
        <v>37</v>
      </c>
      <c r="G43" s="5" t="s">
        <v>175</v>
      </c>
      <c r="H43" s="4" t="s">
        <v>176</v>
      </c>
      <c r="I43" s="5" t="s">
        <v>72</v>
      </c>
      <c r="J43" s="17" t="s">
        <v>80</v>
      </c>
      <c r="K43" s="5" t="s">
        <v>41</v>
      </c>
      <c r="L43" s="4" t="s">
        <v>95</v>
      </c>
      <c r="M43" s="5" t="s">
        <v>42</v>
      </c>
      <c r="N43" s="4" t="s">
        <v>43</v>
      </c>
      <c r="O43" s="4" t="s">
        <v>45</v>
      </c>
      <c r="P43" s="4" t="s">
        <v>45</v>
      </c>
      <c r="Q43" s="4">
        <v>245.0</v>
      </c>
      <c r="R43" s="5" t="s">
        <v>42</v>
      </c>
      <c r="S43" s="4">
        <v>2003.0</v>
      </c>
      <c r="T43" s="5" t="s">
        <v>42</v>
      </c>
      <c r="U43" s="4">
        <v>3.44</v>
      </c>
      <c r="V43" s="5" t="s">
        <v>46</v>
      </c>
      <c r="W43" s="4">
        <v>7.0</v>
      </c>
      <c r="X43" s="6">
        <v>21.2</v>
      </c>
      <c r="Y43" s="4" t="s">
        <v>47</v>
      </c>
      <c r="Z43" s="7">
        <f t="shared" si="1"/>
        <v>72.928</v>
      </c>
      <c r="AA43" s="4">
        <v>15.0</v>
      </c>
      <c r="AB43" s="4">
        <v>52.0</v>
      </c>
      <c r="AC43" s="8">
        <f t="shared" si="2"/>
        <v>780</v>
      </c>
      <c r="AD43" s="13">
        <v>323.26</v>
      </c>
      <c r="AE43" s="14" t="s">
        <v>177</v>
      </c>
      <c r="AF43" s="15"/>
      <c r="AG43" s="15"/>
      <c r="AH43" s="15"/>
      <c r="AI43" s="15"/>
      <c r="AJ43" s="15" t="str">
        <f>IFERROR(__xludf.DUMMYFUNCTION("AI(""Completa un valor adecuado para esta celda en función del contexto de la tabla"")"),"Piso flotante de origen alemán con tecnología Waterproof de la línea Corepel de Kronotex, diseñado para uso comercial intenso gracias a su alta resistencia a la abrasión AC5. Con un espesor de 6.5 mm, este modelo incluye bisel y ofrece una estética realis"&amp;"ta en tono beige. Cada caja contiene 7 tablas, cubriendo una superficie de 1.87 m2.")</f>
        <v>Piso flotante de origen alemán con tecnología Waterproof de la línea Corepel de Kronotex, diseñado para uso comercial intenso gracias a su alta resistencia a la abrasión AC5. Con un espesor de 6.5 mm, este modelo incluye bisel y ofrece una estética realista en tono beige. Cada caja contiene 7 tablas, cubriendo una superficie de 1.87 m2.</v>
      </c>
    </row>
    <row r="44" ht="15.75" customHeight="1">
      <c r="A44" s="4">
        <v>11688.0</v>
      </c>
      <c r="B44" s="5" t="s">
        <v>33</v>
      </c>
      <c r="C44" s="5" t="s">
        <v>34</v>
      </c>
      <c r="D44" s="5" t="s">
        <v>35</v>
      </c>
      <c r="E44" s="5" t="s">
        <v>36</v>
      </c>
      <c r="F44" s="5" t="s">
        <v>37</v>
      </c>
      <c r="G44" s="5" t="s">
        <v>178</v>
      </c>
      <c r="H44" s="4">
        <v>2989.0</v>
      </c>
      <c r="I44" s="5" t="s">
        <v>39</v>
      </c>
      <c r="J44" s="5" t="s">
        <v>179</v>
      </c>
      <c r="K44" s="5" t="s">
        <v>54</v>
      </c>
      <c r="L44" s="4">
        <v>8.0</v>
      </c>
      <c r="M44" s="5" t="s">
        <v>42</v>
      </c>
      <c r="N44" s="4" t="s">
        <v>55</v>
      </c>
      <c r="O44" s="4" t="s">
        <v>44</v>
      </c>
      <c r="P44" s="4" t="s">
        <v>45</v>
      </c>
      <c r="Q44" s="4">
        <v>193.0</v>
      </c>
      <c r="R44" s="5" t="s">
        <v>42</v>
      </c>
      <c r="S44" s="4">
        <v>1380.0</v>
      </c>
      <c r="T44" s="5" t="s">
        <v>42</v>
      </c>
      <c r="U44" s="4">
        <v>2.13</v>
      </c>
      <c r="V44" s="5" t="s">
        <v>46</v>
      </c>
      <c r="W44" s="4">
        <v>8.0</v>
      </c>
      <c r="X44" s="6">
        <v>18.0</v>
      </c>
      <c r="Y44" s="4" t="s">
        <v>61</v>
      </c>
      <c r="Z44" s="7">
        <f t="shared" si="1"/>
        <v>38.34</v>
      </c>
      <c r="AA44" s="4">
        <v>15.0</v>
      </c>
      <c r="AB44" s="4">
        <v>56.0</v>
      </c>
      <c r="AC44" s="8">
        <f t="shared" si="2"/>
        <v>840</v>
      </c>
      <c r="AD44" s="13">
        <v>3531.54</v>
      </c>
      <c r="AE44" s="10" t="s">
        <v>180</v>
      </c>
      <c r="AF44" s="11"/>
      <c r="AG44" s="11"/>
      <c r="AH44" s="11"/>
      <c r="AI44" s="11"/>
      <c r="AJ44" s="11" t="str">
        <f>IFERROR(__xludf.DUMMYFUNCTION("AI(""Completa un valor adecuado para esta celda en función del contexto de la tabla"")"),"Piso flotante laminado de origen alemán, ideal para uso comercial intenso por su resistencia a la abrasión AC5. Con un espesor de 6.5 mm, este modelo de la línea Corepel cuenta con bisel y tecnología waterproof para una máxima protección contra el agua. C"&amp;"ada caja cubre una superficie de 1.87 m2.")</f>
        <v>Piso flotante laminado de origen alemán, ideal para uso comercial intenso por su resistencia a la abrasión AC5. Con un espesor de 6.5 mm, este modelo de la línea Corepel cuenta con bisel y tecnología waterproof para una máxima protección contra el agua. Cada caja cubre una superficie de 1.87 m2.</v>
      </c>
    </row>
    <row r="45" ht="15.75" customHeight="1">
      <c r="A45" s="4">
        <v>25080.0</v>
      </c>
      <c r="B45" s="5" t="s">
        <v>33</v>
      </c>
      <c r="C45" s="5" t="s">
        <v>34</v>
      </c>
      <c r="D45" s="5" t="s">
        <v>35</v>
      </c>
      <c r="E45" s="5" t="s">
        <v>58</v>
      </c>
      <c r="F45" s="5" t="s">
        <v>37</v>
      </c>
      <c r="G45" s="5" t="s">
        <v>181</v>
      </c>
      <c r="H45" s="4" t="s">
        <v>182</v>
      </c>
      <c r="I45" s="5" t="s">
        <v>72</v>
      </c>
      <c r="J45" s="5" t="s">
        <v>73</v>
      </c>
      <c r="K45" s="5" t="s">
        <v>54</v>
      </c>
      <c r="L45" s="4">
        <v>7.0</v>
      </c>
      <c r="M45" s="5" t="s">
        <v>42</v>
      </c>
      <c r="N45" s="4" t="s">
        <v>55</v>
      </c>
      <c r="O45" s="4" t="s">
        <v>44</v>
      </c>
      <c r="P45" s="4" t="s">
        <v>74</v>
      </c>
      <c r="Q45" s="4">
        <v>195.0</v>
      </c>
      <c r="R45" s="5" t="s">
        <v>42</v>
      </c>
      <c r="S45" s="4">
        <v>1288.0</v>
      </c>
      <c r="T45" s="5" t="s">
        <v>42</v>
      </c>
      <c r="U45" s="4">
        <v>2.51</v>
      </c>
      <c r="V45" s="5" t="s">
        <v>46</v>
      </c>
      <c r="W45" s="4">
        <v>10.0</v>
      </c>
      <c r="X45" s="6">
        <v>18.9</v>
      </c>
      <c r="Y45" s="4" t="s">
        <v>47</v>
      </c>
      <c r="Z45" s="7">
        <f t="shared" si="1"/>
        <v>47.439</v>
      </c>
      <c r="AA45" s="4">
        <v>15.0</v>
      </c>
      <c r="AB45" s="4">
        <v>56.0</v>
      </c>
      <c r="AC45" s="8">
        <f t="shared" si="2"/>
        <v>840</v>
      </c>
      <c r="AD45" s="13">
        <v>2198.76</v>
      </c>
      <c r="AE45" s="14" t="s">
        <v>183</v>
      </c>
      <c r="AF45" s="15"/>
      <c r="AG45" s="15"/>
      <c r="AH45" s="15"/>
      <c r="AI45" s="15"/>
      <c r="AJ45" s="15" t="str">
        <f>IFERROR(__xludf.DUMMYFUNCTION("AI(""Completa un valor adecuado para esta celda en función del contexto de la tabla"")"),"Piso flotante laminado de origen alemán, ideal para uso comercial intenso por su resistencia a la abrasión AC5. Con un espesor de 6.5 mm, este modelo cuenta con bisel y tecnología waterproof para una mayor protección contra el agua. Cada caja cubre una su"&amp;"perficie de 1.87 m2.")</f>
        <v>Piso flotante laminado de origen alemán, ideal para uso comercial intenso por su resistencia a la abrasión AC5. Con un espesor de 6.5 mm, este modelo cuenta con bisel y tecnología waterproof para una mayor protección contra el agua. Cada caja cubre una superficie de 1.87 m2.</v>
      </c>
    </row>
    <row r="46" ht="15.75" customHeight="1">
      <c r="A46" s="4">
        <v>23951.0</v>
      </c>
      <c r="B46" s="5" t="s">
        <v>33</v>
      </c>
      <c r="C46" s="5" t="s">
        <v>34</v>
      </c>
      <c r="D46" s="5" t="s">
        <v>35</v>
      </c>
      <c r="E46" s="5" t="s">
        <v>36</v>
      </c>
      <c r="F46" s="5" t="s">
        <v>37</v>
      </c>
      <c r="G46" s="5" t="s">
        <v>184</v>
      </c>
      <c r="H46" s="4" t="s">
        <v>185</v>
      </c>
      <c r="I46" s="5" t="s">
        <v>72</v>
      </c>
      <c r="J46" s="5" t="s">
        <v>117</v>
      </c>
      <c r="K46" s="5" t="s">
        <v>54</v>
      </c>
      <c r="L46" s="4">
        <v>8.0</v>
      </c>
      <c r="M46" s="5" t="s">
        <v>42</v>
      </c>
      <c r="N46" s="4" t="s">
        <v>55</v>
      </c>
      <c r="O46" s="4" t="s">
        <v>44</v>
      </c>
      <c r="P46" s="4" t="s">
        <v>44</v>
      </c>
      <c r="Q46" s="4">
        <v>191.0</v>
      </c>
      <c r="R46" s="5" t="s">
        <v>42</v>
      </c>
      <c r="S46" s="4">
        <v>1280.0</v>
      </c>
      <c r="T46" s="5" t="s">
        <v>42</v>
      </c>
      <c r="U46" s="4">
        <v>2.22</v>
      </c>
      <c r="V46" s="5" t="s">
        <v>46</v>
      </c>
      <c r="W46" s="4">
        <v>9.0</v>
      </c>
      <c r="X46" s="6">
        <v>12.9</v>
      </c>
      <c r="Y46" s="4" t="s">
        <v>56</v>
      </c>
      <c r="Z46" s="7">
        <f t="shared" si="1"/>
        <v>28.638</v>
      </c>
      <c r="AA46" s="4">
        <v>15.0</v>
      </c>
      <c r="AB46" s="8"/>
      <c r="AC46" s="8">
        <f t="shared" si="2"/>
        <v>0</v>
      </c>
      <c r="AD46" s="13">
        <v>1252.05</v>
      </c>
      <c r="AE46" s="10" t="s">
        <v>186</v>
      </c>
      <c r="AF46" s="11"/>
      <c r="AG46" s="11"/>
      <c r="AH46" s="11"/>
      <c r="AI46" s="11"/>
      <c r="AJ46" s="11" t="str">
        <f>IFERROR(__xludf.DUMMYFUNCTION("AI(""Completa un valor adecuado para esta celda en función del contexto de la tabla"")"),"Piso flotante de origen alemán, diseñado para uso comercial intenso gracias a su resistencia de grado AC5. Posee un espesor de 6.5 mm, sistema con bisel y tecnología Waterproof para una mayor durabilidad frente a la humedad. Cada caja contiene 7 tablas y "&amp;"cubre una superficie de 1.87 m2.")</f>
        <v>Piso flotante de origen alemán, diseñado para uso comercial intenso gracias a su resistencia de grado AC5. Posee un espesor de 6.5 mm, sistema con bisel y tecnología Waterproof para una mayor durabilidad frente a la humedad. Cada caja contiene 7 tablas y cubre una superficie de 1.87 m2.</v>
      </c>
    </row>
    <row r="47" ht="15.75" customHeight="1">
      <c r="A47" s="4">
        <v>24573.0</v>
      </c>
      <c r="B47" s="5" t="s">
        <v>33</v>
      </c>
      <c r="C47" s="5" t="s">
        <v>34</v>
      </c>
      <c r="D47" s="5" t="s">
        <v>35</v>
      </c>
      <c r="E47" s="5" t="s">
        <v>49</v>
      </c>
      <c r="F47" s="5" t="s">
        <v>37</v>
      </c>
      <c r="G47" s="5" t="s">
        <v>187</v>
      </c>
      <c r="H47" s="4" t="s">
        <v>188</v>
      </c>
      <c r="I47" s="5" t="s">
        <v>72</v>
      </c>
      <c r="J47" s="5" t="s">
        <v>80</v>
      </c>
      <c r="K47" s="5" t="s">
        <v>41</v>
      </c>
      <c r="L47" s="4">
        <v>8.0</v>
      </c>
      <c r="M47" s="5" t="s">
        <v>42</v>
      </c>
      <c r="N47" s="4" t="s">
        <v>43</v>
      </c>
      <c r="O47" s="4" t="s">
        <v>44</v>
      </c>
      <c r="P47" s="4" t="s">
        <v>45</v>
      </c>
      <c r="Q47" s="4">
        <v>195.0</v>
      </c>
      <c r="R47" s="5" t="s">
        <v>42</v>
      </c>
      <c r="S47" s="4">
        <v>1290.0</v>
      </c>
      <c r="T47" s="5" t="s">
        <v>42</v>
      </c>
      <c r="U47" s="4">
        <v>2.26</v>
      </c>
      <c r="V47" s="5" t="s">
        <v>46</v>
      </c>
      <c r="W47" s="4">
        <v>9.0</v>
      </c>
      <c r="X47" s="6">
        <v>26.85</v>
      </c>
      <c r="Y47" s="4" t="s">
        <v>61</v>
      </c>
      <c r="Z47" s="7">
        <f t="shared" si="1"/>
        <v>60.681</v>
      </c>
      <c r="AA47" s="4">
        <v>15.0</v>
      </c>
      <c r="AB47" s="4">
        <v>52.0</v>
      </c>
      <c r="AC47" s="8">
        <f t="shared" si="2"/>
        <v>780</v>
      </c>
      <c r="AD47" s="13">
        <v>6529.33</v>
      </c>
      <c r="AE47" s="14" t="s">
        <v>189</v>
      </c>
      <c r="AF47" s="15"/>
      <c r="AG47" s="15"/>
      <c r="AH47" s="15"/>
      <c r="AI47" s="15"/>
      <c r="AJ47" s="15" t="str">
        <f>IFERROR(__xludf.DUMMYFUNCTION("AI(""Completa un valor adecuado para esta celda en función del contexto de la tabla"")"),"Piso flotante de origen alemán, diseñado para uso comercial intenso gracias a su resistencia de alto nivel AC5. Posee un espesor de 6.5 mm, cuenta con bisel y tecnología waterproof para una mayor durabilidad frente a la humedad. Cada caja rinde 1.87 m2.")</f>
        <v>Piso flotante de origen alemán, diseñado para uso comercial intenso gracias a su resistencia de alto nivel AC5. Posee un espesor de 6.5 mm, cuenta con bisel y tecnología waterproof para una mayor durabilidad frente a la humedad. Cada caja rinde 1.87 m2.</v>
      </c>
    </row>
    <row r="48" ht="15.75" customHeight="1">
      <c r="A48" s="4">
        <v>23753.0</v>
      </c>
      <c r="B48" s="5" t="s">
        <v>33</v>
      </c>
      <c r="C48" s="5" t="s">
        <v>34</v>
      </c>
      <c r="D48" s="5" t="s">
        <v>35</v>
      </c>
      <c r="E48" s="5" t="s">
        <v>36</v>
      </c>
      <c r="F48" s="5" t="s">
        <v>37</v>
      </c>
      <c r="G48" s="5" t="s">
        <v>190</v>
      </c>
      <c r="H48" s="4" t="s">
        <v>191</v>
      </c>
      <c r="I48" s="5" t="s">
        <v>39</v>
      </c>
      <c r="J48" s="5" t="s">
        <v>60</v>
      </c>
      <c r="K48" s="5" t="s">
        <v>54</v>
      </c>
      <c r="L48" s="4">
        <v>7.0</v>
      </c>
      <c r="M48" s="5" t="s">
        <v>42</v>
      </c>
      <c r="N48" s="4" t="s">
        <v>55</v>
      </c>
      <c r="O48" s="4" t="s">
        <v>44</v>
      </c>
      <c r="P48" s="4" t="s">
        <v>45</v>
      </c>
      <c r="Q48" s="4">
        <v>192.0</v>
      </c>
      <c r="R48" s="5" t="s">
        <v>42</v>
      </c>
      <c r="S48" s="4">
        <v>1285.0</v>
      </c>
      <c r="T48" s="5" t="s">
        <v>42</v>
      </c>
      <c r="U48" s="4">
        <v>2.47</v>
      </c>
      <c r="V48" s="5" t="s">
        <v>46</v>
      </c>
      <c r="W48" s="4">
        <v>9.0</v>
      </c>
      <c r="X48" s="6">
        <v>12.0</v>
      </c>
      <c r="Y48" s="4" t="s">
        <v>56</v>
      </c>
      <c r="Z48" s="7">
        <f t="shared" si="1"/>
        <v>29.64</v>
      </c>
      <c r="AA48" s="4">
        <v>15.0</v>
      </c>
      <c r="AB48" s="8"/>
      <c r="AC48" s="8">
        <f t="shared" si="2"/>
        <v>0</v>
      </c>
      <c r="AD48" s="13">
        <v>1979.99</v>
      </c>
      <c r="AE48" s="10" t="s">
        <v>192</v>
      </c>
      <c r="AF48" s="11"/>
      <c r="AG48" s="11"/>
      <c r="AH48" s="11"/>
      <c r="AI48" s="11"/>
      <c r="AJ48" s="11" t="str">
        <f>IFERROR(__xludf.DUMMYFUNCTION("AI(""Completa un valor adecuado para esta celda en función del contexto de la tabla"")"),"Piso flotante de origen alemán, diseñado para uso comercial intenso gracias a su resistencia de alto tráfico AC5. Posee un espesor de 6.5 mm, cuenta con bisel y tecnología waterproof para mayor protección contra líquidos. Cada caja contiene 7 tablas que c"&amp;"ubren una superficie total de 1.87 m2.")</f>
        <v>Piso flotante de origen alemán, diseñado para uso comercial intenso gracias a su resistencia de alto tráfico AC5. Posee un espesor de 6.5 mm, cuenta con bisel y tecnología waterproof para mayor protección contra líquidos. Cada caja contiene 7 tablas que cubren una superficie total de 1.87 m2.</v>
      </c>
    </row>
    <row r="49" ht="15.75" customHeight="1">
      <c r="A49" s="4">
        <v>14466.0</v>
      </c>
      <c r="B49" s="5" t="s">
        <v>33</v>
      </c>
      <c r="C49" s="5" t="s">
        <v>34</v>
      </c>
      <c r="D49" s="5" t="s">
        <v>35</v>
      </c>
      <c r="E49" s="5" t="s">
        <v>36</v>
      </c>
      <c r="F49" s="5" t="s">
        <v>37</v>
      </c>
      <c r="G49" s="5" t="s">
        <v>193</v>
      </c>
      <c r="H49" s="4">
        <v>1424.0</v>
      </c>
      <c r="I49" s="5" t="s">
        <v>39</v>
      </c>
      <c r="J49" s="5" t="s">
        <v>86</v>
      </c>
      <c r="K49" s="5" t="s">
        <v>54</v>
      </c>
      <c r="L49" s="4">
        <v>8.0</v>
      </c>
      <c r="M49" s="5" t="s">
        <v>42</v>
      </c>
      <c r="N49" s="4" t="s">
        <v>55</v>
      </c>
      <c r="O49" s="4" t="s">
        <v>44</v>
      </c>
      <c r="P49" s="4" t="s">
        <v>44</v>
      </c>
      <c r="Q49" s="4">
        <v>193.0</v>
      </c>
      <c r="R49" s="5" t="s">
        <v>42</v>
      </c>
      <c r="S49" s="4">
        <v>1380.0</v>
      </c>
      <c r="T49" s="5" t="s">
        <v>42</v>
      </c>
      <c r="U49" s="4">
        <v>2.13</v>
      </c>
      <c r="V49" s="5" t="s">
        <v>46</v>
      </c>
      <c r="W49" s="4">
        <v>8.0</v>
      </c>
      <c r="X49" s="6">
        <v>19.1</v>
      </c>
      <c r="Y49" s="4" t="s">
        <v>47</v>
      </c>
      <c r="Z49" s="7">
        <f t="shared" si="1"/>
        <v>40.683</v>
      </c>
      <c r="AA49" s="4">
        <v>15.0</v>
      </c>
      <c r="AB49" s="4">
        <v>56.0</v>
      </c>
      <c r="AC49" s="8">
        <f t="shared" si="2"/>
        <v>840</v>
      </c>
      <c r="AD49" s="13">
        <v>2467.65</v>
      </c>
      <c r="AE49" s="14" t="s">
        <v>194</v>
      </c>
      <c r="AF49" s="15"/>
      <c r="AG49" s="15"/>
      <c r="AH49" s="15"/>
      <c r="AI49" s="15"/>
      <c r="AJ49" s="15" t="str">
        <f>IFERROR(__xludf.DUMMYFUNCTION("AI(""Completa un valor adecuado para esta celda en función del contexto de la tabla"")"),"Piso flotante laminado de origen alemán, diseñado para uso comercial intenso gracias a su alta resistencia a la abrasión AC5. Con un espesor de 12 mm que ofrece mayor estabilidad y aislamiento acústico, este modelo cuenta con bisel y un sistema de instala"&amp;"ción click. Su diseño resistente al agua y formato de tablas grandes permiten cubrir una superficie de 1.96 m2 por caja.")</f>
        <v>Piso flotante laminado de origen alemán, diseñado para uso comercial intenso gracias a su alta resistencia a la abrasión AC5. Con un espesor de 12 mm que ofrece mayor estabilidad y aislamiento acústico, este modelo cuenta con bisel y un sistema de instalación click. Su diseño resistente al agua y formato de tablas grandes permiten cubrir una superficie de 1.96 m2 por caja.</v>
      </c>
    </row>
    <row r="50" ht="15.75" customHeight="1">
      <c r="A50" s="4">
        <v>4186.0</v>
      </c>
      <c r="B50" s="5" t="s">
        <v>33</v>
      </c>
      <c r="C50" s="5" t="s">
        <v>34</v>
      </c>
      <c r="D50" s="5" t="s">
        <v>35</v>
      </c>
      <c r="E50" s="5" t="s">
        <v>36</v>
      </c>
      <c r="F50" s="5" t="s">
        <v>37</v>
      </c>
      <c r="G50" s="5" t="s">
        <v>193</v>
      </c>
      <c r="H50" s="4">
        <v>1424.0</v>
      </c>
      <c r="I50" s="5" t="s">
        <v>39</v>
      </c>
      <c r="J50" s="5" t="s">
        <v>195</v>
      </c>
      <c r="K50" s="5" t="s">
        <v>169</v>
      </c>
      <c r="L50" s="4">
        <v>7.0</v>
      </c>
      <c r="M50" s="5" t="s">
        <v>42</v>
      </c>
      <c r="N50" s="4" t="s">
        <v>170</v>
      </c>
      <c r="O50" s="4" t="s">
        <v>44</v>
      </c>
      <c r="P50" s="4" t="s">
        <v>44</v>
      </c>
      <c r="Q50" s="4">
        <v>193.0</v>
      </c>
      <c r="R50" s="5" t="s">
        <v>42</v>
      </c>
      <c r="S50" s="4">
        <v>1380.0</v>
      </c>
      <c r="T50" s="5" t="s">
        <v>42</v>
      </c>
      <c r="U50" s="4">
        <v>2.4</v>
      </c>
      <c r="V50" s="5" t="s">
        <v>46</v>
      </c>
      <c r="W50" s="4">
        <v>9.0</v>
      </c>
      <c r="X50" s="6">
        <v>13.1</v>
      </c>
      <c r="Y50" s="4" t="s">
        <v>47</v>
      </c>
      <c r="Z50" s="7">
        <f t="shared" si="1"/>
        <v>31.44</v>
      </c>
      <c r="AA50" s="4">
        <v>15.0</v>
      </c>
      <c r="AB50" s="8"/>
      <c r="AC50" s="8">
        <f t="shared" si="2"/>
        <v>0</v>
      </c>
      <c r="AD50" s="13">
        <v>2.4</v>
      </c>
      <c r="AE50" s="10" t="s">
        <v>196</v>
      </c>
      <c r="AF50" s="11"/>
      <c r="AG50" s="11"/>
      <c r="AH50" s="11"/>
      <c r="AI50" s="11"/>
      <c r="AJ50" s="11" t="str">
        <f>IFERROR(__xludf.DUMMYFUNCTION("AI(""Completa un valor adecuado para esta celda en función del contexto de la tabla"")"),"Piso flotante laminado de origen alemán, marca Krono Original, ideal para uso comercial por su resistencia a la abrasión AC4. Con un espesor de 8 mm y sistema de instalación click, este modelo de la línea More cuenta con bisel y protección resistente al a"&amp;"gua. Cada caja cubre una superficie de 2.55 m2.")</f>
        <v>Piso flotante laminado de origen alemán, marca Krono Original, ideal para uso comercial por su resistencia a la abrasión AC4. Con un espesor de 8 mm y sistema de instalación click, este modelo de la línea More cuenta con bisel y protección resistente al agua. Cada caja cubre una superficie de 2.55 m2.</v>
      </c>
    </row>
    <row r="51" ht="15.75" customHeight="1">
      <c r="A51" s="4">
        <v>18316.0</v>
      </c>
      <c r="B51" s="5" t="s">
        <v>33</v>
      </c>
      <c r="C51" s="5" t="s">
        <v>34</v>
      </c>
      <c r="D51" s="5" t="s">
        <v>35</v>
      </c>
      <c r="E51" s="5" t="s">
        <v>36</v>
      </c>
      <c r="F51" s="5" t="s">
        <v>37</v>
      </c>
      <c r="G51" s="5" t="s">
        <v>197</v>
      </c>
      <c r="H51" s="4" t="s">
        <v>198</v>
      </c>
      <c r="I51" s="5" t="s">
        <v>39</v>
      </c>
      <c r="J51" s="5" t="s">
        <v>60</v>
      </c>
      <c r="K51" s="5" t="s">
        <v>41</v>
      </c>
      <c r="L51" s="4">
        <v>10.0</v>
      </c>
      <c r="M51" s="5" t="s">
        <v>42</v>
      </c>
      <c r="N51" s="4" t="s">
        <v>43</v>
      </c>
      <c r="O51" s="4" t="s">
        <v>44</v>
      </c>
      <c r="P51" s="4" t="s">
        <v>45</v>
      </c>
      <c r="Q51" s="4">
        <v>244.0</v>
      </c>
      <c r="R51" s="5" t="s">
        <v>42</v>
      </c>
      <c r="S51" s="4">
        <v>1350.0</v>
      </c>
      <c r="T51" s="5" t="s">
        <v>42</v>
      </c>
      <c r="U51" s="4">
        <v>1.81</v>
      </c>
      <c r="V51" s="5" t="s">
        <v>46</v>
      </c>
      <c r="W51" s="4">
        <v>4.0</v>
      </c>
      <c r="X51" s="6">
        <v>16.0</v>
      </c>
      <c r="Y51" s="4" t="s">
        <v>56</v>
      </c>
      <c r="Z51" s="7">
        <f t="shared" si="1"/>
        <v>28.96</v>
      </c>
      <c r="AA51" s="4">
        <v>15.0</v>
      </c>
      <c r="AB51" s="8"/>
      <c r="AC51" s="8">
        <f t="shared" si="2"/>
        <v>0</v>
      </c>
      <c r="AD51" s="13">
        <v>88.69</v>
      </c>
      <c r="AE51" s="14" t="s">
        <v>199</v>
      </c>
      <c r="AF51" s="15"/>
      <c r="AG51" s="15"/>
      <c r="AH51" s="15"/>
      <c r="AI51" s="15"/>
      <c r="AJ51" s="15" t="str">
        <f>IFERROR(__xludf.DUMMYFUNCTION("AI(""Completa un valor adecuado para esta celda en función del contexto de la tabla"")"),"Piso flotante laminado de origen alemán, ideal para uso comercial intenso por su resistencia a la abrasión AC5. Con un espesor de 10 mm y sistema de instalación click, este modelo cuenta con bisel en sus cuatro lados y protección resistente al agua. Cada "&amp;"caja cubre una superficie de 1.58 m2.")</f>
        <v>Piso flotante laminado de origen alemán, ideal para uso comercial intenso por su resistencia a la abrasión AC5. Con un espesor de 10 mm y sistema de instalación click, este modelo cuenta con bisel en sus cuatro lados y protección resistente al agua. Cada caja cubre una superficie de 1.58 m2.</v>
      </c>
    </row>
    <row r="52" ht="15.75" customHeight="1">
      <c r="A52" s="4">
        <v>19330.0</v>
      </c>
      <c r="B52" s="5" t="s">
        <v>33</v>
      </c>
      <c r="C52" s="5" t="s">
        <v>34</v>
      </c>
      <c r="D52" s="5" t="s">
        <v>35</v>
      </c>
      <c r="E52" s="5" t="s">
        <v>36</v>
      </c>
      <c r="F52" s="5" t="s">
        <v>37</v>
      </c>
      <c r="G52" s="5" t="s">
        <v>200</v>
      </c>
      <c r="H52" s="4" t="s">
        <v>201</v>
      </c>
      <c r="I52" s="5" t="s">
        <v>72</v>
      </c>
      <c r="J52" s="5" t="s">
        <v>60</v>
      </c>
      <c r="K52" s="5" t="s">
        <v>54</v>
      </c>
      <c r="L52" s="4">
        <v>8.0</v>
      </c>
      <c r="M52" s="5" t="s">
        <v>42</v>
      </c>
      <c r="N52" s="4" t="s">
        <v>55</v>
      </c>
      <c r="O52" s="4" t="s">
        <v>44</v>
      </c>
      <c r="P52" s="4" t="s">
        <v>45</v>
      </c>
      <c r="Q52" s="4">
        <v>192.0</v>
      </c>
      <c r="R52" s="5" t="s">
        <v>42</v>
      </c>
      <c r="S52" s="4">
        <v>1280.0</v>
      </c>
      <c r="T52" s="5" t="s">
        <v>42</v>
      </c>
      <c r="U52" s="4">
        <v>2.22</v>
      </c>
      <c r="V52" s="5" t="s">
        <v>46</v>
      </c>
      <c r="W52" s="4">
        <v>8.0</v>
      </c>
      <c r="X52" s="6">
        <v>18.0</v>
      </c>
      <c r="Y52" s="4" t="s">
        <v>47</v>
      </c>
      <c r="Z52" s="7">
        <f t="shared" si="1"/>
        <v>39.96</v>
      </c>
      <c r="AA52" s="4">
        <v>15.0</v>
      </c>
      <c r="AB52" s="4">
        <v>52.0</v>
      </c>
      <c r="AC52" s="8">
        <f t="shared" si="2"/>
        <v>780</v>
      </c>
      <c r="AD52" s="13">
        <v>102.6</v>
      </c>
      <c r="AE52" s="10" t="s">
        <v>202</v>
      </c>
      <c r="AF52" s="11"/>
      <c r="AG52" s="11"/>
      <c r="AH52" s="11"/>
      <c r="AI52" s="11"/>
      <c r="AJ52" s="11" t="str">
        <f>IFERROR(__xludf.DUMMYFUNCTION("AI(""Completa un valor adecuado para esta celda en función del contexto de la tabla"")"),"Piso flotante laminado de origen alemán, ideal para uso comercial por su resistencia a la abrasión AC4. Con un espesor de 8 mm y sistema de instalación click, este modelo cuenta con bisel y protección resistente al agua. Cada caja contiene 9 tablas y cubr"&amp;"e una superficie de 2.22 m2.")</f>
        <v>Piso flotante laminado de origen alemán, ideal para uso comercial por su resistencia a la abrasión AC4. Con un espesor de 8 mm y sistema de instalación click, este modelo cuenta con bisel y protección resistente al agua. Cada caja contiene 9 tablas y cubre una superficie de 2.22 m2.</v>
      </c>
    </row>
    <row r="53" ht="15.75" customHeight="1">
      <c r="A53" s="4">
        <v>25075.0</v>
      </c>
      <c r="B53" s="5" t="s">
        <v>33</v>
      </c>
      <c r="C53" s="5" t="s">
        <v>34</v>
      </c>
      <c r="D53" s="5" t="s">
        <v>35</v>
      </c>
      <c r="E53" s="5" t="s">
        <v>58</v>
      </c>
      <c r="F53" s="5" t="s">
        <v>37</v>
      </c>
      <c r="G53" s="5" t="s">
        <v>203</v>
      </c>
      <c r="H53" s="4" t="s">
        <v>204</v>
      </c>
      <c r="I53" s="5" t="s">
        <v>72</v>
      </c>
      <c r="J53" s="5" t="s">
        <v>73</v>
      </c>
      <c r="K53" s="5" t="s">
        <v>54</v>
      </c>
      <c r="L53" s="4">
        <v>8.0</v>
      </c>
      <c r="M53" s="5" t="s">
        <v>42</v>
      </c>
      <c r="N53" s="4" t="s">
        <v>55</v>
      </c>
      <c r="O53" s="4" t="s">
        <v>44</v>
      </c>
      <c r="P53" s="4" t="s">
        <v>74</v>
      </c>
      <c r="Q53" s="4">
        <v>195.0</v>
      </c>
      <c r="R53" s="5" t="s">
        <v>42</v>
      </c>
      <c r="S53" s="4">
        <v>1288.0</v>
      </c>
      <c r="T53" s="5" t="s">
        <v>42</v>
      </c>
      <c r="U53" s="4">
        <v>2.26</v>
      </c>
      <c r="V53" s="5" t="s">
        <v>46</v>
      </c>
      <c r="W53" s="4">
        <v>9.0</v>
      </c>
      <c r="X53" s="6">
        <v>21.5</v>
      </c>
      <c r="Y53" s="4" t="s">
        <v>61</v>
      </c>
      <c r="Z53" s="7">
        <f t="shared" si="1"/>
        <v>48.59</v>
      </c>
      <c r="AA53" s="4">
        <v>15.0</v>
      </c>
      <c r="AB53" s="4">
        <v>56.0</v>
      </c>
      <c r="AC53" s="8">
        <f t="shared" si="2"/>
        <v>840</v>
      </c>
      <c r="AD53" s="13">
        <v>5767.52</v>
      </c>
      <c r="AE53" s="14" t="s">
        <v>205</v>
      </c>
      <c r="AF53" s="15"/>
      <c r="AG53" s="15"/>
      <c r="AH53" s="15"/>
      <c r="AI53" s="15"/>
      <c r="AJ53" s="15" t="str">
        <f>IFERROR(__xludf.DUMMYFUNCTION("AI(""Completa un valor adecuado para esta celda en función del contexto de la tabla"")"),"Piso flotante laminado de origen alemán, ideal para uso comercial intenso gracias a su resistencia a la abrasión AC5. Con un espesor de 10 mm y sistema de instalación click, este modelo de la línea Rooms cuenta con bisel en sus cuatro lados y protección r"&amp;"esistente al agua. Cada caja contiene 6 tablas y cubre una superficie de 1.58 m2.")</f>
        <v>Piso flotante laminado de origen alemán, ideal para uso comercial intenso gracias a su resistencia a la abrasión AC5. Con un espesor de 10 mm y sistema de instalación click, este modelo de la línea Rooms cuenta con bisel en sus cuatro lados y protección resistente al agua. Cada caja contiene 6 tablas y cubre una superficie de 1.58 m2.</v>
      </c>
    </row>
    <row r="54" ht="15.75" customHeight="1">
      <c r="A54" s="16">
        <v>24829.0</v>
      </c>
      <c r="B54" s="5" t="s">
        <v>33</v>
      </c>
      <c r="C54" s="5" t="s">
        <v>34</v>
      </c>
      <c r="D54" s="5" t="s">
        <v>35</v>
      </c>
      <c r="E54" s="17" t="s">
        <v>49</v>
      </c>
      <c r="F54" s="17" t="s">
        <v>37</v>
      </c>
      <c r="G54" s="5" t="s">
        <v>203</v>
      </c>
      <c r="H54" s="16" t="s">
        <v>206</v>
      </c>
      <c r="I54" s="5" t="s">
        <v>72</v>
      </c>
      <c r="J54" s="18" t="s">
        <v>80</v>
      </c>
      <c r="K54" s="5" t="s">
        <v>41</v>
      </c>
      <c r="L54" s="19">
        <v>8.0</v>
      </c>
      <c r="M54" s="17" t="s">
        <v>42</v>
      </c>
      <c r="N54" s="19" t="s">
        <v>43</v>
      </c>
      <c r="O54" s="19" t="s">
        <v>44</v>
      </c>
      <c r="P54" s="19" t="s">
        <v>45</v>
      </c>
      <c r="Q54" s="16">
        <v>195.0</v>
      </c>
      <c r="R54" s="17" t="s">
        <v>42</v>
      </c>
      <c r="S54" s="16">
        <v>2003.0</v>
      </c>
      <c r="T54" s="17" t="s">
        <v>42</v>
      </c>
      <c r="U54" s="16">
        <v>2.73</v>
      </c>
      <c r="V54" s="17" t="s">
        <v>46</v>
      </c>
      <c r="W54" s="16">
        <v>7.0</v>
      </c>
      <c r="X54" s="20">
        <v>26.85</v>
      </c>
      <c r="Y54" s="19" t="s">
        <v>61</v>
      </c>
      <c r="Z54" s="20">
        <f t="shared" si="1"/>
        <v>73.3005</v>
      </c>
      <c r="AA54" s="4">
        <v>15.0</v>
      </c>
      <c r="AB54" s="16">
        <v>40.0</v>
      </c>
      <c r="AC54" s="8">
        <f t="shared" si="2"/>
        <v>600</v>
      </c>
      <c r="AD54" s="21">
        <v>43.68</v>
      </c>
      <c r="AE54" s="10" t="s">
        <v>207</v>
      </c>
      <c r="AF54" s="24"/>
      <c r="AG54" s="24"/>
      <c r="AH54" s="24"/>
      <c r="AI54" s="24"/>
      <c r="AJ54" s="24" t="str">
        <f>IFERROR(__xludf.DUMMYFUNCTION("AI(""Completa un valor adecuado para esta celda en función del contexto de la tabla"")"),"Piso flotante laminado de origen alemán, marca Kronotex, diseñado para uso comercial intenso con resistencia AC5. Posee un espesor de 12 mm, sistema de instalación click y bisel en sus cuatro lados. Ofrece protección resistente al agua y cada caja rinde 1"&amp;".3 m2.")</f>
        <v>Piso flotante laminado de origen alemán, marca Kronotex, diseñado para uso comercial intenso con resistencia AC5. Posee un espesor de 12 mm, sistema de instalación click y bisel en sus cuatro lados. Ofrece protección resistente al agua y cada caja rinde 1.3 m2.</v>
      </c>
    </row>
    <row r="55" ht="15.75" customHeight="1">
      <c r="A55" s="4">
        <v>18916.0</v>
      </c>
      <c r="B55" s="5" t="s">
        <v>33</v>
      </c>
      <c r="C55" s="5" t="s">
        <v>34</v>
      </c>
      <c r="D55" s="5" t="s">
        <v>35</v>
      </c>
      <c r="E55" s="5" t="s">
        <v>36</v>
      </c>
      <c r="F55" s="5" t="s">
        <v>37</v>
      </c>
      <c r="G55" s="5" t="s">
        <v>208</v>
      </c>
      <c r="H55" s="4" t="s">
        <v>209</v>
      </c>
      <c r="I55" s="5" t="s">
        <v>39</v>
      </c>
      <c r="J55" s="5" t="s">
        <v>60</v>
      </c>
      <c r="K55" s="5" t="s">
        <v>54</v>
      </c>
      <c r="L55" s="4">
        <v>8.0</v>
      </c>
      <c r="M55" s="5" t="s">
        <v>42</v>
      </c>
      <c r="N55" s="4" t="s">
        <v>55</v>
      </c>
      <c r="O55" s="4" t="s">
        <v>44</v>
      </c>
      <c r="P55" s="4" t="s">
        <v>45</v>
      </c>
      <c r="Q55" s="4">
        <v>326.0</v>
      </c>
      <c r="R55" s="5" t="s">
        <v>42</v>
      </c>
      <c r="S55" s="4">
        <v>1300.0</v>
      </c>
      <c r="T55" s="5" t="s">
        <v>42</v>
      </c>
      <c r="U55" s="4">
        <v>2.12</v>
      </c>
      <c r="V55" s="5" t="s">
        <v>46</v>
      </c>
      <c r="W55" s="4">
        <v>5.0</v>
      </c>
      <c r="X55" s="6">
        <v>10.4</v>
      </c>
      <c r="Y55" s="4" t="s">
        <v>56</v>
      </c>
      <c r="Z55" s="7">
        <f t="shared" si="1"/>
        <v>22.048</v>
      </c>
      <c r="AA55" s="4">
        <v>15.0</v>
      </c>
      <c r="AB55" s="8"/>
      <c r="AC55" s="8">
        <f t="shared" si="2"/>
        <v>0</v>
      </c>
      <c r="AD55" s="13">
        <v>689.0</v>
      </c>
      <c r="AE55" s="14" t="s">
        <v>210</v>
      </c>
      <c r="AF55" s="15"/>
      <c r="AG55" s="15"/>
      <c r="AH55" s="15"/>
      <c r="AI55" s="15"/>
      <c r="AJ55" s="15" t="str">
        <f>IFERROR(__xludf.DUMMYFUNCTION("AI(""Completa un valor adecuado para esta celda en función del contexto de la tabla"")"),"Piso flotante de origen alemán con sistema de instalación click y protección resistente al agua. Posee un espesor de 8 mm y resistencia a la abrasión AC4, siendo apto para uso comercial. Cuenta con bisel en sus cuatro lados y cada caja cubre una superfici"&amp;"e de 2.22 m2.")</f>
        <v>Piso flotante de origen alemán con sistema de instalación click y protección resistente al agua. Posee un espesor de 8 mm y resistencia a la abrasión AC4, siendo apto para uso comercial. Cuenta con bisel en sus cuatro lados y cada caja cubre una superficie de 2.22 m2.</v>
      </c>
    </row>
    <row r="56" ht="15.75" customHeight="1">
      <c r="A56" s="4">
        <v>24781.0</v>
      </c>
      <c r="B56" s="5" t="s">
        <v>33</v>
      </c>
      <c r="C56" s="5" t="s">
        <v>34</v>
      </c>
      <c r="D56" s="5" t="s">
        <v>35</v>
      </c>
      <c r="E56" s="5" t="s">
        <v>49</v>
      </c>
      <c r="F56" s="5" t="s">
        <v>37</v>
      </c>
      <c r="G56" s="5" t="s">
        <v>211</v>
      </c>
      <c r="H56" s="4">
        <v>5947.0</v>
      </c>
      <c r="I56" s="5" t="s">
        <v>72</v>
      </c>
      <c r="J56" s="5" t="s">
        <v>80</v>
      </c>
      <c r="K56" s="5" t="s">
        <v>41</v>
      </c>
      <c r="L56" s="4">
        <v>8.0</v>
      </c>
      <c r="M56" s="5" t="s">
        <v>42</v>
      </c>
      <c r="N56" s="4" t="s">
        <v>43</v>
      </c>
      <c r="O56" s="4" t="s">
        <v>44</v>
      </c>
      <c r="P56" s="4" t="s">
        <v>45</v>
      </c>
      <c r="Q56" s="4">
        <v>195.0</v>
      </c>
      <c r="R56" s="5" t="s">
        <v>42</v>
      </c>
      <c r="S56" s="4">
        <v>1290.0</v>
      </c>
      <c r="T56" s="5" t="s">
        <v>42</v>
      </c>
      <c r="U56" s="4">
        <v>2.26</v>
      </c>
      <c r="V56" s="5" t="s">
        <v>46</v>
      </c>
      <c r="W56" s="4">
        <v>9.0</v>
      </c>
      <c r="X56" s="6">
        <v>26.85</v>
      </c>
      <c r="Y56" s="4" t="s">
        <v>61</v>
      </c>
      <c r="Z56" s="7">
        <f t="shared" si="1"/>
        <v>60.681</v>
      </c>
      <c r="AA56" s="4">
        <v>15.0</v>
      </c>
      <c r="AB56" s="4">
        <v>52.0</v>
      </c>
      <c r="AC56" s="8">
        <f t="shared" si="2"/>
        <v>780</v>
      </c>
      <c r="AD56" s="13">
        <v>4010.49</v>
      </c>
      <c r="AE56" s="10" t="s">
        <v>212</v>
      </c>
      <c r="AF56" s="11"/>
      <c r="AG56" s="11"/>
      <c r="AH56" s="11"/>
      <c r="AI56" s="11"/>
      <c r="AJ56" s="11" t="str">
        <f>IFERROR(__xludf.DUMMYFUNCTION("AI(""Completa un valor adecuado para esta celda en función del contexto de la tabla"")"),"Piso flotante laminado de origen alemán, diseñado para uso comercial intenso gracias a su resistencia a la abrasión AC5. Posee un espesor de 12 mm y sistema de instalación click, con bisel en sus cuatro lados y tecnología de resistencia al agua. Cada caja"&amp;" cubre una superficie de 1.32 m2.")</f>
        <v>Piso flotante laminado de origen alemán, diseñado para uso comercial intenso gracias a su resistencia a la abrasión AC5. Posee un espesor de 12 mm y sistema de instalación click, con bisel en sus cuatro lados y tecnología de resistencia al agua. Cada caja cubre una superficie de 1.32 m2.</v>
      </c>
    </row>
    <row r="57" ht="15.75" customHeight="1">
      <c r="A57" s="4">
        <v>20805.0</v>
      </c>
      <c r="B57" s="5" t="s">
        <v>33</v>
      </c>
      <c r="C57" s="5" t="s">
        <v>34</v>
      </c>
      <c r="D57" s="5" t="s">
        <v>35</v>
      </c>
      <c r="E57" s="5" t="s">
        <v>36</v>
      </c>
      <c r="F57" s="5" t="s">
        <v>37</v>
      </c>
      <c r="G57" s="5" t="s">
        <v>213</v>
      </c>
      <c r="H57" s="4" t="s">
        <v>214</v>
      </c>
      <c r="I57" s="5" t="s">
        <v>72</v>
      </c>
      <c r="J57" s="5" t="s">
        <v>215</v>
      </c>
      <c r="K57" s="5" t="s">
        <v>54</v>
      </c>
      <c r="L57" s="4">
        <v>8.0</v>
      </c>
      <c r="M57" s="5" t="s">
        <v>42</v>
      </c>
      <c r="N57" s="4" t="s">
        <v>55</v>
      </c>
      <c r="O57" s="4" t="s">
        <v>44</v>
      </c>
      <c r="P57" s="4" t="s">
        <v>45</v>
      </c>
      <c r="Q57" s="4">
        <v>192.0</v>
      </c>
      <c r="R57" s="5" t="s">
        <v>42</v>
      </c>
      <c r="S57" s="4">
        <v>1280.0</v>
      </c>
      <c r="T57" s="5" t="s">
        <v>42</v>
      </c>
      <c r="U57" s="4">
        <v>2.22</v>
      </c>
      <c r="V57" s="5" t="s">
        <v>46</v>
      </c>
      <c r="W57" s="4">
        <v>9.0</v>
      </c>
      <c r="X57" s="6">
        <v>18.0</v>
      </c>
      <c r="Y57" s="4" t="s">
        <v>61</v>
      </c>
      <c r="Z57" s="7">
        <f t="shared" si="1"/>
        <v>39.96</v>
      </c>
      <c r="AA57" s="4">
        <v>15.0</v>
      </c>
      <c r="AB57" s="4">
        <v>52.0</v>
      </c>
      <c r="AC57" s="8">
        <f t="shared" si="2"/>
        <v>780</v>
      </c>
      <c r="AD57" s="13">
        <v>401.82</v>
      </c>
      <c r="AE57" s="14" t="s">
        <v>216</v>
      </c>
      <c r="AF57" s="15"/>
      <c r="AG57" s="15"/>
      <c r="AH57" s="15"/>
      <c r="AI57" s="15"/>
      <c r="AJ57" s="15" t="str">
        <f>IFERROR(__xludf.DUMMYFUNCTION("AI(""Completa un valor adecuado para esta celda en función del contexto de la tabla"")"),"Piso flotante laminado de origen alemán, ideal para uso comercial intenso por su resistencia a la abrasión AC5. Con un espesor de 12 mm y sistema de instalación click, este modelo de la línea Rooms cuenta con bisel y protección resistente al agua. Cada ca"&amp;"ja cubre una superficie de 1.32 m2.")</f>
        <v>Piso flotante laminado de origen alemán, ideal para uso comercial intenso por su resistencia a la abrasión AC5. Con un espesor de 12 mm y sistema de instalación click, este modelo de la línea Rooms cuenta con bisel y protección resistente al agua. Cada caja cubre una superficie de 1.32 m2.</v>
      </c>
    </row>
    <row r="58" ht="15.75" customHeight="1">
      <c r="A58" s="4">
        <v>18945.0</v>
      </c>
      <c r="B58" s="5" t="s">
        <v>33</v>
      </c>
      <c r="C58" s="5" t="s">
        <v>34</v>
      </c>
      <c r="D58" s="5" t="s">
        <v>35</v>
      </c>
      <c r="E58" s="5" t="s">
        <v>36</v>
      </c>
      <c r="F58" s="5" t="s">
        <v>37</v>
      </c>
      <c r="G58" s="5" t="s">
        <v>217</v>
      </c>
      <c r="H58" s="4" t="s">
        <v>218</v>
      </c>
      <c r="I58" s="5" t="s">
        <v>39</v>
      </c>
      <c r="J58" s="5" t="s">
        <v>86</v>
      </c>
      <c r="K58" s="5" t="s">
        <v>54</v>
      </c>
      <c r="L58" s="4">
        <v>8.0</v>
      </c>
      <c r="M58" s="5" t="s">
        <v>42</v>
      </c>
      <c r="N58" s="4" t="s">
        <v>55</v>
      </c>
      <c r="O58" s="4" t="s">
        <v>44</v>
      </c>
      <c r="P58" s="4" t="s">
        <v>44</v>
      </c>
      <c r="Q58" s="4">
        <v>193.0</v>
      </c>
      <c r="R58" s="5" t="s">
        <v>42</v>
      </c>
      <c r="S58" s="4">
        <v>1380.0</v>
      </c>
      <c r="T58" s="5" t="s">
        <v>42</v>
      </c>
      <c r="U58" s="4">
        <v>2.13</v>
      </c>
      <c r="V58" s="5" t="s">
        <v>46</v>
      </c>
      <c r="W58" s="4">
        <v>8.0</v>
      </c>
      <c r="X58" s="6">
        <v>16.0</v>
      </c>
      <c r="Y58" s="4" t="s">
        <v>56</v>
      </c>
      <c r="Z58" s="7">
        <f t="shared" si="1"/>
        <v>34.08</v>
      </c>
      <c r="AA58" s="4">
        <v>15.0</v>
      </c>
      <c r="AB58" s="8"/>
      <c r="AC58" s="8">
        <f t="shared" si="2"/>
        <v>0</v>
      </c>
      <c r="AD58" s="13">
        <v>323.0</v>
      </c>
      <c r="AE58" s="10" t="s">
        <v>219</v>
      </c>
      <c r="AF58" s="11"/>
      <c r="AG58" s="11"/>
      <c r="AH58" s="11"/>
      <c r="AI58" s="11"/>
      <c r="AJ58" s="11" t="str">
        <f>IFERROR(__xludf.DUMMYFUNCTION("AI(""Completa un valor adecuado para esta celda en función del contexto de la tabla"")"),"Piso flotante laminado de origen alemán, ideal para uso comercial intenso gracias a su alta resistencia a la abrasión AC5. Posee un espesor de 8 mm, sistema de instalación click y cuenta con bisel en sus cuatro lados para un acabado elegante. Este modelo "&amp;"es resistente al agua (Water Resistant) y cada caja rinde una superficie de 2.22 m2.")</f>
        <v>Piso flotante laminado de origen alemán, ideal para uso comercial intenso gracias a su alta resistencia a la abrasión AC5. Posee un espesor de 8 mm, sistema de instalación click y cuenta con bisel en sus cuatro lados para un acabado elegante. Este modelo es resistente al agua (Water Resistant) y cada caja rinde una superficie de 2.22 m2.</v>
      </c>
    </row>
    <row r="59" ht="15.75" customHeight="1">
      <c r="A59" s="4">
        <v>25205.0</v>
      </c>
      <c r="B59" s="5" t="s">
        <v>33</v>
      </c>
      <c r="C59" s="5" t="s">
        <v>34</v>
      </c>
      <c r="D59" s="5" t="s">
        <v>35</v>
      </c>
      <c r="E59" s="5" t="s">
        <v>58</v>
      </c>
      <c r="F59" s="5" t="s">
        <v>37</v>
      </c>
      <c r="G59" s="5" t="s">
        <v>220</v>
      </c>
      <c r="H59" s="4" t="s">
        <v>221</v>
      </c>
      <c r="I59" s="5" t="s">
        <v>72</v>
      </c>
      <c r="J59" s="5" t="s">
        <v>73</v>
      </c>
      <c r="K59" s="5" t="s">
        <v>54</v>
      </c>
      <c r="L59" s="4">
        <v>8.0</v>
      </c>
      <c r="M59" s="5" t="s">
        <v>42</v>
      </c>
      <c r="N59" s="4" t="s">
        <v>55</v>
      </c>
      <c r="O59" s="4" t="s">
        <v>45</v>
      </c>
      <c r="P59" s="4" t="s">
        <v>74</v>
      </c>
      <c r="Q59" s="4">
        <v>245.0</v>
      </c>
      <c r="R59" s="5" t="s">
        <v>42</v>
      </c>
      <c r="S59" s="4">
        <v>2003.0</v>
      </c>
      <c r="T59" s="5" t="s">
        <v>42</v>
      </c>
      <c r="U59" s="4">
        <v>2.94</v>
      </c>
      <c r="V59" s="5" t="s">
        <v>46</v>
      </c>
      <c r="W59" s="4">
        <v>6.0</v>
      </c>
      <c r="X59" s="6">
        <v>28.84</v>
      </c>
      <c r="Y59" s="4" t="s">
        <v>61</v>
      </c>
      <c r="Z59" s="7">
        <f t="shared" si="1"/>
        <v>84.7896</v>
      </c>
      <c r="AA59" s="4">
        <v>15.0</v>
      </c>
      <c r="AB59" s="8"/>
      <c r="AC59" s="8">
        <f t="shared" si="2"/>
        <v>0</v>
      </c>
      <c r="AD59" s="13">
        <v>0.0</v>
      </c>
      <c r="AE59" s="14" t="s">
        <v>222</v>
      </c>
      <c r="AF59" s="15"/>
      <c r="AG59" s="15"/>
      <c r="AH59" s="15"/>
      <c r="AI59" s="15"/>
      <c r="AJ59" s="15" t="str">
        <f>IFERROR(__xludf.DUMMYFUNCTION("AI(""Completa un valor adecuado para esta celda en función del contexto de la tabla"")"),"Piso flotante laminado de origen alemán, ideal para uso comercial intenso por su resistencia a la abrasión AC5. Con un espesor de 12 mm y sistema de instalación click, este modelo cuenta con bisel y protección resistente al agua. Cada caja cubre una super"&amp;"ficie de 1.3 m2.")</f>
        <v>Piso flotante laminado de origen alemán, ideal para uso comercial intenso por su resistencia a la abrasión AC5. Con un espesor de 12 mm y sistema de instalación click, este modelo cuenta con bisel y protección resistente al agua. Cada caja cubre una superficie de 1.3 m2.</v>
      </c>
    </row>
    <row r="60" ht="15.75" customHeight="1">
      <c r="A60" s="4">
        <v>20662.0</v>
      </c>
      <c r="B60" s="5" t="s">
        <v>33</v>
      </c>
      <c r="C60" s="5" t="s">
        <v>34</v>
      </c>
      <c r="D60" s="5" t="s">
        <v>35</v>
      </c>
      <c r="E60" s="5" t="s">
        <v>36</v>
      </c>
      <c r="F60" s="5" t="s">
        <v>37</v>
      </c>
      <c r="G60" s="5" t="s">
        <v>223</v>
      </c>
      <c r="H60" s="4" t="s">
        <v>224</v>
      </c>
      <c r="I60" s="5" t="s">
        <v>72</v>
      </c>
      <c r="J60" s="5" t="s">
        <v>168</v>
      </c>
      <c r="K60" s="5" t="s">
        <v>169</v>
      </c>
      <c r="L60" s="4">
        <v>7.0</v>
      </c>
      <c r="M60" s="5" t="s">
        <v>42</v>
      </c>
      <c r="N60" s="4" t="s">
        <v>170</v>
      </c>
      <c r="O60" s="4" t="s">
        <v>44</v>
      </c>
      <c r="P60" s="4" t="s">
        <v>44</v>
      </c>
      <c r="Q60" s="4">
        <v>192.0</v>
      </c>
      <c r="R60" s="5" t="s">
        <v>42</v>
      </c>
      <c r="S60" s="4">
        <v>1280.0</v>
      </c>
      <c r="T60" s="5" t="s">
        <v>42</v>
      </c>
      <c r="U60" s="4">
        <v>2.47</v>
      </c>
      <c r="V60" s="5" t="s">
        <v>46</v>
      </c>
      <c r="W60" s="4">
        <v>10.0</v>
      </c>
      <c r="X60" s="6">
        <v>13.1</v>
      </c>
      <c r="Y60" s="4" t="s">
        <v>56</v>
      </c>
      <c r="Z60" s="7">
        <f t="shared" si="1"/>
        <v>32.357</v>
      </c>
      <c r="AA60" s="4">
        <v>15.0</v>
      </c>
      <c r="AB60" s="8"/>
      <c r="AC60" s="8">
        <f t="shared" si="2"/>
        <v>0</v>
      </c>
      <c r="AD60" s="13">
        <v>757.2</v>
      </c>
      <c r="AE60" s="10" t="s">
        <v>225</v>
      </c>
      <c r="AF60" s="11"/>
      <c r="AG60" s="11"/>
      <c r="AH60" s="11"/>
      <c r="AI60" s="11"/>
      <c r="AJ60" s="11" t="str">
        <f>IFERROR(__xludf.DUMMYFUNCTION("AI(""Completa un valor adecuado para esta celda en función del contexto de la tabla"")"),"Piso flotante laminado de origen alemán, ideal para uso comercial intenso por su resistencia a la abrasión AC5. Con un espesor de 6 mm y sistema de instalación click, este modelo de la línea ORCA cuenta con bisel y tecnología waterproof. Cada caja cubre u"&amp;"na superficie de 2.76 m2.")</f>
        <v>Piso flotante laminado de origen alemán, ideal para uso comercial intenso por su resistencia a la abrasión AC5. Con un espesor de 6 mm y sistema de instalación click, este modelo de la línea ORCA cuenta con bisel y tecnología waterproof. Cada caja cubre una superficie de 2.76 m2.</v>
      </c>
    </row>
    <row r="61" ht="15.75" customHeight="1">
      <c r="A61" s="4">
        <v>14735.0</v>
      </c>
      <c r="B61" s="5" t="s">
        <v>33</v>
      </c>
      <c r="C61" s="5" t="s">
        <v>34</v>
      </c>
      <c r="D61" s="5" t="s">
        <v>35</v>
      </c>
      <c r="E61" s="5" t="s">
        <v>36</v>
      </c>
      <c r="F61" s="5" t="s">
        <v>37</v>
      </c>
      <c r="G61" s="5" t="s">
        <v>226</v>
      </c>
      <c r="H61" s="4" t="s">
        <v>227</v>
      </c>
      <c r="I61" s="5" t="s">
        <v>39</v>
      </c>
      <c r="J61" s="5" t="s">
        <v>86</v>
      </c>
      <c r="K61" s="5" t="s">
        <v>54</v>
      </c>
      <c r="L61" s="4">
        <v>8.0</v>
      </c>
      <c r="M61" s="5" t="s">
        <v>42</v>
      </c>
      <c r="N61" s="4" t="s">
        <v>55</v>
      </c>
      <c r="O61" s="4" t="s">
        <v>44</v>
      </c>
      <c r="P61" s="4" t="s">
        <v>44</v>
      </c>
      <c r="Q61" s="4">
        <v>193.0</v>
      </c>
      <c r="R61" s="5" t="s">
        <v>42</v>
      </c>
      <c r="S61" s="4">
        <v>1380.0</v>
      </c>
      <c r="T61" s="5" t="s">
        <v>42</v>
      </c>
      <c r="U61" s="4">
        <v>2.13</v>
      </c>
      <c r="V61" s="5" t="s">
        <v>46</v>
      </c>
      <c r="W61" s="4">
        <v>8.0</v>
      </c>
      <c r="X61" s="6">
        <v>16.0</v>
      </c>
      <c r="Y61" s="4" t="s">
        <v>56</v>
      </c>
      <c r="Z61" s="7">
        <f t="shared" si="1"/>
        <v>34.08</v>
      </c>
      <c r="AA61" s="4">
        <v>15.0</v>
      </c>
      <c r="AB61" s="8"/>
      <c r="AC61" s="8">
        <f t="shared" si="2"/>
        <v>0</v>
      </c>
      <c r="AD61" s="13">
        <v>4149.24</v>
      </c>
      <c r="AE61" s="14" t="s">
        <v>228</v>
      </c>
      <c r="AF61" s="15"/>
      <c r="AG61" s="15"/>
      <c r="AH61" s="15"/>
      <c r="AI61" s="15"/>
      <c r="AJ61" s="15" t="str">
        <f>IFERROR(__xludf.DUMMYFUNCTION("AI(""Completa un valor adecuado para esta celda en función del contexto de la tabla"")"),"Piso flotante laminado de origen alemán, ideal para uso comercial intenso gracias a su resistencia a la abrasión AC5. Con un espesor de 8 mm y sistema de instalación click, este modelo cuenta con bisel y protección resistente al agua. Cada caja cubre una "&amp;"superficie de 2.22 m2.")</f>
        <v>Piso flotante laminado de origen alemán, ideal para uso comercial intenso gracias a su resistencia a la abrasión AC5. Con un espesor de 8 mm y sistema de instalación click, este modelo cuenta con bisel y protección resistente al agua. Cada caja cubre una superficie de 2.22 m2.</v>
      </c>
    </row>
    <row r="62" ht="15.75" customHeight="1">
      <c r="A62" s="4">
        <v>25341.0</v>
      </c>
      <c r="B62" s="5" t="s">
        <v>33</v>
      </c>
      <c r="C62" s="5" t="s">
        <v>34</v>
      </c>
      <c r="D62" s="5" t="s">
        <v>35</v>
      </c>
      <c r="E62" s="5" t="s">
        <v>49</v>
      </c>
      <c r="F62" s="5" t="s">
        <v>50</v>
      </c>
      <c r="G62" s="5" t="s">
        <v>229</v>
      </c>
      <c r="H62" s="12"/>
      <c r="I62" s="5" t="s">
        <v>52</v>
      </c>
      <c r="J62" s="5" t="s">
        <v>53</v>
      </c>
      <c r="K62" s="5" t="s">
        <v>54</v>
      </c>
      <c r="L62" s="4">
        <v>8.0</v>
      </c>
      <c r="M62" s="5" t="s">
        <v>42</v>
      </c>
      <c r="N62" s="4" t="s">
        <v>55</v>
      </c>
      <c r="O62" s="4" t="s">
        <v>44</v>
      </c>
      <c r="P62" s="4" t="s">
        <v>45</v>
      </c>
      <c r="Q62" s="4">
        <v>198.0</v>
      </c>
      <c r="R62" s="5" t="s">
        <v>42</v>
      </c>
      <c r="S62" s="4">
        <v>1216.0</v>
      </c>
      <c r="T62" s="5" t="s">
        <v>42</v>
      </c>
      <c r="U62" s="4">
        <v>2.17</v>
      </c>
      <c r="V62" s="5" t="s">
        <v>46</v>
      </c>
      <c r="W62" s="4">
        <v>9.0</v>
      </c>
      <c r="X62" s="6">
        <v>16.0</v>
      </c>
      <c r="Y62" s="4" t="s">
        <v>56</v>
      </c>
      <c r="Z62" s="7">
        <f t="shared" si="1"/>
        <v>34.72</v>
      </c>
      <c r="AA62" s="4">
        <v>15.0</v>
      </c>
      <c r="AB62" s="4">
        <v>65.0</v>
      </c>
      <c r="AC62" s="8">
        <f t="shared" si="2"/>
        <v>975</v>
      </c>
      <c r="AD62" s="13">
        <v>132.37</v>
      </c>
      <c r="AE62" s="10" t="s">
        <v>230</v>
      </c>
      <c r="AF62" s="11"/>
      <c r="AG62" s="11"/>
      <c r="AH62" s="11"/>
      <c r="AI62" s="11"/>
      <c r="AJ62" s="11" t="str">
        <f>IFERROR(__xludf.DUMMYFUNCTION("AI(""Completa un valor adecuado para esta celda en función del contexto de la tabla"")"),"Piso flotante laminado de origen alemán, diseñado para un uso comercial intenso gracias a su alta resistencia a la abrasión AC5. Este modelo de 6 mm de espesor cuenta con un sistema de instalación click, microbisel en sus cuatro lados y tecnología de prot"&amp;"ección Waterproof. Cada caja contiene 11 tablas que permiten cubrir una superficie total de 2.76 m2.")</f>
        <v>Piso flotante laminado de origen alemán, diseñado para un uso comercial intenso gracias a su alta resistencia a la abrasión AC5. Este modelo de 6 mm de espesor cuenta con un sistema de instalación click, microbisel en sus cuatro lados y tecnología de protección Waterproof. Cada caja contiene 11 tablas que permiten cubrir una superficie total de 2.76 m2.</v>
      </c>
    </row>
    <row r="63" ht="15.75" customHeight="1">
      <c r="A63" s="4">
        <v>18188.0</v>
      </c>
      <c r="B63" s="5" t="s">
        <v>33</v>
      </c>
      <c r="C63" s="5" t="s">
        <v>34</v>
      </c>
      <c r="D63" s="5" t="s">
        <v>35</v>
      </c>
      <c r="E63" s="5" t="s">
        <v>36</v>
      </c>
      <c r="F63" s="5" t="s">
        <v>37</v>
      </c>
      <c r="G63" s="5" t="s">
        <v>231</v>
      </c>
      <c r="H63" s="4" t="s">
        <v>232</v>
      </c>
      <c r="I63" s="5" t="s">
        <v>39</v>
      </c>
      <c r="J63" s="5" t="s">
        <v>68</v>
      </c>
      <c r="K63" s="5" t="s">
        <v>169</v>
      </c>
      <c r="L63" s="4">
        <v>7.0</v>
      </c>
      <c r="M63" s="5" t="s">
        <v>42</v>
      </c>
      <c r="N63" s="4" t="s">
        <v>170</v>
      </c>
      <c r="O63" s="4" t="s">
        <v>44</v>
      </c>
      <c r="P63" s="4" t="s">
        <v>44</v>
      </c>
      <c r="Q63" s="4">
        <v>193.0</v>
      </c>
      <c r="R63" s="5" t="s">
        <v>42</v>
      </c>
      <c r="S63" s="4">
        <v>1380.0</v>
      </c>
      <c r="T63" s="5" t="s">
        <v>42</v>
      </c>
      <c r="U63" s="4">
        <v>2.4</v>
      </c>
      <c r="V63" s="5" t="s">
        <v>46</v>
      </c>
      <c r="W63" s="4">
        <v>9.0</v>
      </c>
      <c r="X63" s="6">
        <v>13.1</v>
      </c>
      <c r="Y63" s="4" t="s">
        <v>56</v>
      </c>
      <c r="Z63" s="7">
        <f t="shared" si="1"/>
        <v>31.44</v>
      </c>
      <c r="AA63" s="4">
        <v>15.0</v>
      </c>
      <c r="AB63" s="8"/>
      <c r="AC63" s="8">
        <f t="shared" si="2"/>
        <v>0</v>
      </c>
      <c r="AD63" s="13">
        <v>5623.18</v>
      </c>
      <c r="AE63" s="14" t="s">
        <v>233</v>
      </c>
      <c r="AF63" s="15"/>
      <c r="AG63" s="15"/>
      <c r="AH63" s="15"/>
      <c r="AI63" s="15"/>
      <c r="AJ63" s="15" t="str">
        <f>IFERROR(__xludf.DUMMYFUNCTION("AI(""Completa un valor adecuado para esta celda en función del contexto de la tabla"")"),"Piso flotante laminado de origen alemán, ideal para uso comercial intenso gracias a su resistencia a la abrasión AC5. Con un espesor de 12 mm y sistema de instalación click, este modelo de la marca Swiss Krono incluye bisel y protección resistente al agua"&amp;". Cada caja cubre una superficie de 1.32 m2.")</f>
        <v>Piso flotante laminado de origen alemán, ideal para uso comercial intenso gracias a su resistencia a la abrasión AC5. Con un espesor de 12 mm y sistema de instalación click, este modelo de la marca Swiss Krono incluye bisel y protección resistente al agua. Cada caja cubre una superficie de 1.32 m2.</v>
      </c>
    </row>
    <row r="64" ht="15.75" customHeight="1">
      <c r="A64" s="4">
        <v>20377.0</v>
      </c>
      <c r="B64" s="5" t="s">
        <v>33</v>
      </c>
      <c r="C64" s="5" t="s">
        <v>34</v>
      </c>
      <c r="D64" s="5" t="s">
        <v>35</v>
      </c>
      <c r="E64" s="5" t="s">
        <v>36</v>
      </c>
      <c r="F64" s="5" t="s">
        <v>37</v>
      </c>
      <c r="G64" s="5" t="s">
        <v>231</v>
      </c>
      <c r="H64" s="4" t="s">
        <v>232</v>
      </c>
      <c r="I64" s="5" t="s">
        <v>39</v>
      </c>
      <c r="J64" s="5" t="s">
        <v>234</v>
      </c>
      <c r="K64" s="5" t="s">
        <v>54</v>
      </c>
      <c r="L64" s="4">
        <v>8.0</v>
      </c>
      <c r="M64" s="5" t="s">
        <v>42</v>
      </c>
      <c r="N64" s="4" t="s">
        <v>55</v>
      </c>
      <c r="O64" s="4" t="s">
        <v>44</v>
      </c>
      <c r="P64" s="4" t="s">
        <v>44</v>
      </c>
      <c r="Q64" s="4">
        <v>193.0</v>
      </c>
      <c r="R64" s="5" t="s">
        <v>42</v>
      </c>
      <c r="S64" s="4">
        <v>1380.0</v>
      </c>
      <c r="T64" s="5" t="s">
        <v>42</v>
      </c>
      <c r="U64" s="4">
        <v>2.13</v>
      </c>
      <c r="V64" s="5" t="s">
        <v>46</v>
      </c>
      <c r="W64" s="4">
        <v>8.0</v>
      </c>
      <c r="X64" s="6">
        <v>16.0</v>
      </c>
      <c r="Y64" s="4" t="s">
        <v>56</v>
      </c>
      <c r="Z64" s="7">
        <f t="shared" si="1"/>
        <v>34.08</v>
      </c>
      <c r="AA64" s="4">
        <v>15.0</v>
      </c>
      <c r="AB64" s="8"/>
      <c r="AC64" s="8">
        <f t="shared" si="2"/>
        <v>0</v>
      </c>
      <c r="AD64" s="13">
        <v>257.72</v>
      </c>
      <c r="AE64" s="10" t="s">
        <v>235</v>
      </c>
      <c r="AF64" s="11"/>
      <c r="AG64" s="11"/>
      <c r="AH64" s="11"/>
      <c r="AI64" s="11"/>
      <c r="AJ64" s="11" t="str">
        <f>IFERROR(__xludf.DUMMYFUNCTION("AI(""Completa un valor adecuado para esta celda en función del contexto de la tabla"")"),"Piso flotante de origen alemán con tecnología Waterproof, diseñado para uso comercial intenso gracias a su resistencia a la abrasión AC5. Presenta un espesor de 6 mm, sistema de bisel en sus tablas y una base que cubre 2.76 m2 por caja. Su diseño Eiche Ha"&amp;"lsa de la línea ORCA de Krono Original combina alta durabilidad con un acabado realista.")</f>
        <v>Piso flotante de origen alemán con tecnología Waterproof, diseñado para uso comercial intenso gracias a su resistencia a la abrasión AC5. Presenta un espesor de 6 mm, sistema de bisel en sus tablas y una base que cubre 2.76 m2 por caja. Su diseño Eiche Halsa de la línea ORCA de Krono Original combina alta durabilidad con un acabado realista.</v>
      </c>
    </row>
    <row r="65" ht="15.75" customHeight="1">
      <c r="A65" s="4">
        <v>24571.0</v>
      </c>
      <c r="B65" s="5" t="s">
        <v>33</v>
      </c>
      <c r="C65" s="5" t="s">
        <v>34</v>
      </c>
      <c r="D65" s="5" t="s">
        <v>35</v>
      </c>
      <c r="E65" s="5" t="s">
        <v>49</v>
      </c>
      <c r="F65" s="5" t="s">
        <v>37</v>
      </c>
      <c r="G65" s="5" t="s">
        <v>236</v>
      </c>
      <c r="H65" s="4" t="s">
        <v>237</v>
      </c>
      <c r="I65" s="5" t="s">
        <v>72</v>
      </c>
      <c r="J65" s="5" t="s">
        <v>80</v>
      </c>
      <c r="K65" s="5" t="s">
        <v>41</v>
      </c>
      <c r="L65" s="4">
        <v>8.0</v>
      </c>
      <c r="M65" s="5" t="s">
        <v>42</v>
      </c>
      <c r="N65" s="4" t="s">
        <v>43</v>
      </c>
      <c r="O65" s="4" t="s">
        <v>44</v>
      </c>
      <c r="P65" s="4" t="s">
        <v>45</v>
      </c>
      <c r="Q65" s="4">
        <v>195.0</v>
      </c>
      <c r="R65" s="5" t="s">
        <v>42</v>
      </c>
      <c r="S65" s="4">
        <v>1290.0</v>
      </c>
      <c r="T65" s="5" t="s">
        <v>42</v>
      </c>
      <c r="U65" s="4">
        <v>2.26</v>
      </c>
      <c r="V65" s="5" t="s">
        <v>46</v>
      </c>
      <c r="W65" s="4">
        <v>9.0</v>
      </c>
      <c r="X65" s="6">
        <v>26.85</v>
      </c>
      <c r="Y65" s="4" t="s">
        <v>61</v>
      </c>
      <c r="Z65" s="7">
        <f t="shared" si="1"/>
        <v>60.681</v>
      </c>
      <c r="AA65" s="4">
        <v>15.0</v>
      </c>
      <c r="AB65" s="4">
        <v>52.0</v>
      </c>
      <c r="AC65" s="8">
        <f t="shared" si="2"/>
        <v>780</v>
      </c>
      <c r="AD65" s="13">
        <v>2406.89</v>
      </c>
      <c r="AE65" s="14" t="s">
        <v>238</v>
      </c>
      <c r="AF65" s="15"/>
      <c r="AG65" s="15"/>
      <c r="AH65" s="15"/>
      <c r="AI65" s="15"/>
      <c r="AJ65" s="15" t="str">
        <f>IFERROR(__xludf.DUMMYFUNCTION("AI(""Completa un valor adecuado para esta celda en función del contexto de la tabla"")"),"Piso flotante laminado de origen alemán, diseñado para uso comercial intenso gracias a su clasificación de resistencia a la abrasión AC5. Con un espesor de 6 mm y tecnología Waterproof, este modelo de la línea ORCA cuenta con un sistema de biselado en sus"&amp;" cuatro lados. Su diseño Eiche Rana se presenta en tablas de 195 mm de ancho por 1288 mm de largo, y cada caja cubre una superficie de 2.76 m2.")</f>
        <v>Piso flotante laminado de origen alemán, diseñado para uso comercial intenso gracias a su clasificación de resistencia a la abrasión AC5. Con un espesor de 6 mm y tecnología Waterproof, este modelo de la línea ORCA cuenta con un sistema de biselado en sus cuatro lados. Su diseño Eiche Rana se presenta en tablas de 195 mm de ancho por 1288 mm de largo, y cada caja cubre una superficie de 2.76 m2.</v>
      </c>
    </row>
    <row r="66" ht="15.75" customHeight="1">
      <c r="A66" s="4">
        <v>24568.0</v>
      </c>
      <c r="B66" s="5" t="s">
        <v>33</v>
      </c>
      <c r="C66" s="5" t="s">
        <v>34</v>
      </c>
      <c r="D66" s="5" t="s">
        <v>35</v>
      </c>
      <c r="E66" s="5" t="s">
        <v>49</v>
      </c>
      <c r="F66" s="5" t="s">
        <v>37</v>
      </c>
      <c r="G66" s="5" t="s">
        <v>239</v>
      </c>
      <c r="H66" s="4" t="s">
        <v>240</v>
      </c>
      <c r="I66" s="5" t="s">
        <v>72</v>
      </c>
      <c r="J66" s="5" t="s">
        <v>80</v>
      </c>
      <c r="K66" s="5" t="s">
        <v>41</v>
      </c>
      <c r="L66" s="4">
        <v>8.0</v>
      </c>
      <c r="M66" s="5" t="s">
        <v>42</v>
      </c>
      <c r="N66" s="4" t="s">
        <v>43</v>
      </c>
      <c r="O66" s="4" t="s">
        <v>44</v>
      </c>
      <c r="P66" s="4" t="s">
        <v>45</v>
      </c>
      <c r="Q66" s="4">
        <v>195.0</v>
      </c>
      <c r="R66" s="5" t="s">
        <v>42</v>
      </c>
      <c r="S66" s="4">
        <v>1290.0</v>
      </c>
      <c r="T66" s="5" t="s">
        <v>42</v>
      </c>
      <c r="U66" s="4">
        <v>2.26</v>
      </c>
      <c r="V66" s="5" t="s">
        <v>46</v>
      </c>
      <c r="W66" s="4">
        <v>9.0</v>
      </c>
      <c r="X66" s="6">
        <v>26.85</v>
      </c>
      <c r="Y66" s="4" t="s">
        <v>61</v>
      </c>
      <c r="Z66" s="7">
        <f t="shared" si="1"/>
        <v>60.681</v>
      </c>
      <c r="AA66" s="4">
        <v>15.0</v>
      </c>
      <c r="AB66" s="4">
        <v>52.0</v>
      </c>
      <c r="AC66" s="8">
        <f t="shared" si="2"/>
        <v>780</v>
      </c>
      <c r="AD66" s="13">
        <v>2002.36</v>
      </c>
      <c r="AE66" s="10" t="s">
        <v>241</v>
      </c>
      <c r="AF66" s="11"/>
      <c r="AG66" s="11"/>
      <c r="AH66" s="11"/>
      <c r="AI66" s="11"/>
      <c r="AJ66" s="11" t="str">
        <f>IFERROR(__xludf.DUMMYFUNCTION("AI(""Completa un valor adecuado para esta celda en función del contexto de la tabla"")"),"Piso flotante laminado de origen alemán, ideal para uso comercial intenso por su resistencia a la abrasión AC5. Con un espesor de 6+1 mm y sistema de instalación click, este modelo cuenta con bisel en sus cuatro lados, manto incorporado y protección resis"&amp;"tente al agua. Cada caja cubre una superficie de 2.26 m2.")</f>
        <v>Piso flotante laminado de origen alemán, ideal para uso comercial intenso por su resistencia a la abrasión AC5. Con un espesor de 6+1 mm y sistema de instalación click, este modelo cuenta con bisel en sus cuatro lados, manto incorporado y protección resistente al agua. Cada caja cubre una superficie de 2.26 m2.</v>
      </c>
    </row>
    <row r="67" ht="15.75" customHeight="1">
      <c r="A67" s="4">
        <v>25204.0</v>
      </c>
      <c r="B67" s="5" t="s">
        <v>33</v>
      </c>
      <c r="C67" s="5" t="s">
        <v>34</v>
      </c>
      <c r="D67" s="5" t="s">
        <v>35</v>
      </c>
      <c r="E67" s="5" t="s">
        <v>36</v>
      </c>
      <c r="F67" s="5" t="s">
        <v>37</v>
      </c>
      <c r="G67" s="5" t="s">
        <v>242</v>
      </c>
      <c r="H67" s="4" t="s">
        <v>243</v>
      </c>
      <c r="I67" s="5" t="s">
        <v>72</v>
      </c>
      <c r="J67" s="5" t="s">
        <v>60</v>
      </c>
      <c r="K67" s="5" t="s">
        <v>54</v>
      </c>
      <c r="L67" s="4">
        <v>10.0</v>
      </c>
      <c r="M67" s="5" t="s">
        <v>42</v>
      </c>
      <c r="N67" s="4" t="s">
        <v>55</v>
      </c>
      <c r="O67" s="4" t="s">
        <v>44</v>
      </c>
      <c r="P67" s="4" t="s">
        <v>45</v>
      </c>
      <c r="Q67" s="4">
        <v>245.0</v>
      </c>
      <c r="R67" s="5" t="s">
        <v>42</v>
      </c>
      <c r="S67" s="4">
        <v>2003.0</v>
      </c>
      <c r="T67" s="5" t="s">
        <v>42</v>
      </c>
      <c r="U67" s="4">
        <v>2.45</v>
      </c>
      <c r="V67" s="5" t="s">
        <v>46</v>
      </c>
      <c r="W67" s="4">
        <v>5.0</v>
      </c>
      <c r="X67" s="6">
        <v>16.0</v>
      </c>
      <c r="Y67" s="4" t="s">
        <v>47</v>
      </c>
      <c r="Z67" s="7">
        <f t="shared" si="1"/>
        <v>39.2</v>
      </c>
      <c r="AA67" s="4">
        <v>15.0</v>
      </c>
      <c r="AB67" s="8"/>
      <c r="AC67" s="8">
        <f t="shared" si="2"/>
        <v>0</v>
      </c>
      <c r="AD67" s="13">
        <v>399.35</v>
      </c>
      <c r="AE67" s="14" t="s">
        <v>244</v>
      </c>
      <c r="AF67" s="15"/>
      <c r="AG67" s="15"/>
      <c r="AH67" s="15"/>
      <c r="AI67" s="15"/>
      <c r="AJ67" s="15" t="str">
        <f>IFERROR(__xludf.DUMMYFUNCTION("AI(""Completa un valor adecuado para esta celda en función del contexto de la tabla"")"),"Piso flotante laminado de origen alemán, ideal para uso comercial intenso por su resistencia a la abrasión AC5. Con un espesor de 12 mm y sistema de instalación click, este modelo cuenta con bisel en sus cuatro lados y protección waterproof. Cada caja cub"&amp;"re una superficie de 1.51 m2.")</f>
        <v>Piso flotante laminado de origen alemán, ideal para uso comercial intenso por su resistencia a la abrasión AC5. Con un espesor de 12 mm y sistema de instalación click, este modelo cuenta con bisel en sus cuatro lados y protección waterproof. Cada caja cubre una superficie de 1.51 m2.</v>
      </c>
    </row>
    <row r="68" ht="15.75" customHeight="1">
      <c r="A68" s="4">
        <v>14168.0</v>
      </c>
      <c r="B68" s="5" t="s">
        <v>33</v>
      </c>
      <c r="C68" s="5" t="s">
        <v>34</v>
      </c>
      <c r="D68" s="5" t="s">
        <v>35</v>
      </c>
      <c r="E68" s="5" t="s">
        <v>36</v>
      </c>
      <c r="F68" s="5" t="s">
        <v>37</v>
      </c>
      <c r="G68" s="5" t="s">
        <v>245</v>
      </c>
      <c r="H68" s="4" t="s">
        <v>246</v>
      </c>
      <c r="I68" s="5" t="s">
        <v>39</v>
      </c>
      <c r="J68" s="5" t="s">
        <v>86</v>
      </c>
      <c r="K68" s="5" t="s">
        <v>54</v>
      </c>
      <c r="L68" s="4">
        <v>8.0</v>
      </c>
      <c r="M68" s="5" t="s">
        <v>42</v>
      </c>
      <c r="N68" s="4" t="s">
        <v>55</v>
      </c>
      <c r="O68" s="4" t="s">
        <v>44</v>
      </c>
      <c r="P68" s="4" t="s">
        <v>44</v>
      </c>
      <c r="Q68" s="4">
        <v>193.0</v>
      </c>
      <c r="R68" s="5" t="s">
        <v>42</v>
      </c>
      <c r="S68" s="4">
        <v>1380.0</v>
      </c>
      <c r="T68" s="5" t="s">
        <v>42</v>
      </c>
      <c r="U68" s="4">
        <v>2.13</v>
      </c>
      <c r="V68" s="5" t="s">
        <v>46</v>
      </c>
      <c r="W68" s="4">
        <v>8.0</v>
      </c>
      <c r="X68" s="6">
        <v>16.0</v>
      </c>
      <c r="Y68" s="4" t="s">
        <v>56</v>
      </c>
      <c r="Z68" s="7">
        <f t="shared" si="1"/>
        <v>34.08</v>
      </c>
      <c r="AA68" s="4">
        <v>15.0</v>
      </c>
      <c r="AB68" s="8"/>
      <c r="AC68" s="8">
        <f t="shared" si="2"/>
        <v>0</v>
      </c>
      <c r="AD68" s="13">
        <v>1462.31</v>
      </c>
      <c r="AE68" s="10" t="s">
        <v>247</v>
      </c>
      <c r="AF68" s="11"/>
      <c r="AG68" s="11"/>
      <c r="AH68" s="11"/>
      <c r="AI68" s="11"/>
      <c r="AJ68" s="11" t="str">
        <f>IFERROR(__xludf.DUMMYFUNCTION("AI(""Completa un valor adecuado para esta celda en función del contexto de la tabla"")"),"Piso flotante laminado de origen alemán, diseñado para uso comercial intenso con una alta resistencia a la abrasión AC5. Con un espesor de 6+1 mm y sistema de instalación click, este modelo incluye manto incorporado, bisel en sus lados y protección waterp"&amp;"roof. Cada caja cubre una superficie de 2.43 m2.")</f>
        <v>Piso flotante laminado de origen alemán, diseñado para uso comercial intenso con una alta resistencia a la abrasión AC5. Con un espesor de 6+1 mm y sistema de instalación click, este modelo incluye manto incorporado, bisel en sus lados y protección waterproof. Cada caja cubre una superficie de 2.43 m2.</v>
      </c>
    </row>
    <row r="69" ht="15.75" customHeight="1">
      <c r="A69" s="16">
        <v>24649.0</v>
      </c>
      <c r="B69" s="5" t="s">
        <v>33</v>
      </c>
      <c r="C69" s="5" t="s">
        <v>34</v>
      </c>
      <c r="D69" s="5" t="s">
        <v>35</v>
      </c>
      <c r="E69" s="17" t="s">
        <v>49</v>
      </c>
      <c r="F69" s="17" t="s">
        <v>37</v>
      </c>
      <c r="G69" s="18" t="s">
        <v>248</v>
      </c>
      <c r="H69" s="16" t="s">
        <v>249</v>
      </c>
      <c r="I69" s="5" t="s">
        <v>39</v>
      </c>
      <c r="J69" s="18" t="s">
        <v>250</v>
      </c>
      <c r="K69" s="5" t="s">
        <v>41</v>
      </c>
      <c r="L69" s="19">
        <v>6.5</v>
      </c>
      <c r="M69" s="17" t="s">
        <v>42</v>
      </c>
      <c r="N69" s="19" t="s">
        <v>43</v>
      </c>
      <c r="O69" s="19" t="s">
        <v>44</v>
      </c>
      <c r="P69" s="4" t="s">
        <v>45</v>
      </c>
      <c r="Q69" s="19">
        <v>193.0</v>
      </c>
      <c r="R69" s="17" t="s">
        <v>42</v>
      </c>
      <c r="S69" s="19">
        <v>1380.0</v>
      </c>
      <c r="T69" s="17" t="s">
        <v>42</v>
      </c>
      <c r="U69" s="19">
        <v>1.87</v>
      </c>
      <c r="V69" s="17" t="s">
        <v>46</v>
      </c>
      <c r="W69" s="16">
        <v>7.0</v>
      </c>
      <c r="X69" s="25">
        <v>33.0</v>
      </c>
      <c r="Y69" s="19" t="s">
        <v>61</v>
      </c>
      <c r="Z69" s="20">
        <f t="shared" si="1"/>
        <v>61.71</v>
      </c>
      <c r="AA69" s="4">
        <v>15.0</v>
      </c>
      <c r="AB69" s="16">
        <v>56.0</v>
      </c>
      <c r="AC69" s="8">
        <f t="shared" si="2"/>
        <v>840</v>
      </c>
      <c r="AD69" s="26">
        <v>731.17</v>
      </c>
      <c r="AE69" s="14" t="s">
        <v>251</v>
      </c>
      <c r="AF69" s="22"/>
      <c r="AG69" s="22"/>
      <c r="AH69" s="22"/>
      <c r="AI69" s="22"/>
      <c r="AJ69" s="22" t="str">
        <f>IFERROR(__xludf.DUMMYFUNCTION("AI(""Completa un valor adecuado para esta celda en función del contexto de la tabla"")"),"Piso flotante laminado de origen chino de la marca KS Flooring, ideal para uso comercial por su resistencia a la abrasión AC4. Con un espesor de 8 mm y sistema de instalación click, este modelo de la línea House cuenta con bisel y protección resistente al"&amp;" agua. Cada caja cubre una superficie de 2.17 m2.")</f>
        <v>Piso flotante laminado de origen chino de la marca KS Flooring, ideal para uso comercial por su resistencia a la abrasión AC4. Con un espesor de 8 mm y sistema de instalación click, este modelo de la línea House cuenta con bisel y protección resistente al agua. Cada caja cubre una superficie de 2.17 m2.</v>
      </c>
    </row>
    <row r="70" ht="15.75" customHeight="1">
      <c r="A70" s="16">
        <v>24651.0</v>
      </c>
      <c r="B70" s="5" t="s">
        <v>33</v>
      </c>
      <c r="C70" s="5" t="s">
        <v>34</v>
      </c>
      <c r="D70" s="5" t="s">
        <v>35</v>
      </c>
      <c r="E70" s="17" t="s">
        <v>49</v>
      </c>
      <c r="F70" s="17" t="s">
        <v>37</v>
      </c>
      <c r="G70" s="18" t="s">
        <v>252</v>
      </c>
      <c r="H70" s="16" t="s">
        <v>253</v>
      </c>
      <c r="I70" s="5" t="s">
        <v>39</v>
      </c>
      <c r="J70" s="18" t="s">
        <v>250</v>
      </c>
      <c r="K70" s="5" t="s">
        <v>41</v>
      </c>
      <c r="L70" s="19">
        <v>6.5</v>
      </c>
      <c r="M70" s="17" t="s">
        <v>42</v>
      </c>
      <c r="N70" s="19" t="s">
        <v>43</v>
      </c>
      <c r="O70" s="19" t="s">
        <v>44</v>
      </c>
      <c r="P70" s="4" t="s">
        <v>45</v>
      </c>
      <c r="Q70" s="19">
        <v>193.0</v>
      </c>
      <c r="R70" s="17" t="s">
        <v>42</v>
      </c>
      <c r="S70" s="19">
        <v>1380.0</v>
      </c>
      <c r="T70" s="17" t="s">
        <v>42</v>
      </c>
      <c r="U70" s="19">
        <v>1.87</v>
      </c>
      <c r="V70" s="17" t="s">
        <v>46</v>
      </c>
      <c r="W70" s="16">
        <v>7.0</v>
      </c>
      <c r="X70" s="25">
        <v>33.0</v>
      </c>
      <c r="Y70" s="19" t="s">
        <v>61</v>
      </c>
      <c r="Z70" s="20">
        <f t="shared" si="1"/>
        <v>61.71</v>
      </c>
      <c r="AA70" s="4">
        <v>15.0</v>
      </c>
      <c r="AB70" s="16">
        <v>56.0</v>
      </c>
      <c r="AC70" s="8">
        <f t="shared" si="2"/>
        <v>840</v>
      </c>
      <c r="AD70" s="26">
        <v>748.0</v>
      </c>
      <c r="AE70" s="10" t="s">
        <v>254</v>
      </c>
      <c r="AF70" s="24"/>
      <c r="AG70" s="24"/>
      <c r="AH70" s="24"/>
      <c r="AI70" s="24"/>
      <c r="AJ70" s="24" t="str">
        <f>IFERROR(__xludf.DUMMYFUNCTION("AI(""Completa un valor adecuado para esta celda en función del contexto de la tabla"")"),"Piso flotante laminado de origen alemán, ideal para uso comercial intenso por su resistencia a la abrasión AC5. Con un espesor de 6+1 mm, este modelo de la línea ORCA cuenta con bisel, manto incorporado y protección waterproof. Cada caja cubre una superfi"&amp;"cie de 3.44 m2.")</f>
        <v>Piso flotante laminado de origen alemán, ideal para uso comercial intenso por su resistencia a la abrasión AC5. Con un espesor de 6+1 mm, este modelo de la línea ORCA cuenta con bisel, manto incorporado y protección waterproof. Cada caja cubre una superficie de 3.44 m2.</v>
      </c>
    </row>
    <row r="71" ht="15.75" customHeight="1">
      <c r="A71" s="16">
        <v>24647.0</v>
      </c>
      <c r="B71" s="5" t="s">
        <v>33</v>
      </c>
      <c r="C71" s="5" t="s">
        <v>34</v>
      </c>
      <c r="D71" s="5" t="s">
        <v>35</v>
      </c>
      <c r="E71" s="17" t="s">
        <v>49</v>
      </c>
      <c r="F71" s="17" t="s">
        <v>37</v>
      </c>
      <c r="G71" s="18" t="s">
        <v>255</v>
      </c>
      <c r="H71" s="16" t="s">
        <v>256</v>
      </c>
      <c r="I71" s="5" t="s">
        <v>39</v>
      </c>
      <c r="J71" s="18" t="s">
        <v>250</v>
      </c>
      <c r="K71" s="5" t="s">
        <v>41</v>
      </c>
      <c r="L71" s="19">
        <v>6.5</v>
      </c>
      <c r="M71" s="17" t="s">
        <v>42</v>
      </c>
      <c r="N71" s="19" t="s">
        <v>43</v>
      </c>
      <c r="O71" s="19" t="s">
        <v>44</v>
      </c>
      <c r="P71" s="4" t="s">
        <v>45</v>
      </c>
      <c r="Q71" s="19">
        <v>193.0</v>
      </c>
      <c r="R71" s="17" t="s">
        <v>42</v>
      </c>
      <c r="S71" s="19">
        <v>1380.0</v>
      </c>
      <c r="T71" s="17" t="s">
        <v>42</v>
      </c>
      <c r="U71" s="19">
        <v>1.87</v>
      </c>
      <c r="V71" s="17" t="s">
        <v>46</v>
      </c>
      <c r="W71" s="16">
        <v>7.0</v>
      </c>
      <c r="X71" s="25">
        <v>33.0</v>
      </c>
      <c r="Y71" s="19" t="s">
        <v>61</v>
      </c>
      <c r="Z71" s="20">
        <f t="shared" si="1"/>
        <v>61.71</v>
      </c>
      <c r="AA71" s="4">
        <v>15.0</v>
      </c>
      <c r="AB71" s="16">
        <v>56.0</v>
      </c>
      <c r="AC71" s="8">
        <f t="shared" si="2"/>
        <v>840</v>
      </c>
      <c r="AD71" s="26">
        <v>89.76</v>
      </c>
      <c r="AE71" s="14" t="s">
        <v>257</v>
      </c>
      <c r="AF71" s="22"/>
      <c r="AG71" s="22"/>
      <c r="AH71" s="22"/>
      <c r="AI71" s="22"/>
      <c r="AJ71" s="22" t="str">
        <f>IFERROR(__xludf.DUMMYFUNCTION("AI(""Completa un valor adecuado para esta celda en función del contexto de la tabla"")"),"Piso flotante de origen alemán con tecnología Waterproof, diseñado para uso comercial intenso gracias a su resistencia AC5. Presenta un espesor de 6+1 mm con manto incorporado, bisel en los cuatro lados y un formato de tablas de 245 mm por 2003 mm. Su dis"&amp;"eño Blonde Montreux Oak ofrece durabilidad y una estética elegante, cubriendo 3.44 m2 por caja.")</f>
        <v>Piso flotante de origen alemán con tecnología Waterproof, diseñado para uso comercial intenso gracias a su resistencia AC5. Presenta un espesor de 6+1 mm con manto incorporado, bisel en los cuatro lados y un formato de tablas de 245 mm por 2003 mm. Su diseño Blonde Montreux Oak ofrece durabilidad y una estética elegante, cubriendo 3.44 m2 por caja.</v>
      </c>
    </row>
    <row r="72" ht="15.75" customHeight="1">
      <c r="A72" s="16">
        <v>24650.0</v>
      </c>
      <c r="B72" s="5" t="s">
        <v>33</v>
      </c>
      <c r="C72" s="5" t="s">
        <v>34</v>
      </c>
      <c r="D72" s="5" t="s">
        <v>35</v>
      </c>
      <c r="E72" s="17" t="s">
        <v>49</v>
      </c>
      <c r="F72" s="17" t="s">
        <v>37</v>
      </c>
      <c r="G72" s="18" t="s">
        <v>258</v>
      </c>
      <c r="H72" s="16" t="s">
        <v>259</v>
      </c>
      <c r="I72" s="5" t="s">
        <v>39</v>
      </c>
      <c r="J72" s="18" t="s">
        <v>250</v>
      </c>
      <c r="K72" s="5" t="s">
        <v>41</v>
      </c>
      <c r="L72" s="19">
        <v>6.5</v>
      </c>
      <c r="M72" s="17" t="s">
        <v>42</v>
      </c>
      <c r="N72" s="19" t="s">
        <v>43</v>
      </c>
      <c r="O72" s="19" t="s">
        <v>44</v>
      </c>
      <c r="P72" s="4" t="s">
        <v>45</v>
      </c>
      <c r="Q72" s="19">
        <v>193.0</v>
      </c>
      <c r="R72" s="17" t="s">
        <v>42</v>
      </c>
      <c r="S72" s="19">
        <v>1380.0</v>
      </c>
      <c r="T72" s="17" t="s">
        <v>42</v>
      </c>
      <c r="U72" s="19">
        <v>1.87</v>
      </c>
      <c r="V72" s="17" t="s">
        <v>46</v>
      </c>
      <c r="W72" s="16">
        <v>7.0</v>
      </c>
      <c r="X72" s="25">
        <v>33.0</v>
      </c>
      <c r="Y72" s="19" t="s">
        <v>61</v>
      </c>
      <c r="Z72" s="20">
        <f t="shared" si="1"/>
        <v>61.71</v>
      </c>
      <c r="AA72" s="4">
        <v>15.0</v>
      </c>
      <c r="AB72" s="16">
        <v>56.0</v>
      </c>
      <c r="AC72" s="8">
        <f t="shared" si="2"/>
        <v>840</v>
      </c>
      <c r="AD72" s="26">
        <v>589.05</v>
      </c>
      <c r="AE72" s="10" t="s">
        <v>260</v>
      </c>
      <c r="AF72" s="24"/>
      <c r="AG72" s="24"/>
      <c r="AH72" s="24"/>
      <c r="AI72" s="24"/>
      <c r="AJ72" s="24" t="str">
        <f>IFERROR(__xludf.DUMMYFUNCTION("AI(""Completa un valor adecuado para esta celda en función del contexto de la tabla"")"),"Piso flotante de origen chino con tecnología waterproof, diseñado para un uso comercial gracias a su clasificación de resistencia a la abrasión AC4. Con un espesor de 8 mm y sistema de instalación click, este modelo de la línea House cuenta con bisel y un"&amp;" diseño que imita la madera natural. Cada caja cubre una superficie de 2.17 m2.")</f>
        <v>Piso flotante de origen chino con tecnología waterproof, diseñado para un uso comercial gracias a su clasificación de resistencia a la abrasión AC4. Con un espesor de 8 mm y sistema de instalación click, este modelo de la línea House cuenta con bisel y un diseño que imita la madera natural. Cada caja cubre una superficie de 2.17 m2.</v>
      </c>
    </row>
    <row r="73" ht="15.75" customHeight="1">
      <c r="A73" s="16">
        <v>24648.0</v>
      </c>
      <c r="B73" s="5" t="s">
        <v>33</v>
      </c>
      <c r="C73" s="5" t="s">
        <v>34</v>
      </c>
      <c r="D73" s="5" t="s">
        <v>35</v>
      </c>
      <c r="E73" s="17" t="s">
        <v>49</v>
      </c>
      <c r="F73" s="17" t="s">
        <v>37</v>
      </c>
      <c r="G73" s="18" t="s">
        <v>261</v>
      </c>
      <c r="H73" s="16" t="s">
        <v>262</v>
      </c>
      <c r="I73" s="5" t="s">
        <v>39</v>
      </c>
      <c r="J73" s="18" t="s">
        <v>250</v>
      </c>
      <c r="K73" s="5" t="s">
        <v>41</v>
      </c>
      <c r="L73" s="19">
        <v>6.5</v>
      </c>
      <c r="M73" s="17" t="s">
        <v>42</v>
      </c>
      <c r="N73" s="19" t="s">
        <v>43</v>
      </c>
      <c r="O73" s="19" t="s">
        <v>44</v>
      </c>
      <c r="P73" s="4" t="s">
        <v>45</v>
      </c>
      <c r="Q73" s="19">
        <v>193.0</v>
      </c>
      <c r="R73" s="17" t="s">
        <v>42</v>
      </c>
      <c r="S73" s="19">
        <v>1380.0</v>
      </c>
      <c r="T73" s="17" t="s">
        <v>42</v>
      </c>
      <c r="U73" s="19">
        <v>1.87</v>
      </c>
      <c r="V73" s="17" t="s">
        <v>46</v>
      </c>
      <c r="W73" s="16">
        <v>7.0</v>
      </c>
      <c r="X73" s="25">
        <v>33.0</v>
      </c>
      <c r="Y73" s="19" t="s">
        <v>61</v>
      </c>
      <c r="Z73" s="20">
        <f t="shared" si="1"/>
        <v>61.71</v>
      </c>
      <c r="AA73" s="4">
        <v>15.0</v>
      </c>
      <c r="AB73" s="16">
        <v>56.0</v>
      </c>
      <c r="AC73" s="8">
        <f t="shared" si="2"/>
        <v>840</v>
      </c>
      <c r="AD73" s="26">
        <v>630.18</v>
      </c>
      <c r="AE73" s="14" t="s">
        <v>263</v>
      </c>
      <c r="AF73" s="22"/>
      <c r="AG73" s="22"/>
      <c r="AH73" s="22"/>
      <c r="AI73" s="22"/>
      <c r="AJ73" s="22" t="str">
        <f>IFERROR(__xludf.DUMMYFUNCTION("AI(""Completa un valor adecuado para esta celda en función del contexto de la tabla"")"),"Piso flotante laminado de origen alemán, ideal para uso comercial por su resistencia a la abrasión AC4. Con un espesor de 8 mm y sistema de instalación click, este modelo de la línea Exquisit Ancho cuenta con bisel en sus cuatro lados y un diseño de gran "&amp;"formato con un ancho de 244 mm. Cada caja cubre una superficie de 2.7 m2.")</f>
        <v>Piso flotante laminado de origen alemán, ideal para uso comercial por su resistencia a la abrasión AC4. Con un espesor de 8 mm y sistema de instalación click, este modelo de la línea Exquisit Ancho cuenta con bisel en sus cuatro lados y un diseño de gran formato con un ancho de 244 mm. Cada caja cubre una superficie de 2.7 m2.</v>
      </c>
    </row>
    <row r="74" ht="15.75" customHeight="1">
      <c r="A74" s="4">
        <v>14482.0</v>
      </c>
      <c r="B74" s="5" t="s">
        <v>33</v>
      </c>
      <c r="C74" s="5" t="s">
        <v>34</v>
      </c>
      <c r="D74" s="5" t="s">
        <v>35</v>
      </c>
      <c r="E74" s="5" t="s">
        <v>36</v>
      </c>
      <c r="F74" s="5" t="s">
        <v>37</v>
      </c>
      <c r="G74" s="5" t="s">
        <v>264</v>
      </c>
      <c r="H74" s="4">
        <v>4796.0</v>
      </c>
      <c r="I74" s="5" t="s">
        <v>39</v>
      </c>
      <c r="J74" s="5" t="s">
        <v>265</v>
      </c>
      <c r="K74" s="5" t="s">
        <v>41</v>
      </c>
      <c r="L74" s="4">
        <v>12.0</v>
      </c>
      <c r="M74" s="5" t="s">
        <v>42</v>
      </c>
      <c r="N74" s="4" t="s">
        <v>43</v>
      </c>
      <c r="O74" s="4" t="s">
        <v>44</v>
      </c>
      <c r="P74" s="4" t="s">
        <v>45</v>
      </c>
      <c r="Q74" s="4">
        <v>188.0</v>
      </c>
      <c r="R74" s="5" t="s">
        <v>42</v>
      </c>
      <c r="S74" s="4">
        <v>1850.0</v>
      </c>
      <c r="T74" s="5" t="s">
        <v>42</v>
      </c>
      <c r="U74" s="4">
        <v>1.39</v>
      </c>
      <c r="V74" s="5" t="s">
        <v>46</v>
      </c>
      <c r="W74" s="4">
        <v>4.0</v>
      </c>
      <c r="X74" s="6">
        <v>21.0</v>
      </c>
      <c r="Y74" s="4" t="s">
        <v>47</v>
      </c>
      <c r="Z74" s="7">
        <f t="shared" si="1"/>
        <v>29.19</v>
      </c>
      <c r="AA74" s="4">
        <v>15.0</v>
      </c>
      <c r="AB74" s="4">
        <v>56.0</v>
      </c>
      <c r="AC74" s="8">
        <f t="shared" si="2"/>
        <v>840</v>
      </c>
      <c r="AD74" s="13">
        <v>148.73</v>
      </c>
      <c r="AE74" s="10" t="s">
        <v>266</v>
      </c>
      <c r="AF74" s="11"/>
      <c r="AG74" s="11"/>
      <c r="AH74" s="11"/>
      <c r="AI74" s="11"/>
      <c r="AJ74" s="11" t="str">
        <f>IFERROR(__xludf.DUMMYFUNCTION("AI(""Completa un valor adecuado para esta celda en función del contexto de la tabla"")"),"Piso flotante de origen alemán con sistema resistente al agua y tecnología ORCA, diseñado para uso comercial intenso por su clasificación de resistencia AC5. Con un espesor de 6+1 mm, este modelo incluye manto incorporado y bisel en sus cuatro lados. Cada"&amp;" caja cubre una superficie de 3.44 m2.")</f>
        <v>Piso flotante de origen alemán con sistema resistente al agua y tecnología ORCA, diseñado para uso comercial intenso por su clasificación de resistencia AC5. Con un espesor de 6+1 mm, este modelo incluye manto incorporado y bisel en sus cuatro lados. Cada caja cubre una superficie de 3.44 m2.</v>
      </c>
    </row>
    <row r="75" ht="15.75" customHeight="1">
      <c r="A75" s="4">
        <v>24178.0</v>
      </c>
      <c r="B75" s="5" t="s">
        <v>33</v>
      </c>
      <c r="C75" s="5" t="s">
        <v>34</v>
      </c>
      <c r="D75" s="5" t="s">
        <v>35</v>
      </c>
      <c r="E75" s="5" t="s">
        <v>58</v>
      </c>
      <c r="F75" s="5" t="s">
        <v>37</v>
      </c>
      <c r="G75" s="5" t="s">
        <v>267</v>
      </c>
      <c r="H75" s="4" t="s">
        <v>268</v>
      </c>
      <c r="I75" s="5" t="s">
        <v>121</v>
      </c>
      <c r="J75" s="5" t="s">
        <v>60</v>
      </c>
      <c r="K75" s="5" t="s">
        <v>41</v>
      </c>
      <c r="L75" s="4">
        <v>12.0</v>
      </c>
      <c r="M75" s="5" t="s">
        <v>42</v>
      </c>
      <c r="N75" s="4" t="s">
        <v>43</v>
      </c>
      <c r="O75" s="4" t="s">
        <v>44</v>
      </c>
      <c r="P75" s="4" t="s">
        <v>45</v>
      </c>
      <c r="Q75" s="4">
        <v>191.0</v>
      </c>
      <c r="R75" s="5" t="s">
        <v>42</v>
      </c>
      <c r="S75" s="4">
        <v>1380.0</v>
      </c>
      <c r="T75" s="5" t="s">
        <v>42</v>
      </c>
      <c r="U75" s="4">
        <v>1.32</v>
      </c>
      <c r="V75" s="5" t="s">
        <v>46</v>
      </c>
      <c r="W75" s="4">
        <v>5.0</v>
      </c>
      <c r="X75" s="6">
        <v>19.9</v>
      </c>
      <c r="Y75" s="4" t="s">
        <v>47</v>
      </c>
      <c r="Z75" s="7">
        <f t="shared" si="1"/>
        <v>26.268</v>
      </c>
      <c r="AA75" s="4">
        <v>15.0</v>
      </c>
      <c r="AB75" s="8"/>
      <c r="AC75" s="8">
        <f t="shared" si="2"/>
        <v>0</v>
      </c>
      <c r="AD75" s="13">
        <v>366.96</v>
      </c>
      <c r="AE75" s="14" t="s">
        <v>269</v>
      </c>
      <c r="AF75" s="15"/>
      <c r="AG75" s="15"/>
      <c r="AH75" s="15"/>
      <c r="AI75" s="15"/>
      <c r="AJ75" s="15" t="str">
        <f>IFERROR(__xludf.DUMMYFUNCTION("AI(""Completa un valor adecuado para esta celda en función del contexto de la tabla"")"),"Piso flotante laminado de origen alemán, diseñado para uso comercial con resistencia a la abrasión AC4. Con un espesor de 8 mm y sistema de instalación Twin Clic, este modelo de la línea Variostep cuenta con bisel en sus cuatro lados y protección contra r"&amp;"ayos UV. Cada caja cubre una superficie de 2.22 m2.")</f>
        <v>Piso flotante laminado de origen alemán, diseñado para uso comercial con resistencia a la abrasión AC4. Con un espesor de 8 mm y sistema de instalación Twin Clic, este modelo de la línea Variostep cuenta con bisel en sus cuatro lados y protección contra rayos UV. Cada caja cubre una superficie de 2.22 m2.</v>
      </c>
    </row>
    <row r="76" ht="15.75" customHeight="1">
      <c r="A76" s="4">
        <v>5263.0</v>
      </c>
      <c r="B76" s="5" t="s">
        <v>33</v>
      </c>
      <c r="C76" s="5" t="s">
        <v>34</v>
      </c>
      <c r="D76" s="5" t="s">
        <v>35</v>
      </c>
      <c r="E76" s="5" t="s">
        <v>36</v>
      </c>
      <c r="F76" s="5" t="s">
        <v>37</v>
      </c>
      <c r="G76" s="5" t="s">
        <v>270</v>
      </c>
      <c r="H76" s="4" t="s">
        <v>271</v>
      </c>
      <c r="I76" s="5" t="s">
        <v>39</v>
      </c>
      <c r="J76" s="5" t="s">
        <v>195</v>
      </c>
      <c r="K76" s="5" t="s">
        <v>169</v>
      </c>
      <c r="L76" s="4">
        <v>7.0</v>
      </c>
      <c r="M76" s="5" t="s">
        <v>42</v>
      </c>
      <c r="N76" s="4" t="s">
        <v>170</v>
      </c>
      <c r="O76" s="4" t="s">
        <v>44</v>
      </c>
      <c r="P76" s="4" t="s">
        <v>44</v>
      </c>
      <c r="Q76" s="4">
        <v>193.0</v>
      </c>
      <c r="R76" s="5" t="s">
        <v>42</v>
      </c>
      <c r="S76" s="4">
        <v>1380.0</v>
      </c>
      <c r="T76" s="5" t="s">
        <v>42</v>
      </c>
      <c r="U76" s="4">
        <v>2.4</v>
      </c>
      <c r="V76" s="5" t="s">
        <v>46</v>
      </c>
      <c r="W76" s="4">
        <v>9.0</v>
      </c>
      <c r="X76" s="6">
        <v>13.1</v>
      </c>
      <c r="Y76" s="4" t="s">
        <v>56</v>
      </c>
      <c r="Z76" s="7">
        <f t="shared" si="1"/>
        <v>31.44</v>
      </c>
      <c r="AA76" s="4">
        <v>15.0</v>
      </c>
      <c r="AB76" s="8"/>
      <c r="AC76" s="8">
        <f t="shared" si="2"/>
        <v>0</v>
      </c>
      <c r="AD76" s="13">
        <v>5544.4</v>
      </c>
      <c r="AE76" s="10" t="s">
        <v>272</v>
      </c>
      <c r="AF76" s="11"/>
      <c r="AG76" s="11"/>
      <c r="AH76" s="11"/>
      <c r="AI76" s="11"/>
      <c r="AJ76" s="11" t="str">
        <f>IFERROR(__xludf.DUMMYFUNCTION("AI(""Completa un valor adecuado para esta celda en función del contexto de la tabla"")"),"Piso flotante de origen alemán, diseñado para uso comercial intenso con resistencia AC5. Con un espesor de 6+1 mm, este modelo waterproof incluye manto incorporado y bisel en sus cuatro lados. Cada caja rinde 3.44 m2.")</f>
        <v>Piso flotante de origen alemán, diseñado para uso comercial intenso con resistencia AC5. Con un espesor de 6+1 mm, este modelo waterproof incluye manto incorporado y bisel en sus cuatro lados. Cada caja rinde 3.44 m2.</v>
      </c>
    </row>
    <row r="77" ht="15.75" customHeight="1">
      <c r="A77" s="16">
        <v>24654.0</v>
      </c>
      <c r="B77" s="5" t="s">
        <v>33</v>
      </c>
      <c r="C77" s="5" t="s">
        <v>34</v>
      </c>
      <c r="D77" s="5" t="s">
        <v>35</v>
      </c>
      <c r="E77" s="17" t="s">
        <v>49</v>
      </c>
      <c r="F77" s="17" t="s">
        <v>37</v>
      </c>
      <c r="G77" s="18" t="s">
        <v>273</v>
      </c>
      <c r="H77" s="16" t="s">
        <v>274</v>
      </c>
      <c r="I77" s="5" t="s">
        <v>39</v>
      </c>
      <c r="J77" s="18" t="s">
        <v>250</v>
      </c>
      <c r="K77" s="5" t="s">
        <v>41</v>
      </c>
      <c r="L77" s="19">
        <v>6.5</v>
      </c>
      <c r="M77" s="17" t="s">
        <v>42</v>
      </c>
      <c r="N77" s="19" t="s">
        <v>43</v>
      </c>
      <c r="O77" s="19" t="s">
        <v>44</v>
      </c>
      <c r="P77" s="4" t="s">
        <v>45</v>
      </c>
      <c r="Q77" s="19">
        <v>193.0</v>
      </c>
      <c r="R77" s="17" t="s">
        <v>42</v>
      </c>
      <c r="S77" s="19">
        <v>1380.0</v>
      </c>
      <c r="T77" s="17" t="s">
        <v>42</v>
      </c>
      <c r="U77" s="19">
        <v>1.87</v>
      </c>
      <c r="V77" s="17" t="s">
        <v>46</v>
      </c>
      <c r="W77" s="16">
        <v>7.0</v>
      </c>
      <c r="X77" s="25">
        <v>33.0</v>
      </c>
      <c r="Y77" s="19" t="s">
        <v>61</v>
      </c>
      <c r="Z77" s="20">
        <f t="shared" si="1"/>
        <v>61.71</v>
      </c>
      <c r="AA77" s="4">
        <v>15.0</v>
      </c>
      <c r="AB77" s="16">
        <v>56.0</v>
      </c>
      <c r="AC77" s="8">
        <f t="shared" si="2"/>
        <v>840</v>
      </c>
      <c r="AD77" s="26">
        <v>714.33</v>
      </c>
      <c r="AE77" s="14" t="s">
        <v>275</v>
      </c>
      <c r="AF77" s="22"/>
      <c r="AG77" s="22"/>
      <c r="AH77" s="22"/>
      <c r="AI77" s="22"/>
      <c r="AJ77" s="22" t="str">
        <f>IFERROR(__xludf.DUMMYFUNCTION("AI(""Completa un valor adecuado para esta celda en función del contexto de la tabla"")"),"Piso flotante laminado de origen chino, diseñado para uso comercial con una resistencia a la abrasión AC4. Posee un espesor de 8 mm, sistema de biselado y tecnología waterproof para mayor durabilidad frente a la humedad. Cada caja contiene 9 tablas y rind"&amp;"e una superficie de 2.17 m2.")</f>
        <v>Piso flotante laminado de origen chino, diseñado para uso comercial con una resistencia a la abrasión AC4. Posee un espesor de 8 mm, sistema de biselado y tecnología waterproof para mayor durabilidad frente a la humedad. Cada caja contiene 9 tablas y rinde una superficie de 2.17 m2.</v>
      </c>
    </row>
    <row r="78" ht="15.75" customHeight="1">
      <c r="A78" s="16">
        <v>24653.0</v>
      </c>
      <c r="B78" s="5" t="s">
        <v>33</v>
      </c>
      <c r="C78" s="5" t="s">
        <v>34</v>
      </c>
      <c r="D78" s="5" t="s">
        <v>35</v>
      </c>
      <c r="E78" s="17" t="s">
        <v>49</v>
      </c>
      <c r="F78" s="17" t="s">
        <v>37</v>
      </c>
      <c r="G78" s="18" t="s">
        <v>276</v>
      </c>
      <c r="H78" s="16" t="s">
        <v>277</v>
      </c>
      <c r="I78" s="5" t="s">
        <v>39</v>
      </c>
      <c r="J78" s="18" t="s">
        <v>250</v>
      </c>
      <c r="K78" s="5" t="s">
        <v>41</v>
      </c>
      <c r="L78" s="16">
        <v>6.5</v>
      </c>
      <c r="M78" s="17" t="s">
        <v>42</v>
      </c>
      <c r="N78" s="19" t="s">
        <v>43</v>
      </c>
      <c r="O78" s="19" t="s">
        <v>44</v>
      </c>
      <c r="P78" s="4" t="s">
        <v>45</v>
      </c>
      <c r="Q78" s="16">
        <v>193.0</v>
      </c>
      <c r="R78" s="17" t="s">
        <v>42</v>
      </c>
      <c r="S78" s="16">
        <v>1380.0</v>
      </c>
      <c r="T78" s="17" t="s">
        <v>42</v>
      </c>
      <c r="U78" s="16">
        <v>1.87</v>
      </c>
      <c r="V78" s="17" t="s">
        <v>46</v>
      </c>
      <c r="W78" s="16">
        <v>7.0</v>
      </c>
      <c r="X78" s="25">
        <v>33.0</v>
      </c>
      <c r="Y78" s="19" t="s">
        <v>61</v>
      </c>
      <c r="Z78" s="20">
        <f t="shared" si="1"/>
        <v>61.71</v>
      </c>
      <c r="AA78" s="4">
        <v>15.0</v>
      </c>
      <c r="AB78" s="16">
        <v>56.0</v>
      </c>
      <c r="AC78" s="8">
        <f t="shared" si="2"/>
        <v>840</v>
      </c>
      <c r="AD78" s="21">
        <v>1746.57</v>
      </c>
      <c r="AE78" s="10" t="s">
        <v>278</v>
      </c>
      <c r="AF78" s="24"/>
      <c r="AG78" s="24"/>
      <c r="AH78" s="24"/>
      <c r="AI78" s="24"/>
      <c r="AJ78" s="24" t="str">
        <f>IFERROR(__xludf.DUMMYFUNCTION("AI(""Completa un valor adecuado para esta celda en función del contexto de la tabla"")"),"Piso flotante laminado de origen chino con tecnología waterproof y sistema de instalación click. Posee un espesor de 8 mm y resistencia a la abrasión AC4, lo que lo hace apto para uso comercial y residencial con alta durabilidad frente al desgaste. El dis"&amp;"eño Acatia cuenta con bisel y cada caja cubre una superficie de 2.17 m2.")</f>
        <v>Piso flotante laminado de origen chino con tecnología waterproof y sistema de instalación click. Posee un espesor de 8 mm y resistencia a la abrasión AC4, lo que lo hace apto para uso comercial y residencial con alta durabilidad frente al desgaste. El diseño Acatia cuenta con bisel y cada caja cubre una superficie de 2.17 m2.</v>
      </c>
    </row>
    <row r="79" ht="15.75" customHeight="1">
      <c r="A79" s="16">
        <v>24656.0</v>
      </c>
      <c r="B79" s="5" t="s">
        <v>33</v>
      </c>
      <c r="C79" s="5" t="s">
        <v>34</v>
      </c>
      <c r="D79" s="5" t="s">
        <v>35</v>
      </c>
      <c r="E79" s="17" t="s">
        <v>49</v>
      </c>
      <c r="F79" s="17" t="s">
        <v>37</v>
      </c>
      <c r="G79" s="18" t="s">
        <v>279</v>
      </c>
      <c r="H79" s="16" t="s">
        <v>280</v>
      </c>
      <c r="I79" s="5" t="s">
        <v>39</v>
      </c>
      <c r="J79" s="18" t="s">
        <v>250</v>
      </c>
      <c r="K79" s="5" t="s">
        <v>41</v>
      </c>
      <c r="L79" s="19">
        <v>6.5</v>
      </c>
      <c r="M79" s="17" t="s">
        <v>42</v>
      </c>
      <c r="N79" s="19" t="s">
        <v>43</v>
      </c>
      <c r="O79" s="19" t="s">
        <v>44</v>
      </c>
      <c r="P79" s="4" t="s">
        <v>45</v>
      </c>
      <c r="Q79" s="19">
        <v>193.0</v>
      </c>
      <c r="R79" s="17" t="s">
        <v>42</v>
      </c>
      <c r="S79" s="19">
        <v>1380.0</v>
      </c>
      <c r="T79" s="17" t="s">
        <v>42</v>
      </c>
      <c r="U79" s="19">
        <v>1.87</v>
      </c>
      <c r="V79" s="17" t="s">
        <v>46</v>
      </c>
      <c r="W79" s="16">
        <v>7.0</v>
      </c>
      <c r="X79" s="25">
        <v>33.0</v>
      </c>
      <c r="Y79" s="19" t="s">
        <v>61</v>
      </c>
      <c r="Z79" s="20">
        <f t="shared" si="1"/>
        <v>61.71</v>
      </c>
      <c r="AA79" s="4">
        <v>15.0</v>
      </c>
      <c r="AB79" s="16">
        <v>56.0</v>
      </c>
      <c r="AC79" s="8">
        <f t="shared" si="2"/>
        <v>840</v>
      </c>
      <c r="AD79" s="26">
        <v>476.85</v>
      </c>
      <c r="AE79" s="14" t="s">
        <v>281</v>
      </c>
      <c r="AF79" s="22"/>
      <c r="AG79" s="22"/>
      <c r="AH79" s="22"/>
      <c r="AI79" s="22"/>
      <c r="AJ79" s="22" t="str">
        <f>IFERROR(__xludf.DUMMYFUNCTION("AI(""Completa un valor adecuado para esta celda en función del contexto de la tabla"")"),"Piso flotante laminado de origen alemán, marca Swiss Krono, ideal para uso comercial gracias a su resistencia a la abrasión AC4. Con un espesor de 8 mm, este modelo de la línea Oferta presenta un diseño con bisel y un sistema de instalación flotante. Cada"&amp;" caja rinde 1.24 m2 y contiene 14 tablas.")</f>
        <v>Piso flotante laminado de origen alemán, marca Swiss Krono, ideal para uso comercial gracias a su resistencia a la abrasión AC4. Con un espesor de 8 mm, este modelo de la línea Oferta presenta un diseño con bisel y un sistema de instalación flotante. Cada caja rinde 1.24 m2 y contiene 14 tablas.</v>
      </c>
    </row>
    <row r="80" ht="15.75" customHeight="1">
      <c r="A80" s="16">
        <v>24655.0</v>
      </c>
      <c r="B80" s="5" t="s">
        <v>33</v>
      </c>
      <c r="C80" s="5" t="s">
        <v>34</v>
      </c>
      <c r="D80" s="5" t="s">
        <v>35</v>
      </c>
      <c r="E80" s="17" t="s">
        <v>49</v>
      </c>
      <c r="F80" s="17" t="s">
        <v>37</v>
      </c>
      <c r="G80" s="18" t="s">
        <v>282</v>
      </c>
      <c r="H80" s="16" t="s">
        <v>283</v>
      </c>
      <c r="I80" s="5" t="s">
        <v>39</v>
      </c>
      <c r="J80" s="18" t="s">
        <v>250</v>
      </c>
      <c r="K80" s="5" t="s">
        <v>41</v>
      </c>
      <c r="L80" s="19">
        <v>6.5</v>
      </c>
      <c r="M80" s="17" t="s">
        <v>42</v>
      </c>
      <c r="N80" s="19" t="s">
        <v>43</v>
      </c>
      <c r="O80" s="19" t="s">
        <v>44</v>
      </c>
      <c r="P80" s="4" t="s">
        <v>45</v>
      </c>
      <c r="Q80" s="19">
        <v>193.0</v>
      </c>
      <c r="R80" s="17" t="s">
        <v>42</v>
      </c>
      <c r="S80" s="19">
        <v>1380.0</v>
      </c>
      <c r="T80" s="17" t="s">
        <v>42</v>
      </c>
      <c r="U80" s="19">
        <v>1.87</v>
      </c>
      <c r="V80" s="17" t="s">
        <v>46</v>
      </c>
      <c r="W80" s="16">
        <v>7.0</v>
      </c>
      <c r="X80" s="25">
        <v>33.0</v>
      </c>
      <c r="Y80" s="19" t="s">
        <v>61</v>
      </c>
      <c r="Z80" s="20">
        <f t="shared" si="1"/>
        <v>61.71</v>
      </c>
      <c r="AA80" s="4">
        <v>15.0</v>
      </c>
      <c r="AB80" s="16">
        <v>56.0</v>
      </c>
      <c r="AC80" s="8">
        <f t="shared" si="2"/>
        <v>840</v>
      </c>
      <c r="AD80" s="26">
        <v>867.67</v>
      </c>
      <c r="AE80" s="10" t="s">
        <v>284</v>
      </c>
      <c r="AF80" s="24"/>
      <c r="AG80" s="24"/>
      <c r="AH80" s="24"/>
      <c r="AI80" s="24"/>
      <c r="AJ80" s="24" t="str">
        <f>IFERROR(__xludf.DUMMYFUNCTION("AI(""Completa un valor adecuado para esta celda en función del contexto de la tabla"")"),"Piso flotante laminado de origen alemán, marca Krono Original, ideal para uso comercial por su resistencia a la abrasión AC4. Con un espesor de 8 mm y sistema de instalación click, este modelo cuenta con bisel en sus cuatro lados y tecnología Aquastop par"&amp;"a mayor tolerancia a la humedad. Cada caja cubre una superficie de 2.22 m2.")</f>
        <v>Piso flotante laminado de origen alemán, marca Krono Original, ideal para uso comercial por su resistencia a la abrasión AC4. Con un espesor de 8 mm y sistema de instalación click, este modelo cuenta con bisel en sus cuatro lados y tecnología Aquastop para mayor tolerancia a la humedad. Cada caja cubre una superficie de 2.22 m2.</v>
      </c>
    </row>
    <row r="81" ht="15.75" customHeight="1">
      <c r="A81" s="16">
        <v>24652.0</v>
      </c>
      <c r="B81" s="5" t="s">
        <v>33</v>
      </c>
      <c r="C81" s="5" t="s">
        <v>34</v>
      </c>
      <c r="D81" s="5" t="s">
        <v>35</v>
      </c>
      <c r="E81" s="17" t="s">
        <v>49</v>
      </c>
      <c r="F81" s="17" t="s">
        <v>37</v>
      </c>
      <c r="G81" s="18" t="s">
        <v>285</v>
      </c>
      <c r="H81" s="16" t="s">
        <v>286</v>
      </c>
      <c r="I81" s="5" t="s">
        <v>39</v>
      </c>
      <c r="J81" s="18" t="s">
        <v>250</v>
      </c>
      <c r="K81" s="5" t="s">
        <v>41</v>
      </c>
      <c r="L81" s="16">
        <v>6.5</v>
      </c>
      <c r="M81" s="17" t="s">
        <v>42</v>
      </c>
      <c r="N81" s="19" t="s">
        <v>43</v>
      </c>
      <c r="O81" s="19" t="s">
        <v>44</v>
      </c>
      <c r="P81" s="4" t="s">
        <v>45</v>
      </c>
      <c r="Q81" s="16">
        <v>193.0</v>
      </c>
      <c r="R81" s="17" t="s">
        <v>42</v>
      </c>
      <c r="S81" s="16">
        <v>1380.0</v>
      </c>
      <c r="T81" s="17" t="s">
        <v>42</v>
      </c>
      <c r="U81" s="16">
        <v>1.87</v>
      </c>
      <c r="V81" s="17" t="s">
        <v>46</v>
      </c>
      <c r="W81" s="16">
        <v>7.0</v>
      </c>
      <c r="X81" s="25">
        <v>24.2</v>
      </c>
      <c r="Y81" s="19" t="s">
        <v>61</v>
      </c>
      <c r="Z81" s="20">
        <f t="shared" si="1"/>
        <v>45.254</v>
      </c>
      <c r="AA81" s="4">
        <v>15.0</v>
      </c>
      <c r="AB81" s="16">
        <v>56.0</v>
      </c>
      <c r="AC81" s="8">
        <f t="shared" si="2"/>
        <v>840</v>
      </c>
      <c r="AD81" s="21">
        <v>2047.65</v>
      </c>
      <c r="AE81" s="14" t="s">
        <v>287</v>
      </c>
      <c r="AF81" s="22"/>
      <c r="AG81" s="22"/>
      <c r="AH81" s="22"/>
      <c r="AI81" s="22"/>
      <c r="AJ81" s="22" t="str">
        <f>IFERROR(__xludf.DUMMYFUNCTION("AI(""Completa un valor adecuado para esta celda en función del contexto de la tabla"")"),"Piso flotante laminado de origen alemán, diseñado para uso comercial por su resistencia a la abrasión AC4. Con un espesor de 8 mm y sistema de instalación click, este modelo de la línea Exquisit Ancho cuenta con un diseño de gran formato (244 mm de ancho)"&amp;" y bisel en sus cuatro lados. Cada caja cubre una superficie de 2.7 m2.")</f>
        <v>Piso flotante laminado de origen alemán, diseñado para uso comercial por su resistencia a la abrasión AC4. Con un espesor de 8 mm y sistema de instalación click, este modelo de la línea Exquisit Ancho cuenta con un diseño de gran formato (244 mm de ancho) y bisel en sus cuatro lados. Cada caja cubre una superficie de 2.7 m2.</v>
      </c>
    </row>
    <row r="82" ht="15.75" customHeight="1">
      <c r="A82" s="4">
        <v>18277.0</v>
      </c>
      <c r="B82" s="5" t="s">
        <v>33</v>
      </c>
      <c r="C82" s="5" t="s">
        <v>34</v>
      </c>
      <c r="D82" s="5" t="s">
        <v>35</v>
      </c>
      <c r="E82" s="5" t="s">
        <v>36</v>
      </c>
      <c r="F82" s="5" t="s">
        <v>37</v>
      </c>
      <c r="G82" s="5" t="s">
        <v>288</v>
      </c>
      <c r="H82" s="4" t="s">
        <v>289</v>
      </c>
      <c r="I82" s="5" t="s">
        <v>39</v>
      </c>
      <c r="J82" s="5" t="s">
        <v>86</v>
      </c>
      <c r="K82" s="5" t="s">
        <v>54</v>
      </c>
      <c r="L82" s="4">
        <v>8.0</v>
      </c>
      <c r="M82" s="5" t="s">
        <v>42</v>
      </c>
      <c r="N82" s="4" t="s">
        <v>55</v>
      </c>
      <c r="O82" s="4" t="s">
        <v>44</v>
      </c>
      <c r="P82" s="4" t="s">
        <v>44</v>
      </c>
      <c r="Q82" s="4">
        <v>193.0</v>
      </c>
      <c r="R82" s="5" t="s">
        <v>42</v>
      </c>
      <c r="S82" s="4">
        <v>1380.0</v>
      </c>
      <c r="T82" s="5" t="s">
        <v>42</v>
      </c>
      <c r="U82" s="4">
        <v>2.13</v>
      </c>
      <c r="V82" s="5" t="s">
        <v>46</v>
      </c>
      <c r="W82" s="4">
        <v>8.0</v>
      </c>
      <c r="X82" s="6">
        <v>16.0</v>
      </c>
      <c r="Y82" s="4" t="s">
        <v>56</v>
      </c>
      <c r="Z82" s="7">
        <f t="shared" si="1"/>
        <v>34.08</v>
      </c>
      <c r="AA82" s="4">
        <v>15.0</v>
      </c>
      <c r="AB82" s="8"/>
      <c r="AC82" s="8">
        <f t="shared" si="2"/>
        <v>0</v>
      </c>
      <c r="AD82" s="13">
        <v>181.03</v>
      </c>
      <c r="AE82" s="10" t="s">
        <v>290</v>
      </c>
      <c r="AF82" s="11"/>
      <c r="AG82" s="11"/>
      <c r="AH82" s="11"/>
      <c r="AI82" s="11"/>
      <c r="AJ82" s="11" t="str">
        <f>IFERROR(__xludf.DUMMYFUNCTION("AI(""Completa un valor adecuado para esta celda en función del contexto de la tabla"")"),"Piso flotante laminado de origen alemán, diseñado para uso comercial por su resistencia a la abrasión AC4. Con un espesor de 8 mm y sistema de instalación click, este modelo de la línea Variostep cuenta con bisel en sus cuatro lados. Cada caja rinde 2.22 "&amp;"m2 y tiene un peso de 15 kg.")</f>
        <v>Piso flotante laminado de origen alemán, diseñado para uso comercial por su resistencia a la abrasión AC4. Con un espesor de 8 mm y sistema de instalación click, este modelo de la línea Variostep cuenta con bisel en sus cuatro lados. Cada caja rinde 2.22 m2 y tiene un peso de 15 kg.</v>
      </c>
    </row>
    <row r="83" ht="15.75" customHeight="1">
      <c r="A83" s="4">
        <v>25208.0</v>
      </c>
      <c r="B83" s="5" t="s">
        <v>33</v>
      </c>
      <c r="C83" s="5" t="s">
        <v>34</v>
      </c>
      <c r="D83" s="5" t="s">
        <v>35</v>
      </c>
      <c r="E83" s="5" t="s">
        <v>49</v>
      </c>
      <c r="F83" s="5" t="s">
        <v>37</v>
      </c>
      <c r="G83" s="5" t="s">
        <v>291</v>
      </c>
      <c r="H83" s="4" t="s">
        <v>292</v>
      </c>
      <c r="I83" s="5" t="s">
        <v>72</v>
      </c>
      <c r="J83" s="17" t="s">
        <v>80</v>
      </c>
      <c r="K83" s="5" t="s">
        <v>41</v>
      </c>
      <c r="L83" s="4" t="s">
        <v>95</v>
      </c>
      <c r="M83" s="5" t="s">
        <v>42</v>
      </c>
      <c r="N83" s="4" t="s">
        <v>43</v>
      </c>
      <c r="O83" s="4" t="s">
        <v>45</v>
      </c>
      <c r="P83" s="4" t="s">
        <v>45</v>
      </c>
      <c r="Q83" s="4">
        <v>189.0</v>
      </c>
      <c r="R83" s="5" t="s">
        <v>42</v>
      </c>
      <c r="S83" s="4">
        <v>1288.0</v>
      </c>
      <c r="T83" s="5" t="s">
        <v>42</v>
      </c>
      <c r="U83" s="4">
        <v>2.43</v>
      </c>
      <c r="V83" s="5" t="s">
        <v>46</v>
      </c>
      <c r="W83" s="4">
        <v>10.0</v>
      </c>
      <c r="X83" s="6">
        <v>21.2</v>
      </c>
      <c r="Y83" s="4" t="s">
        <v>162</v>
      </c>
      <c r="Z83" s="7">
        <f t="shared" si="1"/>
        <v>51.516</v>
      </c>
      <c r="AA83" s="4">
        <v>15.0</v>
      </c>
      <c r="AB83" s="4">
        <v>52.0</v>
      </c>
      <c r="AC83" s="8">
        <f t="shared" si="2"/>
        <v>780</v>
      </c>
      <c r="AD83" s="13">
        <v>21.87</v>
      </c>
      <c r="AE83" s="14" t="s">
        <v>293</v>
      </c>
      <c r="AF83" s="15"/>
      <c r="AG83" s="15"/>
      <c r="AH83" s="15"/>
      <c r="AI83" s="15"/>
      <c r="AJ83" s="15" t="str">
        <f>IFERROR(__xludf.DUMMYFUNCTION("AI(""Completa un valor adecuado para esta celda en función del contexto de la tabla"")"),"Piso flotante laminado de origen alemán, diseñado para uso comercial intenso gracias a su resistencia a la abrasión AC5. Posee un espesor de 8 mm y cuenta con bisel en sus tablas para un acabado elegante. No incluye manto incorporado y cada caja rinde una"&amp;" superficie de 2.26 m2.")</f>
        <v>Piso flotante laminado de origen alemán, diseñado para uso comercial intenso gracias a su resistencia a la abrasión AC5. Posee un espesor de 8 mm y cuenta con bisel en sus tablas para un acabado elegante. No incluye manto incorporado y cada caja rinde una superficie de 2.26 m2.</v>
      </c>
    </row>
    <row r="84" ht="15.75" customHeight="1">
      <c r="A84" s="4">
        <v>25284.0</v>
      </c>
      <c r="B84" s="5" t="s">
        <v>33</v>
      </c>
      <c r="C84" s="5" t="s">
        <v>34</v>
      </c>
      <c r="D84" s="5" t="s">
        <v>35</v>
      </c>
      <c r="E84" s="5" t="s">
        <v>58</v>
      </c>
      <c r="F84" s="5" t="s">
        <v>37</v>
      </c>
      <c r="G84" s="5" t="s">
        <v>294</v>
      </c>
      <c r="H84" s="4">
        <v>6802.0</v>
      </c>
      <c r="I84" s="5" t="s">
        <v>72</v>
      </c>
      <c r="J84" s="5" t="s">
        <v>73</v>
      </c>
      <c r="K84" s="5" t="s">
        <v>54</v>
      </c>
      <c r="L84" s="4">
        <v>8.0</v>
      </c>
      <c r="M84" s="5" t="s">
        <v>42</v>
      </c>
      <c r="N84" s="4" t="s">
        <v>55</v>
      </c>
      <c r="O84" s="4" t="s">
        <v>44</v>
      </c>
      <c r="P84" s="4" t="s">
        <v>74</v>
      </c>
      <c r="Q84" s="4">
        <v>330.0</v>
      </c>
      <c r="R84" s="5" t="s">
        <v>42</v>
      </c>
      <c r="S84" s="4">
        <v>1290.0</v>
      </c>
      <c r="T84" s="5" t="s">
        <v>42</v>
      </c>
      <c r="U84" s="4">
        <v>2.55</v>
      </c>
      <c r="V84" s="5" t="s">
        <v>46</v>
      </c>
      <c r="W84" s="4">
        <v>6.0</v>
      </c>
      <c r="X84" s="6">
        <v>21.5</v>
      </c>
      <c r="Y84" s="4" t="s">
        <v>47</v>
      </c>
      <c r="Z84" s="7">
        <f t="shared" si="1"/>
        <v>54.825</v>
      </c>
      <c r="AA84" s="4">
        <v>15.0</v>
      </c>
      <c r="AB84" s="4">
        <v>56.0</v>
      </c>
      <c r="AC84" s="8">
        <f t="shared" si="2"/>
        <v>840</v>
      </c>
      <c r="AD84" s="13">
        <v>1565.7</v>
      </c>
      <c r="AE84" s="10" t="s">
        <v>295</v>
      </c>
      <c r="AF84" s="11"/>
      <c r="AG84" s="11"/>
      <c r="AH84" s="11"/>
      <c r="AI84" s="11"/>
      <c r="AJ84" s="11" t="str">
        <f>IFERROR(__xludf.DUMMYFUNCTION("AI(""Completa un valor adecuado para esta celda en función del contexto de la tabla"")"),"Piso flotante laminado de origen alemán, marca Kronotex, diseñado para uso comercial con resistencia a la abrasión AC4. Con un espesor de 8 mm y sistema de instalación click con bisel, este modelo de la línea Oferta ofrece durabilidad y facilidad de mante"&amp;"nimiento. Cada caja contiene 14 tablas y cubre una superficie de 1.24 m2.")</f>
        <v>Piso flotante laminado de origen alemán, marca Kronotex, diseñado para uso comercial con resistencia a la abrasión AC4. Con un espesor de 8 mm y sistema de instalación click con bisel, este modelo de la línea Oferta ofrece durabilidad y facilidad de mantenimiento. Cada caja contiene 14 tablas y cubre una superficie de 1.24 m2.</v>
      </c>
    </row>
    <row r="85" ht="15.75" customHeight="1">
      <c r="A85" s="4">
        <v>25283.0</v>
      </c>
      <c r="B85" s="5" t="s">
        <v>33</v>
      </c>
      <c r="C85" s="5" t="s">
        <v>34</v>
      </c>
      <c r="D85" s="5" t="s">
        <v>35</v>
      </c>
      <c r="E85" s="5" t="s">
        <v>58</v>
      </c>
      <c r="F85" s="5" t="s">
        <v>37</v>
      </c>
      <c r="G85" s="5" t="s">
        <v>296</v>
      </c>
      <c r="H85" s="4">
        <v>6804.0</v>
      </c>
      <c r="I85" s="5" t="s">
        <v>72</v>
      </c>
      <c r="J85" s="5" t="s">
        <v>73</v>
      </c>
      <c r="K85" s="5" t="s">
        <v>54</v>
      </c>
      <c r="L85" s="4">
        <v>8.0</v>
      </c>
      <c r="M85" s="5" t="s">
        <v>42</v>
      </c>
      <c r="N85" s="4" t="s">
        <v>55</v>
      </c>
      <c r="O85" s="4" t="s">
        <v>44</v>
      </c>
      <c r="P85" s="4" t="s">
        <v>74</v>
      </c>
      <c r="Q85" s="4">
        <v>330.0</v>
      </c>
      <c r="R85" s="5" t="s">
        <v>42</v>
      </c>
      <c r="S85" s="4">
        <v>1290.0</v>
      </c>
      <c r="T85" s="5" t="s">
        <v>42</v>
      </c>
      <c r="U85" s="4">
        <v>2.55</v>
      </c>
      <c r="V85" s="5" t="s">
        <v>46</v>
      </c>
      <c r="W85" s="4">
        <v>6.0</v>
      </c>
      <c r="X85" s="6">
        <v>21.5</v>
      </c>
      <c r="Y85" s="4" t="s">
        <v>47</v>
      </c>
      <c r="Z85" s="7">
        <f t="shared" si="1"/>
        <v>54.825</v>
      </c>
      <c r="AA85" s="4">
        <v>15.0</v>
      </c>
      <c r="AB85" s="4">
        <v>56.0</v>
      </c>
      <c r="AC85" s="8">
        <f t="shared" si="2"/>
        <v>840</v>
      </c>
      <c r="AD85" s="13">
        <v>1626.89</v>
      </c>
      <c r="AE85" s="14" t="s">
        <v>297</v>
      </c>
      <c r="AF85" s="15"/>
      <c r="AG85" s="15"/>
      <c r="AH85" s="15"/>
      <c r="AI85" s="15"/>
      <c r="AJ85" s="15" t="str">
        <f>IFERROR(__xludf.DUMMYFUNCTION("AI(""Completa un valor adecuado para esta celda en función del contexto de la tabla"")"),"Piso flotante laminado de origen alemán, marca Kronotex, diseñado para uso comercial con una resistencia a la abrasión AC4. Con un espesor de 8 mm y sistema de instalación click, este modelo de la línea Oferta cuenta con bisel y un diseño decorativo Pesar"&amp;"o Zement punta Azul. Cada caja contiene 14 tablas y cubre una superficie de 1.24 m2.")</f>
        <v>Piso flotante laminado de origen alemán, marca Kronotex, diseñado para uso comercial con una resistencia a la abrasión AC4. Con un espesor de 8 mm y sistema de instalación click, este modelo de la línea Oferta cuenta con bisel y un diseño decorativo Pesaro Zement punta Azul. Cada caja contiene 14 tablas y cubre una superficie de 1.24 m2.</v>
      </c>
    </row>
    <row r="86" ht="15.75" customHeight="1">
      <c r="A86" s="4">
        <v>25082.0</v>
      </c>
      <c r="B86" s="5" t="s">
        <v>33</v>
      </c>
      <c r="C86" s="5" t="s">
        <v>34</v>
      </c>
      <c r="D86" s="5" t="s">
        <v>35</v>
      </c>
      <c r="E86" s="5" t="s">
        <v>58</v>
      </c>
      <c r="F86" s="5" t="s">
        <v>37</v>
      </c>
      <c r="G86" s="5" t="s">
        <v>298</v>
      </c>
      <c r="H86" s="4">
        <v>6553.0</v>
      </c>
      <c r="I86" s="5" t="s">
        <v>72</v>
      </c>
      <c r="J86" s="5" t="s">
        <v>73</v>
      </c>
      <c r="K86" s="5" t="s">
        <v>54</v>
      </c>
      <c r="L86" s="4">
        <v>8.0</v>
      </c>
      <c r="M86" s="5" t="s">
        <v>42</v>
      </c>
      <c r="N86" s="4" t="s">
        <v>55</v>
      </c>
      <c r="O86" s="4" t="s">
        <v>44</v>
      </c>
      <c r="P86" s="4" t="s">
        <v>74</v>
      </c>
      <c r="Q86" s="4">
        <v>195.0</v>
      </c>
      <c r="R86" s="5" t="s">
        <v>42</v>
      </c>
      <c r="S86" s="4">
        <v>1288.0</v>
      </c>
      <c r="T86" s="5" t="s">
        <v>42</v>
      </c>
      <c r="U86" s="4">
        <v>2.26</v>
      </c>
      <c r="V86" s="5" t="s">
        <v>46</v>
      </c>
      <c r="W86" s="4">
        <v>9.0</v>
      </c>
      <c r="X86" s="6">
        <v>21.5</v>
      </c>
      <c r="Y86" s="4" t="s">
        <v>47</v>
      </c>
      <c r="Z86" s="7">
        <f t="shared" si="1"/>
        <v>48.59</v>
      </c>
      <c r="AA86" s="4">
        <v>15.0</v>
      </c>
      <c r="AB86" s="4">
        <v>56.0</v>
      </c>
      <c r="AC86" s="8">
        <f t="shared" si="2"/>
        <v>840</v>
      </c>
      <c r="AD86" s="13">
        <v>2815.96</v>
      </c>
      <c r="AE86" s="10" t="s">
        <v>299</v>
      </c>
      <c r="AF86" s="11"/>
      <c r="AG86" s="11"/>
      <c r="AH86" s="11"/>
      <c r="AI86" s="11"/>
      <c r="AJ86" s="11" t="str">
        <f>IFERROR(__xludf.DUMMYFUNCTION("AI(""Completa un valor adecuado para esta celda en función del contexto de la tabla"")"),"Piso flotante laminado de origen alemán, marca Kronotex, diseñado para un uso comercial gracias a su resistencia a la abrasión AC4. Con un espesor de 8 mm y sistema de instalación click, este modelo de la línea Oferta cuenta con bisel y un diseño que apor"&amp;"ta elegancia y durabilidad a los espacios interiores. Cada caja contiene 8 tablas y cubre una superficie de 2.13 m2.")</f>
        <v>Piso flotante laminado de origen alemán, marca Kronotex, diseñado para un uso comercial gracias a su resistencia a la abrasión AC4. Con un espesor de 8 mm y sistema de instalación click, este modelo de la línea Oferta cuenta con bisel y un diseño que aporta elegancia y durabilidad a los espacios interiores. Cada caja contiene 8 tablas y cubre una superficie de 2.13 m2.</v>
      </c>
    </row>
    <row r="87" ht="15.75" customHeight="1">
      <c r="A87" s="4">
        <v>25282.0</v>
      </c>
      <c r="B87" s="5" t="s">
        <v>33</v>
      </c>
      <c r="C87" s="5" t="s">
        <v>34</v>
      </c>
      <c r="D87" s="5" t="s">
        <v>35</v>
      </c>
      <c r="E87" s="5" t="s">
        <v>58</v>
      </c>
      <c r="F87" s="5" t="s">
        <v>37</v>
      </c>
      <c r="G87" s="5" t="s">
        <v>300</v>
      </c>
      <c r="H87" s="4">
        <v>6805.0</v>
      </c>
      <c r="I87" s="5" t="s">
        <v>72</v>
      </c>
      <c r="J87" s="5" t="s">
        <v>73</v>
      </c>
      <c r="K87" s="5" t="s">
        <v>54</v>
      </c>
      <c r="L87" s="4">
        <v>8.0</v>
      </c>
      <c r="M87" s="5" t="s">
        <v>42</v>
      </c>
      <c r="N87" s="4" t="s">
        <v>55</v>
      </c>
      <c r="O87" s="4" t="s">
        <v>44</v>
      </c>
      <c r="P87" s="4" t="s">
        <v>74</v>
      </c>
      <c r="Q87" s="4">
        <v>330.0</v>
      </c>
      <c r="R87" s="5" t="s">
        <v>42</v>
      </c>
      <c r="S87" s="4">
        <v>1290.0</v>
      </c>
      <c r="T87" s="5" t="s">
        <v>42</v>
      </c>
      <c r="U87" s="4">
        <v>2.55</v>
      </c>
      <c r="V87" s="5" t="s">
        <v>46</v>
      </c>
      <c r="W87" s="4">
        <v>6.0</v>
      </c>
      <c r="X87" s="6">
        <v>21.5</v>
      </c>
      <c r="Y87" s="4" t="s">
        <v>47</v>
      </c>
      <c r="Z87" s="7">
        <f t="shared" si="1"/>
        <v>54.825</v>
      </c>
      <c r="AA87" s="4">
        <v>15.0</v>
      </c>
      <c r="AB87" s="4">
        <v>56.0</v>
      </c>
      <c r="AC87" s="8">
        <f t="shared" si="2"/>
        <v>840</v>
      </c>
      <c r="AD87" s="13">
        <v>1637.1</v>
      </c>
      <c r="AE87" s="14" t="s">
        <v>301</v>
      </c>
      <c r="AF87" s="15"/>
      <c r="AG87" s="15"/>
      <c r="AH87" s="15"/>
      <c r="AI87" s="15"/>
      <c r="AJ87" s="15" t="str">
        <f>IFERROR(__xludf.DUMMYFUNCTION("AI(""Completa un valor adecuado para esta celda en función del contexto de la tabla"")"),"Piso flotante de origen alemán con un espesor de 8 mm y resistencia a la abrasión AC4, diseñado para un uso comercial estándar. Este modelo de la marca Krono Original cuenta con bisel en sus tablas y un sistema de instalación click que facilita su colocac"&amp;"ión. Cada caja rinde 2.22 m2, ofreciendo una solución duradera y estética para diversos ambientes interiores.")</f>
        <v>Piso flotante de origen alemán con un espesor de 8 mm y resistencia a la abrasión AC4, diseñado para un uso comercial estándar. Este modelo de la marca Krono Original cuenta con bisel en sus tablas y un sistema de instalación click que facilita su colocación. Cada caja rinde 2.22 m2, ofreciendo una solución duradera y estética para diversos ambientes interiores.</v>
      </c>
    </row>
    <row r="88" ht="15.75" customHeight="1">
      <c r="A88" s="4">
        <v>23564.0</v>
      </c>
      <c r="B88" s="5" t="s">
        <v>33</v>
      </c>
      <c r="C88" s="5" t="s">
        <v>34</v>
      </c>
      <c r="D88" s="5" t="s">
        <v>35</v>
      </c>
      <c r="E88" s="5" t="s">
        <v>58</v>
      </c>
      <c r="F88" s="5" t="s">
        <v>37</v>
      </c>
      <c r="G88" s="5" t="s">
        <v>302</v>
      </c>
      <c r="H88" s="4" t="s">
        <v>303</v>
      </c>
      <c r="I88" s="5" t="s">
        <v>39</v>
      </c>
      <c r="J88" s="5" t="s">
        <v>64</v>
      </c>
      <c r="K88" s="5" t="s">
        <v>41</v>
      </c>
      <c r="L88" s="4">
        <v>12.0</v>
      </c>
      <c r="M88" s="5" t="s">
        <v>42</v>
      </c>
      <c r="N88" s="4" t="s">
        <v>43</v>
      </c>
      <c r="O88" s="4" t="s">
        <v>44</v>
      </c>
      <c r="P88" s="4" t="s">
        <v>45</v>
      </c>
      <c r="Q88" s="4">
        <v>188.0</v>
      </c>
      <c r="R88" s="5" t="s">
        <v>42</v>
      </c>
      <c r="S88" s="4">
        <v>1375.0</v>
      </c>
      <c r="T88" s="5" t="s">
        <v>42</v>
      </c>
      <c r="U88" s="4">
        <v>1.3</v>
      </c>
      <c r="V88" s="5" t="s">
        <v>46</v>
      </c>
      <c r="W88" s="4">
        <v>5.0</v>
      </c>
      <c r="X88" s="6">
        <v>21.95</v>
      </c>
      <c r="Y88" s="4" t="s">
        <v>47</v>
      </c>
      <c r="Z88" s="7">
        <f t="shared" si="1"/>
        <v>28.535</v>
      </c>
      <c r="AA88" s="4">
        <v>15.0</v>
      </c>
      <c r="AB88" s="8"/>
      <c r="AC88" s="8">
        <f t="shared" si="2"/>
        <v>0</v>
      </c>
      <c r="AD88" s="13">
        <v>1.29</v>
      </c>
      <c r="AE88" s="10" t="s">
        <v>304</v>
      </c>
      <c r="AF88" s="11"/>
      <c r="AG88" s="11"/>
      <c r="AH88" s="11"/>
      <c r="AI88" s="11"/>
      <c r="AJ88" s="11" t="str">
        <f>IFERROR(__xludf.DUMMYFUNCTION("AI(""Completa un valor adecuado para esta celda en función del contexto de la tabla"")"),"Piso flotante laminado de origen alemán, diseñado para un uso comercial intenso gracias a su alta resistencia a la abrasión AC5. Con un espesor de 8 mm y un sistema de instalación click que facilita el montaje, este modelo clásico cuenta con bisel en sus "&amp;"cuatro lados. Cada caja cubre una superficie de 2.13 m2.")</f>
        <v>Piso flotante laminado de origen alemán, diseñado para un uso comercial intenso gracias a su alta resistencia a la abrasión AC5. Con un espesor de 8 mm y un sistema de instalación click que facilita el montaje, este modelo clásico cuenta con bisel en sus cuatro lados. Cada caja cubre una superficie de 2.13 m2.</v>
      </c>
    </row>
    <row r="89" ht="15.75" customHeight="1">
      <c r="A89" s="4">
        <v>19376.0</v>
      </c>
      <c r="B89" s="5" t="s">
        <v>33</v>
      </c>
      <c r="C89" s="5" t="s">
        <v>34</v>
      </c>
      <c r="D89" s="5" t="s">
        <v>35</v>
      </c>
      <c r="E89" s="5" t="s">
        <v>36</v>
      </c>
      <c r="F89" s="5" t="s">
        <v>37</v>
      </c>
      <c r="G89" s="5" t="s">
        <v>302</v>
      </c>
      <c r="H89" s="4" t="s">
        <v>305</v>
      </c>
      <c r="I89" s="5" t="s">
        <v>39</v>
      </c>
      <c r="J89" s="5" t="s">
        <v>68</v>
      </c>
      <c r="K89" s="5" t="s">
        <v>169</v>
      </c>
      <c r="L89" s="4">
        <v>7.0</v>
      </c>
      <c r="M89" s="5" t="s">
        <v>42</v>
      </c>
      <c r="N89" s="4" t="s">
        <v>170</v>
      </c>
      <c r="O89" s="4" t="s">
        <v>44</v>
      </c>
      <c r="P89" s="8"/>
      <c r="Q89" s="4">
        <v>193.0</v>
      </c>
      <c r="R89" s="5" t="s">
        <v>42</v>
      </c>
      <c r="S89" s="4">
        <v>1380.0</v>
      </c>
      <c r="T89" s="5" t="s">
        <v>42</v>
      </c>
      <c r="U89" s="4">
        <v>2.39</v>
      </c>
      <c r="V89" s="5" t="s">
        <v>46</v>
      </c>
      <c r="W89" s="4">
        <v>9.0</v>
      </c>
      <c r="X89" s="6">
        <v>13.1</v>
      </c>
      <c r="Y89" s="4" t="s">
        <v>56</v>
      </c>
      <c r="Z89" s="7">
        <f t="shared" si="1"/>
        <v>31.309</v>
      </c>
      <c r="AA89" s="4">
        <v>15.0</v>
      </c>
      <c r="AB89" s="8"/>
      <c r="AC89" s="8">
        <f t="shared" si="2"/>
        <v>0</v>
      </c>
      <c r="AD89" s="13">
        <v>11980.0</v>
      </c>
      <c r="AE89" s="14" t="s">
        <v>306</v>
      </c>
      <c r="AF89" s="15"/>
      <c r="AG89" s="15"/>
      <c r="AH89" s="15"/>
      <c r="AI89" s="15"/>
      <c r="AJ89" s="15" t="str">
        <f>IFERROR(__xludf.DUMMYFUNCTION("AI(""Completa un valor adecuado para esta celda en función del contexto de la tabla"")"),"Piso flotante laminado de origen alemán, diseñado para uso comercial por su resistencia a la abrasión AC4. Posee un espesor de 8 mm, sistema de biselado y cada caja rinde 2.22 m2, ofreciendo una solución duradera y estética para diversos ambientes interio"&amp;"res.")</f>
        <v>Piso flotante laminado de origen alemán, diseñado para uso comercial por su resistencia a la abrasión AC4. Posee un espesor de 8 mm, sistema de biselado y cada caja rinde 2.22 m2, ofreciendo una solución duradera y estética para diversos ambientes interiores.</v>
      </c>
    </row>
    <row r="90" ht="15.75" customHeight="1">
      <c r="A90" s="4">
        <v>23806.0</v>
      </c>
      <c r="B90" s="5" t="s">
        <v>33</v>
      </c>
      <c r="C90" s="5" t="s">
        <v>34</v>
      </c>
      <c r="D90" s="5" t="s">
        <v>35</v>
      </c>
      <c r="E90" s="5" t="s">
        <v>36</v>
      </c>
      <c r="F90" s="5" t="s">
        <v>37</v>
      </c>
      <c r="G90" s="5" t="s">
        <v>307</v>
      </c>
      <c r="H90" s="12"/>
      <c r="I90" s="5" t="s">
        <v>72</v>
      </c>
      <c r="J90" s="5" t="s">
        <v>60</v>
      </c>
      <c r="K90" s="5" t="s">
        <v>41</v>
      </c>
      <c r="L90" s="4" t="s">
        <v>308</v>
      </c>
      <c r="M90" s="5" t="s">
        <v>42</v>
      </c>
      <c r="N90" s="4" t="s">
        <v>43</v>
      </c>
      <c r="O90" s="4" t="s">
        <v>45</v>
      </c>
      <c r="P90" s="4" t="s">
        <v>45</v>
      </c>
      <c r="Q90" s="4">
        <v>191.0</v>
      </c>
      <c r="R90" s="5" t="s">
        <v>42</v>
      </c>
      <c r="S90" s="4">
        <v>1380.0</v>
      </c>
      <c r="T90" s="5" t="s">
        <v>42</v>
      </c>
      <c r="U90" s="4">
        <v>1.59</v>
      </c>
      <c r="V90" s="5" t="s">
        <v>46</v>
      </c>
      <c r="W90" s="4">
        <v>6.0</v>
      </c>
      <c r="X90" s="6">
        <v>16.0</v>
      </c>
      <c r="Y90" s="4" t="s">
        <v>56</v>
      </c>
      <c r="Z90" s="7">
        <f t="shared" si="1"/>
        <v>25.44</v>
      </c>
      <c r="AA90" s="4">
        <v>15.0</v>
      </c>
      <c r="AB90" s="8"/>
      <c r="AC90" s="8">
        <f t="shared" si="2"/>
        <v>0</v>
      </c>
      <c r="AD90" s="13">
        <v>508.8</v>
      </c>
      <c r="AE90" s="10" t="s">
        <v>309</v>
      </c>
      <c r="AF90" s="11"/>
      <c r="AG90" s="11"/>
      <c r="AH90" s="11"/>
      <c r="AI90" s="11"/>
      <c r="AJ90" s="11" t="str">
        <f>IFERROR(__xludf.DUMMYFUNCTION("AI(""Completa un valor adecuado para esta celda en función del contexto de la tabla"")"),"Piso flotante laminado de origen alemán, marca Kronotex, línea Oferta. Con un espesor de 8 mm y resistencia a la abrasión AC4, es apto para uso comercial. Este modelo clásico cuenta con un sistema de instalación click, no posee bisel y cada caja cubre una"&amp;" superficie de 2.13 m2.")</f>
        <v>Piso flotante laminado de origen alemán, marca Kronotex, línea Oferta. Con un espesor de 8 mm y resistencia a la abrasión AC4, es apto para uso comercial. Este modelo clásico cuenta con un sistema de instalación click, no posee bisel y cada caja cubre una superficie de 2.13 m2.</v>
      </c>
    </row>
    <row r="91" ht="15.75" customHeight="1">
      <c r="A91" s="4">
        <v>18350.0</v>
      </c>
      <c r="B91" s="5" t="s">
        <v>33</v>
      </c>
      <c r="C91" s="5" t="s">
        <v>34</v>
      </c>
      <c r="D91" s="5" t="s">
        <v>35</v>
      </c>
      <c r="E91" s="5" t="s">
        <v>36</v>
      </c>
      <c r="F91" s="5" t="s">
        <v>37</v>
      </c>
      <c r="G91" s="5" t="s">
        <v>310</v>
      </c>
      <c r="H91" s="4">
        <v>5944.0</v>
      </c>
      <c r="I91" s="5" t="s">
        <v>72</v>
      </c>
      <c r="J91" s="5" t="s">
        <v>311</v>
      </c>
      <c r="K91" s="5" t="s">
        <v>41</v>
      </c>
      <c r="L91" s="4">
        <v>14.0</v>
      </c>
      <c r="M91" s="5" t="s">
        <v>42</v>
      </c>
      <c r="N91" s="4" t="s">
        <v>43</v>
      </c>
      <c r="O91" s="4" t="s">
        <v>44</v>
      </c>
      <c r="P91" s="4" t="s">
        <v>45</v>
      </c>
      <c r="Q91" s="4">
        <v>157.0</v>
      </c>
      <c r="R91" s="5" t="s">
        <v>42</v>
      </c>
      <c r="S91" s="4">
        <v>1280.0</v>
      </c>
      <c r="T91" s="5" t="s">
        <v>42</v>
      </c>
      <c r="U91" s="4">
        <v>1.41</v>
      </c>
      <c r="V91" s="5" t="s">
        <v>46</v>
      </c>
      <c r="W91" s="4">
        <v>7.0</v>
      </c>
      <c r="X91" s="6">
        <v>33.5</v>
      </c>
      <c r="Y91" s="4" t="s">
        <v>47</v>
      </c>
      <c r="Z91" s="7">
        <f t="shared" si="1"/>
        <v>47.235</v>
      </c>
      <c r="AA91" s="4">
        <v>15.0</v>
      </c>
      <c r="AB91" s="8"/>
      <c r="AC91" s="8">
        <f t="shared" si="2"/>
        <v>0</v>
      </c>
      <c r="AD91" s="13">
        <v>610.53</v>
      </c>
      <c r="AE91" s="14" t="s">
        <v>312</v>
      </c>
      <c r="AJ91" s="15" t="str">
        <f>IFERROR(__xludf.DUMMYFUNCTION("AI(""Completa un valor adecuado para esta celda en función del contexto de la tabla"")"),"Piso flotante de origen alemán con un espesor de 8 mm, diseñado para uso comercial con resistencia a la abrasión AC4. Cuenta con sistema de instalación click, bisel en sus cuatro lados y un diseño elegante que simula la madera natural. Cada caja contiene "&amp;"9 tablas y cubre una superficie de 2.22 m2.")</f>
        <v>Piso flotante de origen alemán con un espesor de 8 mm, diseñado para uso comercial con resistencia a la abrasión AC4. Cuenta con sistema de instalación click, bisel en sus cuatro lados y un diseño elegante que simula la madera natural. Cada caja contiene 9 tablas y cubre una superficie de 2.22 m2.</v>
      </c>
    </row>
    <row r="92" ht="15.75" customHeight="1">
      <c r="A92" s="4">
        <v>24868.0</v>
      </c>
      <c r="B92" s="5" t="s">
        <v>33</v>
      </c>
      <c r="C92" s="5" t="s">
        <v>34</v>
      </c>
      <c r="D92" s="5" t="s">
        <v>35</v>
      </c>
      <c r="E92" s="5" t="s">
        <v>58</v>
      </c>
      <c r="F92" s="5" t="s">
        <v>37</v>
      </c>
      <c r="G92" s="5" t="s">
        <v>313</v>
      </c>
      <c r="H92" s="8"/>
      <c r="I92" s="5" t="s">
        <v>72</v>
      </c>
      <c r="J92" s="5" t="s">
        <v>60</v>
      </c>
      <c r="K92" s="5" t="s">
        <v>41</v>
      </c>
      <c r="L92" s="4">
        <v>8.0</v>
      </c>
      <c r="M92" s="5" t="s">
        <v>42</v>
      </c>
      <c r="N92" s="4" t="s">
        <v>43</v>
      </c>
      <c r="O92" s="4" t="s">
        <v>44</v>
      </c>
      <c r="P92" s="4" t="s">
        <v>45</v>
      </c>
      <c r="Q92" s="4">
        <v>192.0</v>
      </c>
      <c r="R92" s="5" t="s">
        <v>42</v>
      </c>
      <c r="S92" s="4">
        <v>1285.0</v>
      </c>
      <c r="T92" s="5" t="s">
        <v>42</v>
      </c>
      <c r="U92" s="4">
        <v>2.22</v>
      </c>
      <c r="V92" s="5" t="s">
        <v>46</v>
      </c>
      <c r="W92" s="4">
        <v>9.0</v>
      </c>
      <c r="X92" s="6">
        <v>18.0</v>
      </c>
      <c r="Y92" s="4" t="s">
        <v>47</v>
      </c>
      <c r="Z92" s="7">
        <f t="shared" si="1"/>
        <v>39.96</v>
      </c>
      <c r="AA92" s="4">
        <v>15.0</v>
      </c>
      <c r="AB92" s="8"/>
      <c r="AC92" s="8">
        <f t="shared" si="2"/>
        <v>0</v>
      </c>
      <c r="AD92" s="13">
        <v>590.51</v>
      </c>
      <c r="AE92" s="10" t="s">
        <v>314</v>
      </c>
      <c r="AF92" s="11"/>
      <c r="AG92" s="11"/>
      <c r="AH92" s="11"/>
      <c r="AI92" s="11"/>
      <c r="AJ92" s="11" t="str">
        <f>IFERROR(__xludf.DUMMYFUNCTION("AI(""Completa un valor adecuado para esta celda en función del contexto de la tabla"")"),"Piso flotante laminado de origen alemán, marca Kronotex, línea Oferta. Con un espesor de 8 mm y resistencia a la abrasión AC4, es apto para uso comercial. Presenta tablas de 1300 x 326 mm con bisel, y cada caja cubre una superficie de 2.12 m2.")</f>
        <v>Piso flotante laminado de origen alemán, marca Kronotex, línea Oferta. Con un espesor de 8 mm y resistencia a la abrasión AC4, es apto para uso comercial. Presenta tablas de 1300 x 326 mm con bisel, y cada caja cubre una superficie de 2.12 m2.</v>
      </c>
    </row>
    <row r="93" ht="15.75" customHeight="1">
      <c r="A93" s="4">
        <v>23570.0</v>
      </c>
      <c r="B93" s="5" t="s">
        <v>33</v>
      </c>
      <c r="C93" s="5" t="s">
        <v>34</v>
      </c>
      <c r="D93" s="5" t="s">
        <v>35</v>
      </c>
      <c r="E93" s="5" t="s">
        <v>36</v>
      </c>
      <c r="F93" s="5" t="s">
        <v>37</v>
      </c>
      <c r="G93" s="5" t="s">
        <v>315</v>
      </c>
      <c r="H93" s="4" t="s">
        <v>316</v>
      </c>
      <c r="I93" s="5" t="s">
        <v>39</v>
      </c>
      <c r="J93" s="5" t="s">
        <v>60</v>
      </c>
      <c r="K93" s="5" t="s">
        <v>54</v>
      </c>
      <c r="L93" s="4">
        <v>8.0</v>
      </c>
      <c r="M93" s="5" t="s">
        <v>42</v>
      </c>
      <c r="N93" s="4" t="s">
        <v>55</v>
      </c>
      <c r="O93" s="4" t="s">
        <v>44</v>
      </c>
      <c r="P93" s="4" t="s">
        <v>45</v>
      </c>
      <c r="Q93" s="4">
        <v>133.0</v>
      </c>
      <c r="R93" s="5" t="s">
        <v>42</v>
      </c>
      <c r="S93" s="4">
        <v>665.0</v>
      </c>
      <c r="T93" s="5" t="s">
        <v>42</v>
      </c>
      <c r="U93" s="4">
        <v>1.24</v>
      </c>
      <c r="V93" s="5" t="s">
        <v>46</v>
      </c>
      <c r="W93" s="4">
        <v>14.0</v>
      </c>
      <c r="X93" s="6">
        <v>6.9</v>
      </c>
      <c r="Y93" s="4" t="s">
        <v>56</v>
      </c>
      <c r="Z93" s="7">
        <f t="shared" si="1"/>
        <v>8.556</v>
      </c>
      <c r="AA93" s="4"/>
      <c r="AB93" s="4">
        <v>96.0</v>
      </c>
      <c r="AC93" s="8">
        <f t="shared" si="2"/>
        <v>0</v>
      </c>
      <c r="AD93" s="13">
        <v>4614.04</v>
      </c>
      <c r="AE93" s="14" t="s">
        <v>317</v>
      </c>
      <c r="AF93" s="15"/>
      <c r="AG93" s="15"/>
      <c r="AH93" s="15"/>
      <c r="AI93" s="15"/>
      <c r="AJ93" s="15" t="str">
        <f>IFERROR(__xludf.DUMMYFUNCTION("AI(""Completa un valor adecuado para esta celda en función del contexto de la tabla"")"),"Piso flotante laminado de origen alemán, diseñado para uso residencial con una resistencia a la abrasión AC3. Posee un espesor de 7 mm y sistema de instalación click, incluyendo bisel en sus terminaciones para una estética detallada. Su acabado tipo roble"&amp;" en tono marrón ofrece un diseño realista, y cada caja rinde 2.4 m2.")</f>
        <v>Piso flotante laminado de origen alemán, diseñado para uso residencial con una resistencia a la abrasión AC3. Posee un espesor de 7 mm y sistema de instalación click, incluyendo bisel en sus terminaciones para una estética detallada. Su acabado tipo roble en tono marrón ofrece un diseño realista, y cada caja rinde 2.4 m2.</v>
      </c>
    </row>
    <row r="94" ht="15.75" customHeight="1">
      <c r="A94" s="4">
        <v>23555.0</v>
      </c>
      <c r="B94" s="5" t="s">
        <v>33</v>
      </c>
      <c r="C94" s="5" t="s">
        <v>34</v>
      </c>
      <c r="D94" s="5" t="s">
        <v>35</v>
      </c>
      <c r="E94" s="5" t="s">
        <v>36</v>
      </c>
      <c r="F94" s="5" t="s">
        <v>37</v>
      </c>
      <c r="G94" s="5" t="s">
        <v>318</v>
      </c>
      <c r="H94" s="4" t="s">
        <v>316</v>
      </c>
      <c r="I94" s="5" t="s">
        <v>39</v>
      </c>
      <c r="J94" s="5" t="s">
        <v>60</v>
      </c>
      <c r="K94" s="5" t="s">
        <v>54</v>
      </c>
      <c r="L94" s="4">
        <v>8.0</v>
      </c>
      <c r="M94" s="5" t="s">
        <v>42</v>
      </c>
      <c r="N94" s="4" t="s">
        <v>55</v>
      </c>
      <c r="O94" s="4" t="s">
        <v>44</v>
      </c>
      <c r="P94" s="4" t="s">
        <v>45</v>
      </c>
      <c r="Q94" s="4">
        <v>133.0</v>
      </c>
      <c r="R94" s="5" t="s">
        <v>42</v>
      </c>
      <c r="S94" s="4">
        <v>665.0</v>
      </c>
      <c r="T94" s="5" t="s">
        <v>42</v>
      </c>
      <c r="U94" s="4">
        <v>1.24</v>
      </c>
      <c r="V94" s="5" t="s">
        <v>46</v>
      </c>
      <c r="W94" s="4">
        <v>14.0</v>
      </c>
      <c r="X94" s="6">
        <v>6.9</v>
      </c>
      <c r="Y94" s="4" t="s">
        <v>56</v>
      </c>
      <c r="Z94" s="7">
        <f t="shared" si="1"/>
        <v>8.556</v>
      </c>
      <c r="AA94" s="4"/>
      <c r="AB94" s="4">
        <v>96.0</v>
      </c>
      <c r="AC94" s="8">
        <f t="shared" si="2"/>
        <v>0</v>
      </c>
      <c r="AD94" s="13">
        <v>13086.0</v>
      </c>
      <c r="AE94" s="10" t="s">
        <v>319</v>
      </c>
      <c r="AF94" s="11"/>
      <c r="AG94" s="11"/>
      <c r="AH94" s="11"/>
      <c r="AI94" s="11"/>
      <c r="AJ94" s="11" t="str">
        <f>IFERROR(__xludf.DUMMYFUNCTION("AI(""Completa un valor adecuado para esta celda en función del contexto de la tabla"")"),"Piso flotante laminado de origen alemán, marca Krono Original, ideal para uso comercial por su resistencia a la abrasión AC4. Con un espesor de 8 mm, este modelo de la línea Variostep cuenta con bisel y un sistema de instalación clásico. Cada caja rinde 2"&amp;".22 m2.")</f>
        <v>Piso flotante laminado de origen alemán, marca Krono Original, ideal para uso comercial por su resistencia a la abrasión AC4. Con un espesor de 8 mm, este modelo de la línea Variostep cuenta con bisel y un sistema de instalación clásico. Cada caja rinde 2.22 m2.</v>
      </c>
    </row>
    <row r="95" ht="15.75" customHeight="1">
      <c r="A95" s="4">
        <v>5622.0</v>
      </c>
      <c r="B95" s="5" t="s">
        <v>33</v>
      </c>
      <c r="C95" s="5" t="s">
        <v>34</v>
      </c>
      <c r="D95" s="5" t="s">
        <v>35</v>
      </c>
      <c r="E95" s="5" t="s">
        <v>36</v>
      </c>
      <c r="F95" s="5" t="s">
        <v>37</v>
      </c>
      <c r="G95" s="5" t="s">
        <v>320</v>
      </c>
      <c r="H95" s="4">
        <v>8610.0</v>
      </c>
      <c r="I95" s="5" t="s">
        <v>72</v>
      </c>
      <c r="J95" s="5" t="s">
        <v>215</v>
      </c>
      <c r="K95" s="5" t="s">
        <v>54</v>
      </c>
      <c r="L95" s="4">
        <v>8.0</v>
      </c>
      <c r="M95" s="5" t="s">
        <v>42</v>
      </c>
      <c r="N95" s="4" t="s">
        <v>55</v>
      </c>
      <c r="O95" s="4" t="s">
        <v>44</v>
      </c>
      <c r="P95" s="4" t="s">
        <v>45</v>
      </c>
      <c r="Q95" s="4">
        <v>192.0</v>
      </c>
      <c r="R95" s="5" t="s">
        <v>42</v>
      </c>
      <c r="S95" s="4">
        <v>1280.0</v>
      </c>
      <c r="T95" s="5" t="s">
        <v>42</v>
      </c>
      <c r="U95" s="4">
        <v>2.22</v>
      </c>
      <c r="V95" s="5" t="s">
        <v>46</v>
      </c>
      <c r="W95" s="4">
        <v>8.0</v>
      </c>
      <c r="X95" s="6">
        <v>18.0</v>
      </c>
      <c r="Y95" s="4" t="s">
        <v>321</v>
      </c>
      <c r="Z95" s="7">
        <f t="shared" si="1"/>
        <v>39.96</v>
      </c>
      <c r="AA95" s="4">
        <v>15.0</v>
      </c>
      <c r="AB95" s="4">
        <v>52.0</v>
      </c>
      <c r="AC95" s="8">
        <f t="shared" si="2"/>
        <v>780</v>
      </c>
      <c r="AD95" s="13">
        <v>486.18</v>
      </c>
      <c r="AE95" s="14" t="s">
        <v>322</v>
      </c>
      <c r="AF95" s="15"/>
      <c r="AG95" s="15"/>
      <c r="AH95" s="15"/>
      <c r="AI95" s="15"/>
      <c r="AJ95" s="15" t="str">
        <f>IFERROR(__xludf.DUMMYFUNCTION("AI(""Completa un valor adecuado para esta celda en función del contexto de la tabla"")"),"Piso flotante laminado de origen alemán, ideal para uso comercial por su resistencia a la abrasión AC4. Con un espesor de 8 mm y sistema de instalación click, este modelo de la línea Exquisit Ancho cuenta con bisel en sus cuatro lados y un diseño de gran "&amp;"formato con un ancho de 244 mm. Cada caja cubre una superficie de 2.7 m2.")</f>
        <v>Piso flotante laminado de origen alemán, ideal para uso comercial por su resistencia a la abrasión AC4. Con un espesor de 8 mm y sistema de instalación click, este modelo de la línea Exquisit Ancho cuenta con bisel en sus cuatro lados y un diseño de gran formato con un ancho de 244 mm. Cada caja cubre una superficie de 2.7 m2.</v>
      </c>
    </row>
    <row r="96" ht="15.75" customHeight="1">
      <c r="A96" s="4">
        <v>18240.0</v>
      </c>
      <c r="B96" s="5" t="s">
        <v>33</v>
      </c>
      <c r="C96" s="5" t="s">
        <v>34</v>
      </c>
      <c r="D96" s="5" t="s">
        <v>35</v>
      </c>
      <c r="E96" s="5" t="s">
        <v>36</v>
      </c>
      <c r="F96" s="5" t="s">
        <v>37</v>
      </c>
      <c r="G96" s="5" t="s">
        <v>323</v>
      </c>
      <c r="H96" s="4" t="s">
        <v>324</v>
      </c>
      <c r="I96" s="5" t="s">
        <v>72</v>
      </c>
      <c r="J96" s="5" t="s">
        <v>168</v>
      </c>
      <c r="K96" s="5" t="s">
        <v>169</v>
      </c>
      <c r="L96" s="4">
        <v>7.0</v>
      </c>
      <c r="M96" s="5" t="s">
        <v>42</v>
      </c>
      <c r="N96" s="4" t="s">
        <v>170</v>
      </c>
      <c r="O96" s="4" t="s">
        <v>44</v>
      </c>
      <c r="P96" s="8"/>
      <c r="Q96" s="4">
        <v>192.0</v>
      </c>
      <c r="R96" s="5" t="s">
        <v>42</v>
      </c>
      <c r="S96" s="4">
        <v>1280.0</v>
      </c>
      <c r="T96" s="5" t="s">
        <v>42</v>
      </c>
      <c r="U96" s="4">
        <v>2.47</v>
      </c>
      <c r="V96" s="5" t="s">
        <v>46</v>
      </c>
      <c r="W96" s="4">
        <v>10.0</v>
      </c>
      <c r="X96" s="6">
        <v>13.1</v>
      </c>
      <c r="Y96" s="4" t="s">
        <v>47</v>
      </c>
      <c r="Z96" s="7">
        <f t="shared" si="1"/>
        <v>32.357</v>
      </c>
      <c r="AA96" s="4">
        <v>15.0</v>
      </c>
      <c r="AB96" s="8"/>
      <c r="AC96" s="8">
        <f t="shared" si="2"/>
        <v>0</v>
      </c>
      <c r="AD96" s="13">
        <v>1966.12</v>
      </c>
      <c r="AE96" s="10" t="s">
        <v>325</v>
      </c>
      <c r="AF96" s="11"/>
      <c r="AG96" s="11"/>
      <c r="AH96" s="11"/>
      <c r="AI96" s="11"/>
      <c r="AJ96" s="11" t="str">
        <f>IFERROR(__xludf.DUMMYFUNCTION("AI(""Completa un valor adecuado para esta celda en función del contexto de la tabla"")"),"Piso flotante laminado de origen alemán, diseñado para uso comercial gracias a su resistencia a la abrasión AC4. Posee un espesor de 8 mm, cuenta con bisel perimetral y un sistema de instalación click. Cada caja rinde 2.13 m2 de superficie.")</f>
        <v>Piso flotante laminado de origen alemán, diseñado para uso comercial gracias a su resistencia a la abrasión AC4. Posee un espesor de 8 mm, cuenta con bisel perimetral y un sistema de instalación click. Cada caja rinde 2.13 m2 de superficie.</v>
      </c>
    </row>
    <row r="97" ht="15.75" customHeight="1">
      <c r="A97" s="4">
        <v>24414.0</v>
      </c>
      <c r="B97" s="5" t="s">
        <v>33</v>
      </c>
      <c r="C97" s="5" t="s">
        <v>34</v>
      </c>
      <c r="D97" s="5" t="s">
        <v>35</v>
      </c>
      <c r="E97" s="5" t="s">
        <v>58</v>
      </c>
      <c r="F97" s="5" t="s">
        <v>37</v>
      </c>
      <c r="G97" s="5" t="s">
        <v>326</v>
      </c>
      <c r="H97" s="4" t="s">
        <v>327</v>
      </c>
      <c r="I97" s="5" t="s">
        <v>72</v>
      </c>
      <c r="J97" s="5" t="s">
        <v>60</v>
      </c>
      <c r="K97" s="5" t="s">
        <v>54</v>
      </c>
      <c r="L97" s="4">
        <v>8.0</v>
      </c>
      <c r="M97" s="5" t="s">
        <v>42</v>
      </c>
      <c r="N97" s="4" t="s">
        <v>55</v>
      </c>
      <c r="O97" s="4" t="s">
        <v>44</v>
      </c>
      <c r="P97" s="4" t="s">
        <v>45</v>
      </c>
      <c r="Q97" s="4">
        <v>192.0</v>
      </c>
      <c r="R97" s="5" t="s">
        <v>42</v>
      </c>
      <c r="S97" s="4">
        <v>1280.0</v>
      </c>
      <c r="T97" s="5" t="s">
        <v>42</v>
      </c>
      <c r="U97" s="4">
        <v>2.22</v>
      </c>
      <c r="V97" s="5" t="s">
        <v>46</v>
      </c>
      <c r="W97" s="4">
        <v>9.0</v>
      </c>
      <c r="X97" s="6">
        <v>17.3</v>
      </c>
      <c r="Y97" s="4" t="s">
        <v>47</v>
      </c>
      <c r="Z97" s="7">
        <f t="shared" si="1"/>
        <v>38.406</v>
      </c>
      <c r="AA97" s="4">
        <v>15.0</v>
      </c>
      <c r="AB97" s="8"/>
      <c r="AC97" s="8">
        <f t="shared" si="2"/>
        <v>0</v>
      </c>
      <c r="AD97" s="13">
        <v>428.46</v>
      </c>
      <c r="AE97" s="14" t="s">
        <v>328</v>
      </c>
      <c r="AF97" s="15"/>
      <c r="AG97" s="15"/>
      <c r="AH97" s="15"/>
      <c r="AI97" s="15"/>
      <c r="AJ97" s="15" t="str">
        <f>IFERROR(__xludf.DUMMYFUNCTION("AI(""Completa un valor adecuado para esta celda en función del contexto de la tabla"")"),"Piso flotante laminado de origen alemán, ideal para uso comercial por su resistencia a la abrasión AC4. Con un espesor de 8 mm y sistema de instalación click, este modelo cuenta con bisel en sus cuatro lados y protección contra la humedad. Cada caja cubre"&amp;" una superficie de 2.22 m2.")</f>
        <v>Piso flotante laminado de origen alemán, ideal para uso comercial por su resistencia a la abrasión AC4. Con un espesor de 8 mm y sistema de instalación click, este modelo cuenta con bisel en sus cuatro lados y protección contra la humedad. Cada caja cubre una superficie de 2.22 m2.</v>
      </c>
    </row>
    <row r="98" ht="15.75" customHeight="1">
      <c r="A98" s="4">
        <v>19021.0</v>
      </c>
      <c r="B98" s="5" t="s">
        <v>33</v>
      </c>
      <c r="C98" s="5" t="s">
        <v>34</v>
      </c>
      <c r="D98" s="5" t="s">
        <v>35</v>
      </c>
      <c r="E98" s="5" t="s">
        <v>36</v>
      </c>
      <c r="F98" s="5" t="s">
        <v>37</v>
      </c>
      <c r="G98" s="5" t="s">
        <v>329</v>
      </c>
      <c r="H98" s="4">
        <v>8215.0</v>
      </c>
      <c r="I98" s="5" t="s">
        <v>72</v>
      </c>
      <c r="J98" s="5" t="s">
        <v>330</v>
      </c>
      <c r="K98" s="5" t="s">
        <v>54</v>
      </c>
      <c r="L98" s="4">
        <v>8.0</v>
      </c>
      <c r="M98" s="5" t="s">
        <v>42</v>
      </c>
      <c r="N98" s="4" t="s">
        <v>55</v>
      </c>
      <c r="O98" s="4" t="s">
        <v>44</v>
      </c>
      <c r="P98" s="4" t="s">
        <v>45</v>
      </c>
      <c r="Q98" s="4">
        <v>123.0</v>
      </c>
      <c r="R98" s="5" t="s">
        <v>42</v>
      </c>
      <c r="S98" s="4">
        <v>1290.0</v>
      </c>
      <c r="T98" s="5" t="s">
        <v>42</v>
      </c>
      <c r="U98" s="4">
        <v>1.9</v>
      </c>
      <c r="V98" s="5" t="s">
        <v>46</v>
      </c>
      <c r="W98" s="4">
        <v>12.0</v>
      </c>
      <c r="X98" s="6">
        <v>22.0</v>
      </c>
      <c r="Y98" s="4" t="s">
        <v>47</v>
      </c>
      <c r="Z98" s="7">
        <f t="shared" si="1"/>
        <v>41.8</v>
      </c>
      <c r="AA98" s="4"/>
      <c r="AB98" s="4"/>
      <c r="AC98" s="8">
        <f t="shared" si="2"/>
        <v>0</v>
      </c>
      <c r="AD98" s="13">
        <v>1624.5</v>
      </c>
      <c r="AE98" s="10" t="s">
        <v>331</v>
      </c>
      <c r="AF98" s="11"/>
      <c r="AG98" s="11"/>
      <c r="AH98" s="11"/>
      <c r="AI98" s="11"/>
      <c r="AJ98" s="11" t="str">
        <f>IFERROR(__xludf.DUMMYFUNCTION("AI(""Completa un valor adecuado para esta celda en función del contexto de la tabla"")"),"Piso flotante de origen alemán con un espesor de 8 mm, diseñado para uso comercial gracias a su resistencia a la abrasión AC4. Posee un sistema de instalación click que facilita su montaje, cuenta con bisel en sus cuatro lados y ofrece una superficie eleg"&amp;"ante con acabado Waveless Oak White. Cada caja rinde 2.13 m2 y pesa 15 kg.")</f>
        <v>Piso flotante de origen alemán con un espesor de 8 mm, diseñado para uso comercial gracias a su resistencia a la abrasión AC4. Posee un sistema de instalación click que facilita su montaje, cuenta con bisel en sus cuatro lados y ofrece una superficie elegante con acabado Waveless Oak White. Cada caja rinde 2.13 m2 y pesa 15 kg.</v>
      </c>
    </row>
    <row r="99" ht="15.75" customHeight="1">
      <c r="A99" s="4">
        <v>23573.0</v>
      </c>
      <c r="B99" s="5" t="s">
        <v>33</v>
      </c>
      <c r="C99" s="5" t="s">
        <v>34</v>
      </c>
      <c r="D99" s="5" t="s">
        <v>35</v>
      </c>
      <c r="E99" s="5" t="s">
        <v>36</v>
      </c>
      <c r="F99" s="5" t="s">
        <v>37</v>
      </c>
      <c r="G99" s="5" t="s">
        <v>332</v>
      </c>
      <c r="H99" s="4" t="s">
        <v>333</v>
      </c>
      <c r="I99" s="5" t="s">
        <v>39</v>
      </c>
      <c r="J99" s="5" t="s">
        <v>60</v>
      </c>
      <c r="K99" s="5" t="s">
        <v>54</v>
      </c>
      <c r="L99" s="4">
        <v>8.0</v>
      </c>
      <c r="M99" s="5" t="s">
        <v>42</v>
      </c>
      <c r="N99" s="4" t="s">
        <v>55</v>
      </c>
      <c r="O99" s="4" t="s">
        <v>44</v>
      </c>
      <c r="P99" s="4" t="s">
        <v>44</v>
      </c>
      <c r="Q99" s="4">
        <v>193.0</v>
      </c>
      <c r="R99" s="5" t="s">
        <v>42</v>
      </c>
      <c r="S99" s="4">
        <v>1380.0</v>
      </c>
      <c r="T99" s="5" t="s">
        <v>42</v>
      </c>
      <c r="U99" s="4">
        <v>2.13</v>
      </c>
      <c r="V99" s="5" t="s">
        <v>46</v>
      </c>
      <c r="W99" s="4">
        <v>8.0</v>
      </c>
      <c r="X99" s="6">
        <v>6.9</v>
      </c>
      <c r="Y99" s="4" t="s">
        <v>56</v>
      </c>
      <c r="Z99" s="7">
        <f t="shared" si="1"/>
        <v>14.697</v>
      </c>
      <c r="AA99" s="4">
        <v>15.0</v>
      </c>
      <c r="AB99" s="8"/>
      <c r="AC99" s="8">
        <f t="shared" si="2"/>
        <v>0</v>
      </c>
      <c r="AD99" s="13">
        <v>6602.0</v>
      </c>
      <c r="AE99" s="14" t="s">
        <v>334</v>
      </c>
      <c r="AF99" s="15"/>
      <c r="AG99" s="15"/>
      <c r="AH99" s="15"/>
      <c r="AI99" s="15"/>
      <c r="AJ99" s="15" t="str">
        <f>IFERROR(__xludf.DUMMYFUNCTION("AI(""Completa un valor adecuado para esta celda en función del contexto de la tabla"")"),"Piso flotante laminado de origen alemán, diseñado para uso comercial intenso con resistencia a la abrasión AC5. Presenta un espesor de 12 mm que proporciona solidez y excelente aislamiento acústico, complementado con un sistema de instalación click y bise"&amp;"l en sus cuatro lados. Este modelo en tono roble ofrece un acabado realista y duradero para ambientes exigentes. Cada caja tiene un rendimiento de 1.3 m2.")</f>
        <v>Piso flotante laminado de origen alemán, diseñado para uso comercial intenso con resistencia a la abrasión AC5. Presenta un espesor de 12 mm que proporciona solidez y excelente aislamiento acústico, complementado con un sistema de instalación click y bisel en sus cuatro lados. Este modelo en tono roble ofrece un acabado realista y duradero para ambientes exigentes. Cada caja tiene un rendimiento de 1.3 m2.</v>
      </c>
    </row>
    <row r="100" ht="15.75" customHeight="1">
      <c r="A100" s="27">
        <v>24385.0</v>
      </c>
      <c r="B100" s="5" t="s">
        <v>33</v>
      </c>
      <c r="C100" s="5" t="s">
        <v>34</v>
      </c>
      <c r="D100" s="5" t="s">
        <v>35</v>
      </c>
      <c r="E100" s="5" t="s">
        <v>36</v>
      </c>
      <c r="F100" s="5" t="s">
        <v>37</v>
      </c>
      <c r="G100" s="5" t="s">
        <v>335</v>
      </c>
      <c r="H100" s="4" t="s">
        <v>336</v>
      </c>
      <c r="I100" s="5" t="s">
        <v>39</v>
      </c>
      <c r="J100" s="5" t="s">
        <v>60</v>
      </c>
      <c r="K100" s="5" t="s">
        <v>169</v>
      </c>
      <c r="L100" s="4">
        <v>7.0</v>
      </c>
      <c r="M100" s="5" t="s">
        <v>42</v>
      </c>
      <c r="N100" s="4" t="s">
        <v>170</v>
      </c>
      <c r="O100" s="4" t="s">
        <v>44</v>
      </c>
      <c r="P100" s="4" t="s">
        <v>45</v>
      </c>
      <c r="Q100" s="4">
        <v>193.0</v>
      </c>
      <c r="R100" s="5" t="s">
        <v>42</v>
      </c>
      <c r="S100" s="4">
        <v>1380.0</v>
      </c>
      <c r="T100" s="5" t="s">
        <v>42</v>
      </c>
      <c r="U100" s="4">
        <v>2.4</v>
      </c>
      <c r="V100" s="5" t="s">
        <v>46</v>
      </c>
      <c r="W100" s="4">
        <v>9.0</v>
      </c>
      <c r="X100" s="6">
        <v>12.0</v>
      </c>
      <c r="Y100" s="4" t="s">
        <v>56</v>
      </c>
      <c r="Z100" s="7">
        <f t="shared" si="1"/>
        <v>28.8</v>
      </c>
      <c r="AA100" s="4">
        <v>15.0</v>
      </c>
      <c r="AB100" s="8"/>
      <c r="AC100" s="8">
        <f t="shared" si="2"/>
        <v>0</v>
      </c>
      <c r="AD100" s="13">
        <v>26140.0</v>
      </c>
      <c r="AE100" s="10" t="s">
        <v>337</v>
      </c>
      <c r="AF100" s="11"/>
      <c r="AG100" s="11"/>
      <c r="AH100" s="11"/>
      <c r="AI100" s="11"/>
      <c r="AJ100" s="11" t="str">
        <f>IFERROR(__xludf.DUMMYFUNCTION("AI(""Completa un valor adecuado para esta celda en función del contexto de la tabla"")"),"Piso flotante laminado de origen alemán, diseñado para uso comercial por su resistencia a la abrasión AC4. Con un espesor de 7 mm, este modelo incluye bisel en sus bordes para un acabado detallado. Cada caja rinde 2.47 m2 y contiene 9 tablas.")</f>
        <v>Piso flotante laminado de origen alemán, diseñado para uso comercial por su resistencia a la abrasión AC4. Con un espesor de 7 mm, este modelo incluye bisel en sus bordes para un acabado detallado. Cada caja rinde 2.47 m2 y contiene 9 tablas.</v>
      </c>
    </row>
    <row r="101" ht="15.75" customHeight="1">
      <c r="A101" s="4">
        <v>19378.0</v>
      </c>
      <c r="B101" s="5" t="s">
        <v>33</v>
      </c>
      <c r="C101" s="5" t="s">
        <v>34</v>
      </c>
      <c r="D101" s="5" t="s">
        <v>35</v>
      </c>
      <c r="E101" s="5" t="s">
        <v>36</v>
      </c>
      <c r="F101" s="5" t="s">
        <v>37</v>
      </c>
      <c r="G101" s="5" t="s">
        <v>338</v>
      </c>
      <c r="H101" s="4">
        <v>4168.0</v>
      </c>
      <c r="I101" s="5" t="s">
        <v>39</v>
      </c>
      <c r="J101" s="5" t="s">
        <v>179</v>
      </c>
      <c r="K101" s="5" t="s">
        <v>54</v>
      </c>
      <c r="L101" s="4">
        <v>8.0</v>
      </c>
      <c r="M101" s="5" t="s">
        <v>42</v>
      </c>
      <c r="N101" s="4" t="s">
        <v>55</v>
      </c>
      <c r="O101" s="4" t="s">
        <v>44</v>
      </c>
      <c r="P101" s="4" t="s">
        <v>45</v>
      </c>
      <c r="Q101" s="4">
        <v>193.0</v>
      </c>
      <c r="R101" s="5" t="s">
        <v>42</v>
      </c>
      <c r="S101" s="4">
        <v>1380.0</v>
      </c>
      <c r="T101" s="5" t="s">
        <v>42</v>
      </c>
      <c r="U101" s="4">
        <v>2.13</v>
      </c>
      <c r="V101" s="5" t="s">
        <v>46</v>
      </c>
      <c r="W101" s="4">
        <v>8.0</v>
      </c>
      <c r="X101" s="6">
        <v>18.0</v>
      </c>
      <c r="Y101" s="4" t="s">
        <v>47</v>
      </c>
      <c r="Z101" s="7">
        <f t="shared" si="1"/>
        <v>38.34</v>
      </c>
      <c r="AA101" s="4">
        <v>15.0</v>
      </c>
      <c r="AB101" s="4">
        <v>56.0</v>
      </c>
      <c r="AC101" s="8">
        <f t="shared" si="2"/>
        <v>840</v>
      </c>
      <c r="AD101" s="13">
        <v>218.39</v>
      </c>
      <c r="AE101" s="14" t="s">
        <v>339</v>
      </c>
      <c r="AF101" s="15"/>
      <c r="AG101" s="15"/>
      <c r="AH101" s="15"/>
      <c r="AI101" s="15"/>
      <c r="AJ101" s="15" t="str">
        <f>IFERROR(__xludf.DUMMYFUNCTION("AI(""Completa un valor adecuado para esta celda en función del contexto de la tabla"")"),"Piso flotante laminado de origen alemán, ideal para uso comercial intenso por su resistencia a la abrasión AC5. Con un espesor de 12 mm y sistema de instalación click, este modelo cuenta con bisel y cada caja cubre una superficie de 1.3 m2.")</f>
        <v>Piso flotante laminado de origen alemán, ideal para uso comercial intenso por su resistencia a la abrasión AC5. Con un espesor de 12 mm y sistema de instalación click, este modelo cuenta con bisel y cada caja cubre una superficie de 1.3 m2.</v>
      </c>
    </row>
    <row r="102" ht="15.75" customHeight="1">
      <c r="A102" s="4">
        <v>24934.0</v>
      </c>
      <c r="B102" s="5" t="s">
        <v>33</v>
      </c>
      <c r="C102" s="5" t="s">
        <v>34</v>
      </c>
      <c r="D102" s="5" t="s">
        <v>35</v>
      </c>
      <c r="E102" s="5" t="s">
        <v>49</v>
      </c>
      <c r="F102" s="5" t="s">
        <v>50</v>
      </c>
      <c r="G102" s="5" t="s">
        <v>340</v>
      </c>
      <c r="H102" s="28"/>
      <c r="I102" s="5" t="s">
        <v>52</v>
      </c>
      <c r="J102" s="5" t="s">
        <v>53</v>
      </c>
      <c r="K102" s="5" t="s">
        <v>54</v>
      </c>
      <c r="L102" s="4">
        <v>8.0</v>
      </c>
      <c r="M102" s="5" t="s">
        <v>42</v>
      </c>
      <c r="N102" s="4" t="s">
        <v>55</v>
      </c>
      <c r="O102" s="4" t="s">
        <v>44</v>
      </c>
      <c r="P102" s="4" t="s">
        <v>45</v>
      </c>
      <c r="Q102" s="4">
        <v>198.0</v>
      </c>
      <c r="R102" s="5" t="s">
        <v>42</v>
      </c>
      <c r="S102" s="4">
        <v>1216.0</v>
      </c>
      <c r="T102" s="5" t="s">
        <v>42</v>
      </c>
      <c r="U102" s="4">
        <v>2.17</v>
      </c>
      <c r="V102" s="5" t="s">
        <v>46</v>
      </c>
      <c r="W102" s="4">
        <v>9.0</v>
      </c>
      <c r="X102" s="6">
        <v>16.0</v>
      </c>
      <c r="Y102" s="4" t="s">
        <v>162</v>
      </c>
      <c r="Z102" s="7">
        <f t="shared" si="1"/>
        <v>34.72</v>
      </c>
      <c r="AA102" s="4">
        <v>15.0</v>
      </c>
      <c r="AB102" s="4">
        <v>65.0</v>
      </c>
      <c r="AC102" s="8">
        <f t="shared" si="2"/>
        <v>975</v>
      </c>
      <c r="AD102" s="13">
        <v>390.6</v>
      </c>
      <c r="AE102" s="10" t="s">
        <v>341</v>
      </c>
      <c r="AF102" s="11"/>
      <c r="AG102" s="11"/>
      <c r="AH102" s="11"/>
      <c r="AI102" s="11"/>
      <c r="AJ102" s="11" t="str">
        <f>IFERROR(__xludf.DUMMYFUNCTION("AI(""Completa un valor adecuado para esta celda en función del contexto de la tabla"")"),"Piso flotante laminado de origen alemán, diseñado para uso comercial con una clasificación de resistencia a la abrasión AC4. Con un espesor de 8 mm y un sistema de instalación click, este modelo no posee bisel y ofrece una superficie uniforme. Cada caja c"&amp;"ubre una superficie de 2.13 m2.")</f>
        <v>Piso flotante laminado de origen alemán, diseñado para uso comercial con una clasificación de resistencia a la abrasión AC4. Con un espesor de 8 mm y un sistema de instalación click, este modelo no posee bisel y ofrece una superficie uniforme. Cada caja cubre una superficie de 2.13 m2.</v>
      </c>
    </row>
    <row r="103" ht="15.75" customHeight="1">
      <c r="A103" s="16">
        <v>24827.0</v>
      </c>
      <c r="B103" s="5" t="s">
        <v>33</v>
      </c>
      <c r="C103" s="5" t="s">
        <v>34</v>
      </c>
      <c r="D103" s="5" t="s">
        <v>35</v>
      </c>
      <c r="E103" s="17" t="s">
        <v>49</v>
      </c>
      <c r="F103" s="17" t="s">
        <v>37</v>
      </c>
      <c r="G103" s="18" t="s">
        <v>342</v>
      </c>
      <c r="H103" s="16">
        <v>8156.0</v>
      </c>
      <c r="I103" s="5" t="s">
        <v>72</v>
      </c>
      <c r="J103" s="18" t="s">
        <v>80</v>
      </c>
      <c r="K103" s="5" t="s">
        <v>41</v>
      </c>
      <c r="L103" s="19">
        <v>8.0</v>
      </c>
      <c r="M103" s="17" t="s">
        <v>42</v>
      </c>
      <c r="N103" s="19" t="s">
        <v>43</v>
      </c>
      <c r="O103" s="19" t="s">
        <v>44</v>
      </c>
      <c r="P103" s="19" t="s">
        <v>45</v>
      </c>
      <c r="Q103" s="16">
        <v>195.0</v>
      </c>
      <c r="R103" s="17" t="s">
        <v>42</v>
      </c>
      <c r="S103" s="16">
        <v>2003.0</v>
      </c>
      <c r="T103" s="17" t="s">
        <v>42</v>
      </c>
      <c r="U103" s="16">
        <v>2.73</v>
      </c>
      <c r="V103" s="17" t="s">
        <v>46</v>
      </c>
      <c r="W103" s="16">
        <v>7.0</v>
      </c>
      <c r="X103" s="20">
        <v>26.85</v>
      </c>
      <c r="Y103" s="19" t="s">
        <v>61</v>
      </c>
      <c r="Z103" s="20">
        <f t="shared" si="1"/>
        <v>73.3005</v>
      </c>
      <c r="AA103" s="4">
        <v>15.0</v>
      </c>
      <c r="AB103" s="16">
        <v>40.0</v>
      </c>
      <c r="AC103" s="8">
        <f t="shared" si="2"/>
        <v>600</v>
      </c>
      <c r="AD103" s="21">
        <v>1591.59</v>
      </c>
      <c r="AE103" s="14" t="s">
        <v>343</v>
      </c>
      <c r="AF103" s="22"/>
      <c r="AG103" s="22"/>
      <c r="AH103" s="22"/>
      <c r="AI103" s="22"/>
      <c r="AJ103" s="22" t="str">
        <f>IFERROR(__xludf.DUMMYFUNCTION("AI(""Completa un valor adecuado para esta celda en función del contexto de la tabla"")"),"Piso flotante laminado de origen alemán, ideal para uso residencial por su resistencia a la abrasión AC3. Con un espesor de 7 mm, este modelo de la marca Krono Original cuenta con bisel y un diseño clásico. Cada caja contiene 10 tablas y cubre una superfi"&amp;"cie de 2.47 m2.")</f>
        <v>Piso flotante laminado de origen alemán, ideal para uso residencial por su resistencia a la abrasión AC3. Con un espesor de 7 mm, este modelo de la marca Krono Original cuenta con bisel y un diseño clásico. Cada caja contiene 10 tablas y cubre una superficie de 2.47 m2.</v>
      </c>
    </row>
    <row r="104" ht="15.75" customHeight="1">
      <c r="A104" s="4">
        <v>19327.0</v>
      </c>
      <c r="B104" s="5" t="s">
        <v>33</v>
      </c>
      <c r="C104" s="5" t="s">
        <v>34</v>
      </c>
      <c r="D104" s="5" t="s">
        <v>35</v>
      </c>
      <c r="E104" s="5" t="s">
        <v>36</v>
      </c>
      <c r="F104" s="5" t="s">
        <v>37</v>
      </c>
      <c r="G104" s="5" t="s">
        <v>344</v>
      </c>
      <c r="H104" s="4" t="s">
        <v>345</v>
      </c>
      <c r="I104" s="5" t="s">
        <v>72</v>
      </c>
      <c r="J104" s="5" t="s">
        <v>215</v>
      </c>
      <c r="K104" s="5" t="s">
        <v>54</v>
      </c>
      <c r="L104" s="4">
        <v>8.0</v>
      </c>
      <c r="M104" s="5" t="s">
        <v>42</v>
      </c>
      <c r="N104" s="4" t="s">
        <v>55</v>
      </c>
      <c r="O104" s="4" t="s">
        <v>44</v>
      </c>
      <c r="P104" s="4" t="s">
        <v>45</v>
      </c>
      <c r="Q104" s="4">
        <v>192.0</v>
      </c>
      <c r="R104" s="5" t="s">
        <v>42</v>
      </c>
      <c r="S104" s="4">
        <v>1280.0</v>
      </c>
      <c r="T104" s="5" t="s">
        <v>42</v>
      </c>
      <c r="U104" s="4">
        <v>2.22</v>
      </c>
      <c r="V104" s="5" t="s">
        <v>46</v>
      </c>
      <c r="W104" s="4">
        <v>9.0</v>
      </c>
      <c r="X104" s="6">
        <v>12.0</v>
      </c>
      <c r="Y104" s="4" t="s">
        <v>56</v>
      </c>
      <c r="Z104" s="7">
        <f t="shared" si="1"/>
        <v>26.64</v>
      </c>
      <c r="AA104" s="4">
        <v>15.0</v>
      </c>
      <c r="AB104" s="8"/>
      <c r="AC104" s="8">
        <f t="shared" si="2"/>
        <v>0</v>
      </c>
      <c r="AD104" s="13">
        <v>104.34</v>
      </c>
      <c r="AE104" s="10" t="s">
        <v>346</v>
      </c>
      <c r="AF104" s="11"/>
      <c r="AG104" s="11"/>
      <c r="AH104" s="11"/>
      <c r="AI104" s="11"/>
      <c r="AJ104" s="11" t="str">
        <f>IFERROR(__xludf.DUMMYFUNCTION("AI(""Completa un valor adecuado para esta celda en función del contexto de la tabla"")"),"Piso flotante laminado de origen alemán, ideal para uso comercial por su resistencia a la abrasión AC4. Con un espesor de 8 mm y sistema de instalación click, este modelo de la línea Dinamic no presenta bisel. Cada caja cubre una superficie de 2.13 m2.")</f>
        <v>Piso flotante laminado de origen alemán, ideal para uso comercial por su resistencia a la abrasión AC4. Con un espesor de 8 mm y sistema de instalación click, este modelo de la línea Dinamic no presenta bisel. Cada caja cubre una superficie de 2.13 m2.</v>
      </c>
    </row>
    <row r="105" ht="15.75" customHeight="1">
      <c r="A105" s="4">
        <v>19385.0</v>
      </c>
      <c r="B105" s="5" t="s">
        <v>33</v>
      </c>
      <c r="C105" s="5" t="s">
        <v>34</v>
      </c>
      <c r="D105" s="5" t="s">
        <v>35</v>
      </c>
      <c r="E105" s="5" t="s">
        <v>36</v>
      </c>
      <c r="F105" s="5" t="s">
        <v>37</v>
      </c>
      <c r="G105" s="5" t="s">
        <v>347</v>
      </c>
      <c r="H105" s="4">
        <v>3181.0</v>
      </c>
      <c r="I105" s="5" t="s">
        <v>39</v>
      </c>
      <c r="J105" s="5" t="s">
        <v>159</v>
      </c>
      <c r="K105" s="5" t="s">
        <v>41</v>
      </c>
      <c r="L105" s="4">
        <v>12.0</v>
      </c>
      <c r="M105" s="5" t="s">
        <v>42</v>
      </c>
      <c r="N105" s="4" t="s">
        <v>43</v>
      </c>
      <c r="O105" s="4" t="s">
        <v>44</v>
      </c>
      <c r="P105" s="4" t="s">
        <v>45</v>
      </c>
      <c r="Q105" s="4">
        <v>188.0</v>
      </c>
      <c r="R105" s="5" t="s">
        <v>42</v>
      </c>
      <c r="S105" s="4">
        <v>1375.0</v>
      </c>
      <c r="T105" s="5" t="s">
        <v>42</v>
      </c>
      <c r="U105" s="4">
        <v>1.3</v>
      </c>
      <c r="V105" s="5" t="s">
        <v>46</v>
      </c>
      <c r="W105" s="4">
        <v>5.0</v>
      </c>
      <c r="X105" s="6">
        <v>19.0</v>
      </c>
      <c r="Y105" s="4" t="s">
        <v>47</v>
      </c>
      <c r="Z105" s="7">
        <f t="shared" si="1"/>
        <v>24.7</v>
      </c>
      <c r="AA105" s="4">
        <v>15.0</v>
      </c>
      <c r="AB105" s="4">
        <v>56.0</v>
      </c>
      <c r="AC105" s="8">
        <f t="shared" si="2"/>
        <v>840</v>
      </c>
      <c r="AD105" s="13">
        <v>568.09</v>
      </c>
      <c r="AE105" s="14" t="s">
        <v>348</v>
      </c>
      <c r="AF105" s="15"/>
      <c r="AG105" s="15"/>
      <c r="AH105" s="15"/>
      <c r="AI105" s="15"/>
      <c r="AJ105" s="15" t="str">
        <f>IFERROR(__xludf.DUMMYFUNCTION("AI(""Completa un valor adecuado para esta celda en función del contexto de la tabla"")"),"Piso flotante laminado de origen alemán, ideal para uso comercial por su resistencia a la abrasión AC4. Con un espesor de 8 mm y sistema de instalación click, este modelo cuenta con bisel y un diseño clásico. Cada caja cubre una superficie de 2.22 m2.")</f>
        <v>Piso flotante laminado de origen alemán, ideal para uso comercial por su resistencia a la abrasión AC4. Con un espesor de 8 mm y sistema de instalación click, este modelo cuenta con bisel y un diseño clásico. Cada caja cubre una superficie de 2.22 m2.</v>
      </c>
    </row>
    <row r="106" ht="15.75" customHeight="1">
      <c r="A106" s="4">
        <v>12070.0</v>
      </c>
      <c r="B106" s="5" t="s">
        <v>33</v>
      </c>
      <c r="C106" s="5" t="s">
        <v>34</v>
      </c>
      <c r="D106" s="5" t="s">
        <v>35</v>
      </c>
      <c r="E106" s="5" t="s">
        <v>36</v>
      </c>
      <c r="F106" s="5" t="s">
        <v>37</v>
      </c>
      <c r="G106" s="5" t="s">
        <v>349</v>
      </c>
      <c r="H106" s="4">
        <v>2413.0</v>
      </c>
      <c r="I106" s="5" t="s">
        <v>39</v>
      </c>
      <c r="J106" s="5" t="s">
        <v>265</v>
      </c>
      <c r="K106" s="5" t="s">
        <v>41</v>
      </c>
      <c r="L106" s="4">
        <v>12.0</v>
      </c>
      <c r="M106" s="5" t="s">
        <v>42</v>
      </c>
      <c r="N106" s="4" t="s">
        <v>43</v>
      </c>
      <c r="O106" s="4" t="s">
        <v>44</v>
      </c>
      <c r="P106" s="4" t="s">
        <v>45</v>
      </c>
      <c r="Q106" s="4">
        <v>188.0</v>
      </c>
      <c r="R106" s="5" t="s">
        <v>42</v>
      </c>
      <c r="S106" s="4">
        <v>1850.0</v>
      </c>
      <c r="T106" s="5" t="s">
        <v>42</v>
      </c>
      <c r="U106" s="4">
        <v>1.39</v>
      </c>
      <c r="V106" s="5" t="s">
        <v>46</v>
      </c>
      <c r="W106" s="4">
        <v>4.0</v>
      </c>
      <c r="X106" s="6">
        <v>24.0</v>
      </c>
      <c r="Y106" s="4" t="s">
        <v>47</v>
      </c>
      <c r="Z106" s="7">
        <f t="shared" si="1"/>
        <v>33.36</v>
      </c>
      <c r="AA106" s="4">
        <v>15.0</v>
      </c>
      <c r="AB106" s="4">
        <v>56.0</v>
      </c>
      <c r="AC106" s="8">
        <f t="shared" si="2"/>
        <v>840</v>
      </c>
      <c r="AD106" s="13">
        <v>55.6</v>
      </c>
      <c r="AE106" s="10" t="s">
        <v>350</v>
      </c>
      <c r="AF106" s="11"/>
      <c r="AG106" s="11"/>
      <c r="AH106" s="11"/>
      <c r="AI106" s="11"/>
      <c r="AJ106" s="11" t="str">
        <f>IFERROR(__xludf.DUMMYFUNCTION("AI(""Completa un valor adecuado para esta celda en función del contexto de la tabla"")"),"Piso flotante laminado de origen alemán, ideal para uso comercial por su resistencia a la abrasión AC4. Con un espesor de 8 mm y sistema de instalación click, este modelo cuenta con bisel y un diseño clásico. Cada caja contiene 8 tablas y cubre una superf"&amp;"icie de 2.13 m2.")</f>
        <v>Piso flotante laminado de origen alemán, ideal para uso comercial por su resistencia a la abrasión AC4. Con un espesor de 8 mm y sistema de instalación click, este modelo cuenta con bisel y un diseño clásico. Cada caja contiene 8 tablas y cubre una superficie de 2.13 m2.</v>
      </c>
    </row>
    <row r="107" ht="15.75" customHeight="1">
      <c r="A107" s="4">
        <v>24775.0</v>
      </c>
      <c r="B107" s="5" t="s">
        <v>33</v>
      </c>
      <c r="C107" s="5" t="s">
        <v>34</v>
      </c>
      <c r="D107" s="5" t="s">
        <v>35</v>
      </c>
      <c r="E107" s="5" t="s">
        <v>36</v>
      </c>
      <c r="F107" s="5" t="s">
        <v>37</v>
      </c>
      <c r="G107" s="5" t="s">
        <v>351</v>
      </c>
      <c r="H107" s="4" t="s">
        <v>352</v>
      </c>
      <c r="I107" s="5" t="s">
        <v>39</v>
      </c>
      <c r="J107" s="5" t="s">
        <v>68</v>
      </c>
      <c r="K107" s="5" t="s">
        <v>169</v>
      </c>
      <c r="L107" s="4">
        <v>7.0</v>
      </c>
      <c r="M107" s="5" t="s">
        <v>42</v>
      </c>
      <c r="N107" s="4" t="s">
        <v>170</v>
      </c>
      <c r="O107" s="4" t="s">
        <v>44</v>
      </c>
      <c r="P107" s="4" t="s">
        <v>44</v>
      </c>
      <c r="Q107" s="4">
        <v>193.0</v>
      </c>
      <c r="R107" s="5" t="s">
        <v>42</v>
      </c>
      <c r="S107" s="4">
        <v>1380.0</v>
      </c>
      <c r="T107" s="5" t="s">
        <v>42</v>
      </c>
      <c r="U107" s="4">
        <v>2.39</v>
      </c>
      <c r="V107" s="5" t="s">
        <v>46</v>
      </c>
      <c r="W107" s="4">
        <v>9.0</v>
      </c>
      <c r="X107" s="6">
        <v>13.1</v>
      </c>
      <c r="Y107" s="4" t="s">
        <v>47</v>
      </c>
      <c r="Z107" s="7">
        <f t="shared" si="1"/>
        <v>31.309</v>
      </c>
      <c r="AA107" s="4">
        <v>15.0</v>
      </c>
      <c r="AB107" s="8"/>
      <c r="AC107" s="8">
        <f t="shared" si="2"/>
        <v>0</v>
      </c>
      <c r="AD107" s="13">
        <v>1926.29</v>
      </c>
      <c r="AE107" s="14" t="s">
        <v>353</v>
      </c>
      <c r="AF107" s="15"/>
      <c r="AG107" s="15"/>
      <c r="AH107" s="15"/>
      <c r="AI107" s="15"/>
      <c r="AJ107" s="15" t="str">
        <f>IFERROR(__xludf.DUMMYFUNCTION("AI(""Completa un valor adecuado para esta celda en función del contexto de la tabla"")"),"Piso flotante laminado de origen alemán, ideal para uso comercial por su resistencia a la abrasión AC4. Con un espesor de 8 mm, este modelo de la línea Castello no posee bisel. Cada caja contiene 9 tablas y cubre una superficie de 2.22 m2.")</f>
        <v>Piso flotante laminado de origen alemán, ideal para uso comercial por su resistencia a la abrasión AC4. Con un espesor de 8 mm, este modelo de la línea Castello no posee bisel. Cada caja contiene 9 tablas y cubre una superficie de 2.22 m2.</v>
      </c>
    </row>
    <row r="108" ht="15.75" customHeight="1">
      <c r="A108" s="4">
        <v>12073.0</v>
      </c>
      <c r="B108" s="5" t="s">
        <v>33</v>
      </c>
      <c r="C108" s="5" t="s">
        <v>34</v>
      </c>
      <c r="D108" s="5" t="s">
        <v>35</v>
      </c>
      <c r="E108" s="5" t="s">
        <v>36</v>
      </c>
      <c r="F108" s="5" t="s">
        <v>37</v>
      </c>
      <c r="G108" s="5" t="s">
        <v>354</v>
      </c>
      <c r="H108" s="4">
        <v>2801.0</v>
      </c>
      <c r="I108" s="5" t="s">
        <v>39</v>
      </c>
      <c r="J108" s="5" t="s">
        <v>265</v>
      </c>
      <c r="K108" s="5" t="s">
        <v>41</v>
      </c>
      <c r="L108" s="4">
        <v>12.0</v>
      </c>
      <c r="M108" s="5" t="s">
        <v>42</v>
      </c>
      <c r="N108" s="4" t="s">
        <v>43</v>
      </c>
      <c r="O108" s="4" t="s">
        <v>44</v>
      </c>
      <c r="P108" s="4" t="s">
        <v>45</v>
      </c>
      <c r="Q108" s="4">
        <v>188.0</v>
      </c>
      <c r="R108" s="5" t="s">
        <v>42</v>
      </c>
      <c r="S108" s="4">
        <v>1850.0</v>
      </c>
      <c r="T108" s="5" t="s">
        <v>42</v>
      </c>
      <c r="U108" s="4">
        <v>1.39</v>
      </c>
      <c r="V108" s="5" t="s">
        <v>46</v>
      </c>
      <c r="W108" s="4">
        <v>4.0</v>
      </c>
      <c r="X108" s="6">
        <v>24.0</v>
      </c>
      <c r="Y108" s="4" t="s">
        <v>47</v>
      </c>
      <c r="Z108" s="7">
        <f t="shared" si="1"/>
        <v>33.36</v>
      </c>
      <c r="AA108" s="4">
        <v>15.0</v>
      </c>
      <c r="AB108" s="4">
        <v>56.0</v>
      </c>
      <c r="AC108" s="8">
        <f t="shared" si="2"/>
        <v>840</v>
      </c>
      <c r="AD108" s="13">
        <v>230.74</v>
      </c>
      <c r="AE108" s="10" t="s">
        <v>355</v>
      </c>
      <c r="AF108" s="11"/>
      <c r="AG108" s="11"/>
      <c r="AH108" s="11"/>
      <c r="AI108" s="11"/>
      <c r="AJ108" s="11" t="str">
        <f>IFERROR(__xludf.DUMMYFUNCTION("AI(""Completa un valor adecuado para esta celda en función del contexto de la tabla"")"),"Piso flotante laminado de origen alemán, marca Krono Original, ideal para uso comercial por su resistencia a la abrasión AC4. Con un espesor de 8 mm y sistema de instalación click, este modelo de la línea Castello no cuenta con bisel ni manto incorporado."&amp;" Cada caja rinde 2.22 m2.")</f>
        <v>Piso flotante laminado de origen alemán, marca Krono Original, ideal para uso comercial por su resistencia a la abrasión AC4. Con un espesor de 8 mm y sistema de instalación click, este modelo de la línea Castello no cuenta con bisel ni manto incorporado. Cada caja rinde 2.22 m2.</v>
      </c>
    </row>
    <row r="109" ht="15.75" customHeight="1">
      <c r="A109" s="4">
        <v>12072.0</v>
      </c>
      <c r="B109" s="5" t="s">
        <v>33</v>
      </c>
      <c r="C109" s="5" t="s">
        <v>34</v>
      </c>
      <c r="D109" s="5" t="s">
        <v>35</v>
      </c>
      <c r="E109" s="5" t="s">
        <v>36</v>
      </c>
      <c r="F109" s="5" t="s">
        <v>37</v>
      </c>
      <c r="G109" s="5" t="s">
        <v>356</v>
      </c>
      <c r="H109" s="4">
        <v>2999.0</v>
      </c>
      <c r="I109" s="5" t="s">
        <v>39</v>
      </c>
      <c r="J109" s="5" t="s">
        <v>265</v>
      </c>
      <c r="K109" s="5" t="s">
        <v>41</v>
      </c>
      <c r="L109" s="4">
        <v>12.0</v>
      </c>
      <c r="M109" s="5" t="s">
        <v>42</v>
      </c>
      <c r="N109" s="4" t="s">
        <v>43</v>
      </c>
      <c r="O109" s="4" t="s">
        <v>44</v>
      </c>
      <c r="P109" s="4" t="s">
        <v>45</v>
      </c>
      <c r="Q109" s="4">
        <v>188.0</v>
      </c>
      <c r="R109" s="5" t="s">
        <v>42</v>
      </c>
      <c r="S109" s="4">
        <v>1850.0</v>
      </c>
      <c r="T109" s="5" t="s">
        <v>42</v>
      </c>
      <c r="U109" s="4">
        <v>1.39</v>
      </c>
      <c r="V109" s="5" t="s">
        <v>46</v>
      </c>
      <c r="W109" s="4">
        <v>4.0</v>
      </c>
      <c r="X109" s="6">
        <v>21.0</v>
      </c>
      <c r="Y109" s="4" t="s">
        <v>47</v>
      </c>
      <c r="Z109" s="7">
        <f t="shared" si="1"/>
        <v>29.19</v>
      </c>
      <c r="AA109" s="4">
        <v>15.0</v>
      </c>
      <c r="AB109" s="4">
        <v>56.0</v>
      </c>
      <c r="AC109" s="8">
        <f t="shared" si="2"/>
        <v>840</v>
      </c>
      <c r="AD109" s="13">
        <v>265.49</v>
      </c>
      <c r="AE109" s="14" t="s">
        <v>357</v>
      </c>
      <c r="AF109" s="15"/>
      <c r="AG109" s="15"/>
      <c r="AH109" s="15"/>
      <c r="AI109" s="15"/>
      <c r="AJ109" s="15" t="str">
        <f>IFERROR(__xludf.DUMMYFUNCTION("AI(""Completa un valor adecuado para esta celda en función del contexto de la tabla"")"),"Piso flotante laminado de origen alemán, ideal para uso comercial por su resistencia a la abrasión AC4. Con un espesor de 8 mm, este modelo no cuenta con bisel y cada caja cubre una superficie de 2.13 m2.")</f>
        <v>Piso flotante laminado de origen alemán, ideal para uso comercial por su resistencia a la abrasión AC4. Con un espesor de 8 mm, este modelo no cuenta con bisel y cada caja cubre una superficie de 2.13 m2.</v>
      </c>
    </row>
    <row r="110" ht="15.75" customHeight="1">
      <c r="A110" s="4">
        <v>22567.0</v>
      </c>
      <c r="B110" s="5" t="s">
        <v>33</v>
      </c>
      <c r="C110" s="5" t="s">
        <v>34</v>
      </c>
      <c r="D110" s="5" t="s">
        <v>35</v>
      </c>
      <c r="E110" s="5" t="s">
        <v>36</v>
      </c>
      <c r="F110" s="5" t="s">
        <v>37</v>
      </c>
      <c r="G110" s="5" t="s">
        <v>358</v>
      </c>
      <c r="H110" s="4" t="s">
        <v>359</v>
      </c>
      <c r="I110" s="5" t="s">
        <v>39</v>
      </c>
      <c r="J110" s="5" t="s">
        <v>86</v>
      </c>
      <c r="K110" s="5" t="s">
        <v>54</v>
      </c>
      <c r="L110" s="4">
        <v>8.0</v>
      </c>
      <c r="M110" s="5" t="s">
        <v>42</v>
      </c>
      <c r="N110" s="4" t="s">
        <v>55</v>
      </c>
      <c r="O110" s="4" t="s">
        <v>44</v>
      </c>
      <c r="P110" s="4" t="s">
        <v>45</v>
      </c>
      <c r="Q110" s="4">
        <v>193.0</v>
      </c>
      <c r="R110" s="5" t="s">
        <v>42</v>
      </c>
      <c r="S110" s="4">
        <v>1380.0</v>
      </c>
      <c r="T110" s="5" t="s">
        <v>42</v>
      </c>
      <c r="U110" s="4">
        <v>2.13</v>
      </c>
      <c r="V110" s="5" t="s">
        <v>46</v>
      </c>
      <c r="W110" s="4">
        <v>8.0</v>
      </c>
      <c r="X110" s="6">
        <v>16.0</v>
      </c>
      <c r="Y110" s="4" t="s">
        <v>56</v>
      </c>
      <c r="Z110" s="7">
        <f t="shared" si="1"/>
        <v>34.08</v>
      </c>
      <c r="AA110" s="4">
        <v>15.0</v>
      </c>
      <c r="AB110" s="8"/>
      <c r="AC110" s="8">
        <f t="shared" si="2"/>
        <v>0</v>
      </c>
      <c r="AD110" s="13">
        <v>1612.53</v>
      </c>
      <c r="AE110" s="10" t="s">
        <v>360</v>
      </c>
      <c r="AF110" s="11"/>
      <c r="AG110" s="11"/>
      <c r="AH110" s="11"/>
      <c r="AI110" s="11"/>
      <c r="AJ110" s="11" t="str">
        <f>IFERROR(__xludf.DUMMYFUNCTION("AI(""Completa un valor adecuado para esta celda en función del contexto de la tabla"")"),"Piso flotante laminado de origen alemán, ideal para uso comercial por su resistencia a la abrasión AC4. Con un espesor de 8 mm y sistema de instalación click, este modelo no cuenta con bisel y pertenece a la línea Dinamic. Cada caja cubre una superficie d"&amp;"e 2.13 m2.")</f>
        <v>Piso flotante laminado de origen alemán, ideal para uso comercial por su resistencia a la abrasión AC4. Con un espesor de 8 mm y sistema de instalación click, este modelo no cuenta con bisel y pertenece a la línea Dinamic. Cada caja cubre una superficie de 2.13 m2.</v>
      </c>
    </row>
    <row r="111" ht="15.75" customHeight="1">
      <c r="A111" s="4">
        <v>19022.0</v>
      </c>
      <c r="B111" s="5" t="s">
        <v>33</v>
      </c>
      <c r="C111" s="5" t="s">
        <v>34</v>
      </c>
      <c r="D111" s="5" t="s">
        <v>35</v>
      </c>
      <c r="E111" s="5" t="s">
        <v>36</v>
      </c>
      <c r="F111" s="5" t="s">
        <v>37</v>
      </c>
      <c r="G111" s="5" t="s">
        <v>361</v>
      </c>
      <c r="H111" s="4">
        <v>4177.0</v>
      </c>
      <c r="I111" s="5" t="s">
        <v>39</v>
      </c>
      <c r="J111" s="5" t="s">
        <v>86</v>
      </c>
      <c r="K111" s="5" t="s">
        <v>54</v>
      </c>
      <c r="L111" s="4">
        <v>8.0</v>
      </c>
      <c r="M111" s="5" t="s">
        <v>42</v>
      </c>
      <c r="N111" s="4" t="s">
        <v>55</v>
      </c>
      <c r="O111" s="4" t="s">
        <v>44</v>
      </c>
      <c r="P111" s="4" t="s">
        <v>44</v>
      </c>
      <c r="Q111" s="4">
        <v>193.0</v>
      </c>
      <c r="R111" s="5" t="s">
        <v>42</v>
      </c>
      <c r="S111" s="4">
        <v>1380.0</v>
      </c>
      <c r="T111" s="5" t="s">
        <v>42</v>
      </c>
      <c r="U111" s="4">
        <v>2.13</v>
      </c>
      <c r="V111" s="5" t="s">
        <v>46</v>
      </c>
      <c r="W111" s="4">
        <v>8.0</v>
      </c>
      <c r="X111" s="6">
        <v>19.1</v>
      </c>
      <c r="Y111" s="4" t="s">
        <v>47</v>
      </c>
      <c r="Z111" s="7">
        <f t="shared" si="1"/>
        <v>40.683</v>
      </c>
      <c r="AA111" s="4">
        <v>15.0</v>
      </c>
      <c r="AB111" s="4">
        <v>56.0</v>
      </c>
      <c r="AC111" s="8">
        <f t="shared" si="2"/>
        <v>840</v>
      </c>
      <c r="AD111" s="13">
        <v>5025.91</v>
      </c>
      <c r="AE111" s="14" t="s">
        <v>362</v>
      </c>
      <c r="AF111" s="15"/>
      <c r="AG111" s="15"/>
      <c r="AH111" s="15"/>
      <c r="AI111" s="15"/>
      <c r="AJ111" s="15" t="str">
        <f>IFERROR(__xludf.DUMMYFUNCTION("AI(""Completa un valor adecuado para esta celda en función del contexto de la tabla"")"),"Piso flotante laminado de origen alemán, marca Kronotex, diseñado para uso residencial con una resistencia a la abrasión AC3. Posee un espesor de 7 mm y un sistema de instalación click sin bisel. Cada caja rinde una superficie de 2.39 m2.")</f>
        <v>Piso flotante laminado de origen alemán, marca Kronotex, diseñado para uso residencial con una resistencia a la abrasión AC3. Posee un espesor de 7 mm y un sistema de instalación click sin bisel. Cada caja rinde una superficie de 2.39 m2.</v>
      </c>
    </row>
    <row r="112" ht="15.75" customHeight="1">
      <c r="A112" s="4">
        <v>18351.0</v>
      </c>
      <c r="B112" s="5" t="s">
        <v>33</v>
      </c>
      <c r="C112" s="5" t="s">
        <v>34</v>
      </c>
      <c r="D112" s="5" t="s">
        <v>35</v>
      </c>
      <c r="E112" s="5" t="s">
        <v>36</v>
      </c>
      <c r="F112" s="5" t="s">
        <v>37</v>
      </c>
      <c r="G112" s="5" t="s">
        <v>363</v>
      </c>
      <c r="H112" s="4">
        <v>5953.0</v>
      </c>
      <c r="I112" s="5" t="s">
        <v>72</v>
      </c>
      <c r="J112" s="5" t="s">
        <v>311</v>
      </c>
      <c r="K112" s="5" t="s">
        <v>41</v>
      </c>
      <c r="L112" s="4">
        <v>14.0</v>
      </c>
      <c r="M112" s="5" t="s">
        <v>42</v>
      </c>
      <c r="N112" s="4" t="s">
        <v>43</v>
      </c>
      <c r="O112" s="4" t="s">
        <v>44</v>
      </c>
      <c r="P112" s="4" t="s">
        <v>45</v>
      </c>
      <c r="Q112" s="4">
        <v>157.0</v>
      </c>
      <c r="R112" s="5" t="s">
        <v>42</v>
      </c>
      <c r="S112" s="4">
        <v>1280.0</v>
      </c>
      <c r="T112" s="5" t="s">
        <v>42</v>
      </c>
      <c r="U112" s="4">
        <v>1.41</v>
      </c>
      <c r="V112" s="5" t="s">
        <v>46</v>
      </c>
      <c r="W112" s="4">
        <v>7.0</v>
      </c>
      <c r="X112" s="6">
        <v>33.5</v>
      </c>
      <c r="Y112" s="4" t="s">
        <v>47</v>
      </c>
      <c r="Z112" s="7">
        <f t="shared" si="1"/>
        <v>47.235</v>
      </c>
      <c r="AA112" s="4">
        <v>15.0</v>
      </c>
      <c r="AB112" s="8"/>
      <c r="AC112" s="8">
        <f t="shared" si="2"/>
        <v>0</v>
      </c>
      <c r="AD112" s="13">
        <v>186.53</v>
      </c>
      <c r="AE112" s="10" t="s">
        <v>364</v>
      </c>
      <c r="AJ112" s="11" t="str">
        <f>IFERROR(__xludf.DUMMYFUNCTION("AI(""Completa un valor adecuado para esta celda en función del contexto de la tabla"")"),"Piso flotante laminado de origen alemán, diseñado para uso comercial con una resistencia a la abrasión AC4. Posee un espesor de 8 mm y un diseño clásico sin bisel. Cada caja rinde 2.13 m2 de superficie.")</f>
        <v>Piso flotante laminado de origen alemán, diseñado para uso comercial con una resistencia a la abrasión AC4. Posee un espesor de 8 mm y un diseño clásico sin bisel. Cada caja rinde 2.13 m2 de superficie.</v>
      </c>
    </row>
    <row r="113" ht="15.75" customHeight="1">
      <c r="A113" s="4">
        <v>18943.0</v>
      </c>
      <c r="B113" s="5" t="s">
        <v>33</v>
      </c>
      <c r="C113" s="5" t="s">
        <v>34</v>
      </c>
      <c r="D113" s="5" t="s">
        <v>35</v>
      </c>
      <c r="E113" s="5" t="s">
        <v>36</v>
      </c>
      <c r="F113" s="5" t="s">
        <v>37</v>
      </c>
      <c r="G113" s="5" t="s">
        <v>365</v>
      </c>
      <c r="H113" s="4">
        <v>2450.0</v>
      </c>
      <c r="I113" s="5" t="s">
        <v>39</v>
      </c>
      <c r="J113" s="5" t="s">
        <v>86</v>
      </c>
      <c r="K113" s="5" t="s">
        <v>54</v>
      </c>
      <c r="L113" s="4">
        <v>8.0</v>
      </c>
      <c r="M113" s="5" t="s">
        <v>42</v>
      </c>
      <c r="N113" s="4" t="s">
        <v>55</v>
      </c>
      <c r="O113" s="4" t="s">
        <v>44</v>
      </c>
      <c r="P113" s="4" t="s">
        <v>44</v>
      </c>
      <c r="Q113" s="4">
        <v>193.0</v>
      </c>
      <c r="R113" s="5" t="s">
        <v>42</v>
      </c>
      <c r="S113" s="4">
        <v>1380.0</v>
      </c>
      <c r="T113" s="5" t="s">
        <v>42</v>
      </c>
      <c r="U113" s="4">
        <v>2.13</v>
      </c>
      <c r="V113" s="5" t="s">
        <v>46</v>
      </c>
      <c r="W113" s="4">
        <v>8.0</v>
      </c>
      <c r="X113" s="6">
        <v>19.1</v>
      </c>
      <c r="Y113" s="4" t="s">
        <v>47</v>
      </c>
      <c r="Z113" s="7">
        <f t="shared" si="1"/>
        <v>40.683</v>
      </c>
      <c r="AA113" s="4">
        <v>15.0</v>
      </c>
      <c r="AB113" s="4">
        <v>56.0</v>
      </c>
      <c r="AC113" s="8">
        <f t="shared" si="2"/>
        <v>840</v>
      </c>
      <c r="AD113" s="13">
        <v>3565.62</v>
      </c>
      <c r="AE113" s="14" t="s">
        <v>366</v>
      </c>
      <c r="AF113" s="15"/>
      <c r="AG113" s="15"/>
      <c r="AH113" s="15"/>
      <c r="AI113" s="15"/>
      <c r="AJ113" s="15" t="str">
        <f>IFERROR(__xludf.DUMMYFUNCTION("AI(""Completa un valor adecuado para esta celda en función del contexto de la tabla"")"),"Piso flotante laminado de origen alemán, diseñado para uso residencial con una resistencia a la abrasión AC3. Posee un espesor de 7 mm, no incluye bisel y su sistema de instalación es apto para diversos ambientes internos. Cada caja contiene 9 tablas que "&amp;"cubren una superficie total de 2.39 m2.")</f>
        <v>Piso flotante laminado de origen alemán, diseñado para uso residencial con una resistencia a la abrasión AC3. Posee un espesor de 7 mm, no incluye bisel y su sistema de instalación es apto para diversos ambientes internos. Cada caja contiene 9 tablas que cubren una superficie total de 2.39 m2.</v>
      </c>
    </row>
    <row r="114" ht="15.75" customHeight="1">
      <c r="A114" s="4">
        <v>17776.0</v>
      </c>
      <c r="B114" s="5" t="s">
        <v>33</v>
      </c>
      <c r="C114" s="5" t="s">
        <v>34</v>
      </c>
      <c r="D114" s="5" t="s">
        <v>35</v>
      </c>
      <c r="E114" s="5" t="s">
        <v>36</v>
      </c>
      <c r="F114" s="5" t="s">
        <v>37</v>
      </c>
      <c r="G114" s="5" t="s">
        <v>367</v>
      </c>
      <c r="H114" s="4">
        <v>3531.0</v>
      </c>
      <c r="I114" s="5" t="s">
        <v>39</v>
      </c>
      <c r="J114" s="5" t="s">
        <v>86</v>
      </c>
      <c r="K114" s="5" t="s">
        <v>54</v>
      </c>
      <c r="L114" s="4">
        <v>8.0</v>
      </c>
      <c r="M114" s="5" t="s">
        <v>42</v>
      </c>
      <c r="N114" s="4" t="s">
        <v>55</v>
      </c>
      <c r="O114" s="4" t="s">
        <v>44</v>
      </c>
      <c r="P114" s="4" t="s">
        <v>44</v>
      </c>
      <c r="Q114" s="4">
        <v>193.0</v>
      </c>
      <c r="R114" s="5" t="s">
        <v>42</v>
      </c>
      <c r="S114" s="4">
        <v>1380.0</v>
      </c>
      <c r="T114" s="5" t="s">
        <v>42</v>
      </c>
      <c r="U114" s="4">
        <v>2.13</v>
      </c>
      <c r="V114" s="5" t="s">
        <v>46</v>
      </c>
      <c r="W114" s="4">
        <v>8.0</v>
      </c>
      <c r="X114" s="6">
        <v>19.1</v>
      </c>
      <c r="Y114" s="4" t="s">
        <v>47</v>
      </c>
      <c r="Z114" s="7">
        <f t="shared" si="1"/>
        <v>40.683</v>
      </c>
      <c r="AA114" s="4">
        <v>15.0</v>
      </c>
      <c r="AB114" s="4">
        <v>56.0</v>
      </c>
      <c r="AC114" s="8">
        <f t="shared" si="2"/>
        <v>840</v>
      </c>
      <c r="AD114" s="13">
        <v>416.47</v>
      </c>
      <c r="AE114" s="10" t="s">
        <v>368</v>
      </c>
      <c r="AF114" s="11"/>
      <c r="AG114" s="11"/>
      <c r="AH114" s="11"/>
      <c r="AI114" s="11"/>
      <c r="AJ114" s="11" t="str">
        <f>IFERROR(__xludf.DUMMYFUNCTION("AI(""Completa un valor adecuado para esta celda en función del contexto de la tabla"")"),"Piso flotante laminado de origen alemán, marca Swiss Krono, diseñado para uso residencial con una resistencia a la abrasión AC3. Posee un espesor de 7 mm, no incluye bisel y cada caja cubre una superficie de 2.4 m2.")</f>
        <v>Piso flotante laminado de origen alemán, marca Swiss Krono, diseñado para uso residencial con una resistencia a la abrasión AC3. Posee un espesor de 7 mm, no incluye bisel y cada caja cubre una superficie de 2.4 m2.</v>
      </c>
    </row>
    <row r="115" ht="15.75" customHeight="1">
      <c r="A115" s="4">
        <v>19189.0</v>
      </c>
      <c r="B115" s="5" t="s">
        <v>33</v>
      </c>
      <c r="C115" s="5" t="s">
        <v>34</v>
      </c>
      <c r="D115" s="5" t="s">
        <v>35</v>
      </c>
      <c r="E115" s="5" t="s">
        <v>36</v>
      </c>
      <c r="F115" s="5" t="s">
        <v>37</v>
      </c>
      <c r="G115" s="5" t="s">
        <v>369</v>
      </c>
      <c r="H115" s="4">
        <v>3668.0</v>
      </c>
      <c r="I115" s="5" t="s">
        <v>39</v>
      </c>
      <c r="J115" s="5" t="s">
        <v>40</v>
      </c>
      <c r="K115" s="5" t="s">
        <v>41</v>
      </c>
      <c r="L115" s="4">
        <v>10.0</v>
      </c>
      <c r="M115" s="5" t="s">
        <v>42</v>
      </c>
      <c r="N115" s="4" t="s">
        <v>43</v>
      </c>
      <c r="O115" s="4" t="s">
        <v>44</v>
      </c>
      <c r="P115" s="4" t="s">
        <v>45</v>
      </c>
      <c r="Q115" s="4">
        <v>157.0</v>
      </c>
      <c r="R115" s="5" t="s">
        <v>42</v>
      </c>
      <c r="S115" s="4">
        <v>1380.0</v>
      </c>
      <c r="T115" s="5" t="s">
        <v>42</v>
      </c>
      <c r="U115" s="4">
        <v>1.3</v>
      </c>
      <c r="V115" s="5" t="s">
        <v>46</v>
      </c>
      <c r="W115" s="4">
        <v>6.0</v>
      </c>
      <c r="X115" s="6">
        <v>22.0</v>
      </c>
      <c r="Y115" s="4" t="s">
        <v>47</v>
      </c>
      <c r="Z115" s="7">
        <f t="shared" si="1"/>
        <v>28.6</v>
      </c>
      <c r="AA115" s="4">
        <v>15.0</v>
      </c>
      <c r="AB115" s="4"/>
      <c r="AC115" s="8">
        <f t="shared" si="2"/>
        <v>0</v>
      </c>
      <c r="AD115" s="13">
        <v>387.4</v>
      </c>
      <c r="AE115" s="14" t="s">
        <v>370</v>
      </c>
      <c r="AF115" s="15"/>
      <c r="AG115" s="15"/>
      <c r="AH115" s="15"/>
      <c r="AI115" s="15"/>
      <c r="AJ115" s="15" t="str">
        <f>IFERROR(__xludf.DUMMYFUNCTION("AI(""Completa un valor adecuado para esta celda en función del contexto de la tabla"")"),"Piso flotante laminado de origen alemán, diseñado para uso residencial con una resistencia a la abrasión AC3. Con un espesor de 7 mm y sistema de instalación click, este modelo de la línea Smart no posee bisel. Cada caja rinde 2.4 m2.")</f>
        <v>Piso flotante laminado de origen alemán, diseñado para uso residencial con una resistencia a la abrasión AC3. Con un espesor de 7 mm y sistema de instalación click, este modelo de la línea Smart no posee bisel. Cada caja rinde 2.4 m2.</v>
      </c>
    </row>
    <row r="116" ht="15.75" customHeight="1">
      <c r="A116" s="4">
        <v>19011.0</v>
      </c>
      <c r="B116" s="5" t="s">
        <v>33</v>
      </c>
      <c r="C116" s="5" t="s">
        <v>34</v>
      </c>
      <c r="D116" s="5" t="s">
        <v>35</v>
      </c>
      <c r="E116" s="5" t="s">
        <v>36</v>
      </c>
      <c r="F116" s="5" t="s">
        <v>37</v>
      </c>
      <c r="G116" s="5" t="s">
        <v>371</v>
      </c>
      <c r="H116" s="4" t="s">
        <v>372</v>
      </c>
      <c r="I116" s="5" t="s">
        <v>72</v>
      </c>
      <c r="J116" s="5" t="s">
        <v>373</v>
      </c>
      <c r="K116" s="5" t="s">
        <v>41</v>
      </c>
      <c r="L116" s="4">
        <v>12.0</v>
      </c>
      <c r="M116" s="5" t="s">
        <v>42</v>
      </c>
      <c r="N116" s="4" t="s">
        <v>43</v>
      </c>
      <c r="O116" s="4" t="s">
        <v>44</v>
      </c>
      <c r="P116" s="4" t="s">
        <v>45</v>
      </c>
      <c r="Q116" s="4">
        <v>192.0</v>
      </c>
      <c r="R116" s="5" t="s">
        <v>42</v>
      </c>
      <c r="S116" s="4">
        <v>1290.0</v>
      </c>
      <c r="T116" s="5" t="s">
        <v>42</v>
      </c>
      <c r="U116" s="4">
        <v>1.48</v>
      </c>
      <c r="V116" s="5" t="s">
        <v>46</v>
      </c>
      <c r="W116" s="4">
        <v>6.0</v>
      </c>
      <c r="X116" s="6">
        <v>21.0</v>
      </c>
      <c r="Y116" s="4" t="s">
        <v>47</v>
      </c>
      <c r="Z116" s="7">
        <f t="shared" si="1"/>
        <v>31.08</v>
      </c>
      <c r="AA116" s="4">
        <v>15.0</v>
      </c>
      <c r="AB116" s="4">
        <v>52.0</v>
      </c>
      <c r="AC116" s="8">
        <f t="shared" si="2"/>
        <v>780</v>
      </c>
      <c r="AD116" s="13">
        <v>309.32</v>
      </c>
      <c r="AE116" s="10" t="s">
        <v>374</v>
      </c>
      <c r="AF116" s="11"/>
      <c r="AG116" s="11"/>
      <c r="AH116" s="11"/>
      <c r="AI116" s="11"/>
      <c r="AJ116" s="11" t="str">
        <f>IFERROR(__xludf.DUMMYFUNCTION("AI(""Completa un valor adecuado para esta celda en función del contexto de la tabla"")"),"Piso flotante laminado de origen alemán con diseño de arce natural, ideal para uso comercial por su resistencia a la abrasión AC4. Posee un espesor de 7 mm, sistema de instalación click y no incluye manto incorporado. Cada caja cubre una superficie de 2.3"&amp;"9 m2.")</f>
        <v>Piso flotante laminado de origen alemán con diseño de arce natural, ideal para uso comercial por su resistencia a la abrasión AC4. Posee un espesor de 7 mm, sistema de instalación click y no incluye manto incorporado. Cada caja cubre una superficie de 2.39 m2.</v>
      </c>
    </row>
    <row r="117" ht="15.75" customHeight="1">
      <c r="A117" s="4">
        <v>19003.0</v>
      </c>
      <c r="B117" s="5" t="s">
        <v>33</v>
      </c>
      <c r="C117" s="5" t="s">
        <v>34</v>
      </c>
      <c r="D117" s="5" t="s">
        <v>35</v>
      </c>
      <c r="E117" s="5" t="s">
        <v>36</v>
      </c>
      <c r="F117" s="5" t="s">
        <v>37</v>
      </c>
      <c r="G117" s="5" t="s">
        <v>375</v>
      </c>
      <c r="H117" s="4" t="s">
        <v>376</v>
      </c>
      <c r="I117" s="5" t="s">
        <v>39</v>
      </c>
      <c r="J117" s="5" t="s">
        <v>117</v>
      </c>
      <c r="K117" s="5" t="s">
        <v>54</v>
      </c>
      <c r="L117" s="4">
        <v>8.0</v>
      </c>
      <c r="M117" s="5" t="s">
        <v>42</v>
      </c>
      <c r="N117" s="4" t="s">
        <v>55</v>
      </c>
      <c r="O117" s="4" t="s">
        <v>44</v>
      </c>
      <c r="P117" s="4" t="s">
        <v>44</v>
      </c>
      <c r="Q117" s="4">
        <v>192.0</v>
      </c>
      <c r="R117" s="5" t="s">
        <v>42</v>
      </c>
      <c r="S117" s="4">
        <v>1280.0</v>
      </c>
      <c r="T117" s="5" t="s">
        <v>42</v>
      </c>
      <c r="U117" s="4">
        <v>2.22</v>
      </c>
      <c r="V117" s="5" t="s">
        <v>46</v>
      </c>
      <c r="W117" s="4">
        <v>9.0</v>
      </c>
      <c r="X117" s="6">
        <v>16.0</v>
      </c>
      <c r="Y117" s="4" t="s">
        <v>56</v>
      </c>
      <c r="Z117" s="7">
        <f t="shared" si="1"/>
        <v>35.52</v>
      </c>
      <c r="AA117" s="4">
        <v>15.0</v>
      </c>
      <c r="AB117" s="8"/>
      <c r="AC117" s="8">
        <f t="shared" si="2"/>
        <v>0</v>
      </c>
      <c r="AD117" s="13">
        <v>2743.92</v>
      </c>
      <c r="AE117" s="14" t="s">
        <v>377</v>
      </c>
      <c r="AF117" s="15"/>
      <c r="AG117" s="15"/>
      <c r="AH117" s="15"/>
      <c r="AI117" s="15"/>
      <c r="AJ117" s="15" t="str">
        <f>IFERROR(__xludf.DUMMYFUNCTION("AI(""Completa un valor adecuado para esta celda en función del contexto de la tabla"")"),"Piso flotante de origen alemán con un espesor de 7 mm, diseñado para uso residencial por su nivel de resistencia a la abrasión AC3. Este modelo de la línea Smart presenta un acabado clásico sin bisel y un sistema de instalación click que facilita su coloc"&amp;"ación. Cada caja contiene 9 tablas y cubre una superficie total de 2.4 m2.")</f>
        <v>Piso flotante de origen alemán con un espesor de 7 mm, diseñado para uso residencial por su nivel de resistencia a la abrasión AC3. Este modelo de la línea Smart presenta un acabado clásico sin bisel y un sistema de instalación click que facilita su colocación. Cada caja contiene 9 tablas y cubre una superficie total de 2.4 m2.</v>
      </c>
    </row>
    <row r="118" ht="15.75" customHeight="1">
      <c r="A118" s="4">
        <v>18947.0</v>
      </c>
      <c r="B118" s="5" t="s">
        <v>33</v>
      </c>
      <c r="C118" s="5" t="s">
        <v>34</v>
      </c>
      <c r="D118" s="5" t="s">
        <v>35</v>
      </c>
      <c r="E118" s="5" t="s">
        <v>36</v>
      </c>
      <c r="F118" s="5" t="s">
        <v>37</v>
      </c>
      <c r="G118" s="5" t="s">
        <v>378</v>
      </c>
      <c r="H118" s="4">
        <v>4787.0</v>
      </c>
      <c r="I118" s="5" t="s">
        <v>39</v>
      </c>
      <c r="J118" s="5" t="s">
        <v>379</v>
      </c>
      <c r="K118" s="5" t="s">
        <v>54</v>
      </c>
      <c r="L118" s="4">
        <v>8.0</v>
      </c>
      <c r="M118" s="5" t="s">
        <v>42</v>
      </c>
      <c r="N118" s="4" t="s">
        <v>55</v>
      </c>
      <c r="O118" s="4" t="s">
        <v>44</v>
      </c>
      <c r="P118" s="4" t="s">
        <v>45</v>
      </c>
      <c r="Q118" s="4">
        <v>244.0</v>
      </c>
      <c r="R118" s="5" t="s">
        <v>42</v>
      </c>
      <c r="S118" s="4">
        <v>1380.0</v>
      </c>
      <c r="T118" s="5" t="s">
        <v>42</v>
      </c>
      <c r="U118" s="4">
        <v>2.7</v>
      </c>
      <c r="V118" s="5" t="s">
        <v>46</v>
      </c>
      <c r="W118" s="8"/>
      <c r="X118" s="6">
        <v>18.0</v>
      </c>
      <c r="Y118" s="4" t="s">
        <v>47</v>
      </c>
      <c r="Z118" s="7">
        <f t="shared" si="1"/>
        <v>48.6</v>
      </c>
      <c r="AA118" s="4">
        <v>15.0</v>
      </c>
      <c r="AB118" s="4">
        <v>42.0</v>
      </c>
      <c r="AC118" s="8">
        <f t="shared" si="2"/>
        <v>630</v>
      </c>
      <c r="AD118" s="13">
        <v>580.5</v>
      </c>
      <c r="AE118" s="10" t="s">
        <v>380</v>
      </c>
      <c r="AF118" s="11"/>
      <c r="AG118" s="11"/>
      <c r="AH118" s="11"/>
      <c r="AI118" s="11"/>
      <c r="AJ118" s="11" t="str">
        <f>IFERROR(__xludf.DUMMYFUNCTION("AI(""Completa un valor adecuado para esta celda en función del contexto de la tabla"")"),"Piso flotante laminado de origen alemán, marca Krono Original y línea Kronofix, diseñado para uso residencial con resistencia AC3. Con un espesor de 7 mm y sistema de instalación click, este modelo clásico en color Pine Gris Antique no incluye manto incor"&amp;"porado. Cada caja contiene 10 tablas que cubren una superficie de 2.47 m2.")</f>
        <v>Piso flotante laminado de origen alemán, marca Krono Original y línea Kronofix, diseñado para uso residencial con resistencia AC3. Con un espesor de 7 mm y sistema de instalación click, este modelo clásico en color Pine Gris Antique no incluye manto incorporado. Cada caja contiene 10 tablas que cubren una superficie de 2.47 m2.</v>
      </c>
    </row>
    <row r="119" ht="15.75" customHeight="1">
      <c r="A119" s="4">
        <v>18942.0</v>
      </c>
      <c r="B119" s="5" t="s">
        <v>33</v>
      </c>
      <c r="C119" s="5" t="s">
        <v>34</v>
      </c>
      <c r="D119" s="5" t="s">
        <v>35</v>
      </c>
      <c r="E119" s="5" t="s">
        <v>36</v>
      </c>
      <c r="F119" s="5" t="s">
        <v>37</v>
      </c>
      <c r="G119" s="5" t="s">
        <v>381</v>
      </c>
      <c r="H119" s="4" t="s">
        <v>382</v>
      </c>
      <c r="I119" s="5" t="s">
        <v>39</v>
      </c>
      <c r="J119" s="5" t="s">
        <v>86</v>
      </c>
      <c r="K119" s="5" t="s">
        <v>54</v>
      </c>
      <c r="L119" s="4">
        <v>8.0</v>
      </c>
      <c r="M119" s="5" t="s">
        <v>42</v>
      </c>
      <c r="N119" s="4" t="s">
        <v>55</v>
      </c>
      <c r="O119" s="4" t="s">
        <v>44</v>
      </c>
      <c r="P119" s="4" t="s">
        <v>44</v>
      </c>
      <c r="Q119" s="4">
        <v>193.0</v>
      </c>
      <c r="R119" s="5" t="s">
        <v>42</v>
      </c>
      <c r="S119" s="4">
        <v>1380.0</v>
      </c>
      <c r="T119" s="5" t="s">
        <v>42</v>
      </c>
      <c r="U119" s="4">
        <v>2.13</v>
      </c>
      <c r="V119" s="5" t="s">
        <v>46</v>
      </c>
      <c r="W119" s="4">
        <v>8.0</v>
      </c>
      <c r="X119" s="6">
        <v>16.0</v>
      </c>
      <c r="Y119" s="4" t="s">
        <v>56</v>
      </c>
      <c r="Z119" s="7">
        <f t="shared" si="1"/>
        <v>34.08</v>
      </c>
      <c r="AA119" s="4">
        <v>15.0</v>
      </c>
      <c r="AB119" s="8"/>
      <c r="AC119" s="8">
        <f t="shared" si="2"/>
        <v>0</v>
      </c>
      <c r="AD119" s="13">
        <v>1094.82</v>
      </c>
      <c r="AE119" s="14" t="s">
        <v>383</v>
      </c>
      <c r="AF119" s="15"/>
      <c r="AG119" s="15"/>
      <c r="AH119" s="15"/>
      <c r="AI119" s="15"/>
      <c r="AJ119" s="15" t="str">
        <f>IFERROR(__xludf.DUMMYFUNCTION("AI(""Completa un valor adecuado para esta celda en función del contexto de la tabla"")"),"Piso flotante laminado de origen alemán, diseñado para uso residencial con una resistencia a la abrasión AC3. Posee un espesor de 7 mm y un sistema de instalación clásico sin bisel. Cada caja contiene 10 tablas que cubren una superficie total de 2.47 m2.")</f>
        <v>Piso flotante laminado de origen alemán, diseñado para uso residencial con una resistencia a la abrasión AC3. Posee un espesor de 7 mm y un sistema de instalación clásico sin bisel. Cada caja contiene 10 tablas que cubren una superficie total de 2.47 m2.</v>
      </c>
    </row>
    <row r="120" ht="15.75" customHeight="1">
      <c r="A120" s="4">
        <v>14759.0</v>
      </c>
      <c r="B120" s="5" t="s">
        <v>33</v>
      </c>
      <c r="C120" s="5" t="s">
        <v>34</v>
      </c>
      <c r="D120" s="5" t="s">
        <v>35</v>
      </c>
      <c r="E120" s="5" t="s">
        <v>36</v>
      </c>
      <c r="F120" s="5" t="s">
        <v>37</v>
      </c>
      <c r="G120" s="5" t="s">
        <v>384</v>
      </c>
      <c r="H120" s="4">
        <v>3570.0</v>
      </c>
      <c r="I120" s="5" t="s">
        <v>39</v>
      </c>
      <c r="J120" s="5" t="s">
        <v>159</v>
      </c>
      <c r="K120" s="5" t="s">
        <v>41</v>
      </c>
      <c r="L120" s="4">
        <v>12.0</v>
      </c>
      <c r="M120" s="5" t="s">
        <v>42</v>
      </c>
      <c r="N120" s="4" t="s">
        <v>43</v>
      </c>
      <c r="O120" s="4" t="s">
        <v>44</v>
      </c>
      <c r="P120" s="4" t="s">
        <v>45</v>
      </c>
      <c r="Q120" s="4">
        <v>188.0</v>
      </c>
      <c r="R120" s="5" t="s">
        <v>42</v>
      </c>
      <c r="S120" s="4">
        <v>1380.0</v>
      </c>
      <c r="T120" s="5" t="s">
        <v>42</v>
      </c>
      <c r="U120" s="4">
        <v>1.3</v>
      </c>
      <c r="V120" s="5" t="s">
        <v>46</v>
      </c>
      <c r="W120" s="4">
        <v>5.0</v>
      </c>
      <c r="X120" s="6">
        <v>30.75</v>
      </c>
      <c r="Y120" s="4" t="s">
        <v>47</v>
      </c>
      <c r="Z120" s="7">
        <f t="shared" si="1"/>
        <v>39.975</v>
      </c>
      <c r="AA120" s="4">
        <v>15.0</v>
      </c>
      <c r="AB120" s="4">
        <v>56.0</v>
      </c>
      <c r="AC120" s="8">
        <f t="shared" si="2"/>
        <v>840</v>
      </c>
      <c r="AD120" s="13">
        <v>408.19</v>
      </c>
      <c r="AE120" s="10" t="s">
        <v>385</v>
      </c>
      <c r="AJ120" s="11" t="str">
        <f>IFERROR(__xludf.DUMMYFUNCTION("AI(""Completa un valor adecuado para esta celda en función del contexto de la tabla"")"),"Piso flotante laminado de origen alemán, diseñado para uso comercial con resistencia a la abrasión AC4. Posee un espesor de 8 mm, cuenta con bisel y un sistema de instalación eficiente. Cada caja contiene 9 tablas y cubre una superficie de 2.22 m2.")</f>
        <v>Piso flotante laminado de origen alemán, diseñado para uso comercial con resistencia a la abrasión AC4. Posee un espesor de 8 mm, cuenta con bisel y un sistema de instalación eficiente. Cada caja contiene 9 tablas y cubre una superficie de 2.22 m2.</v>
      </c>
    </row>
    <row r="121" ht="15.75" customHeight="1">
      <c r="A121" s="4">
        <v>14691.0</v>
      </c>
      <c r="B121" s="5" t="s">
        <v>33</v>
      </c>
      <c r="C121" s="5" t="s">
        <v>34</v>
      </c>
      <c r="D121" s="5" t="s">
        <v>35</v>
      </c>
      <c r="E121" s="5" t="s">
        <v>36</v>
      </c>
      <c r="F121" s="5" t="s">
        <v>37</v>
      </c>
      <c r="G121" s="5" t="s">
        <v>386</v>
      </c>
      <c r="H121" s="4">
        <v>3570.0</v>
      </c>
      <c r="I121" s="5" t="s">
        <v>39</v>
      </c>
      <c r="J121" s="5" t="s">
        <v>379</v>
      </c>
      <c r="K121" s="5" t="s">
        <v>54</v>
      </c>
      <c r="L121" s="4">
        <v>8.0</v>
      </c>
      <c r="M121" s="5" t="s">
        <v>42</v>
      </c>
      <c r="N121" s="4" t="s">
        <v>55</v>
      </c>
      <c r="O121" s="4" t="s">
        <v>44</v>
      </c>
      <c r="P121" s="4" t="s">
        <v>45</v>
      </c>
      <c r="Q121" s="4">
        <v>224.0</v>
      </c>
      <c r="R121" s="5" t="s">
        <v>42</v>
      </c>
      <c r="S121" s="4">
        <v>1380.0</v>
      </c>
      <c r="T121" s="5" t="s">
        <v>42</v>
      </c>
      <c r="U121" s="4">
        <v>2.7</v>
      </c>
      <c r="V121" s="5" t="s">
        <v>46</v>
      </c>
      <c r="W121" s="4">
        <v>8.0</v>
      </c>
      <c r="X121" s="6">
        <v>23.35</v>
      </c>
      <c r="Y121" s="4" t="s">
        <v>47</v>
      </c>
      <c r="Z121" s="7">
        <f t="shared" si="1"/>
        <v>63.045</v>
      </c>
      <c r="AA121" s="4">
        <v>15.0</v>
      </c>
      <c r="AB121" s="4">
        <v>42.0</v>
      </c>
      <c r="AC121" s="8">
        <f t="shared" si="2"/>
        <v>630</v>
      </c>
      <c r="AD121" s="13">
        <v>337.6</v>
      </c>
      <c r="AE121" s="14" t="s">
        <v>387</v>
      </c>
      <c r="AF121" s="15"/>
      <c r="AG121" s="15"/>
      <c r="AH121" s="15"/>
      <c r="AI121" s="15"/>
      <c r="AJ121" s="15" t="str">
        <f>IFERROR(__xludf.DUMMYFUNCTION("AI(""Completa un valor adecuado para esta celda en función del contexto de la tabla"")"),"Piso flotante laminado de origen alemán, ideal para uso comercial por su resistencia a la abrasión AC4. Con un espesor de 8 mm y sistema de instalación click, este modelo cuenta con bisel y un diseño de tablas anchas de 244 mm. Cada caja cubre una superfi"&amp;"cie de 2.7 m2.")</f>
        <v>Piso flotante laminado de origen alemán, ideal para uso comercial por su resistencia a la abrasión AC4. Con un espesor de 8 mm y sistema de instalación click, este modelo cuenta con bisel y un diseño de tablas anchas de 244 mm. Cada caja cubre una superficie de 2.7 m2.</v>
      </c>
    </row>
    <row r="122" ht="15.75" customHeight="1">
      <c r="A122" s="4">
        <v>15976.0</v>
      </c>
      <c r="B122" s="5" t="s">
        <v>33</v>
      </c>
      <c r="C122" s="5" t="s">
        <v>34</v>
      </c>
      <c r="D122" s="5" t="s">
        <v>35</v>
      </c>
      <c r="E122" s="5" t="s">
        <v>36</v>
      </c>
      <c r="F122" s="5" t="s">
        <v>37</v>
      </c>
      <c r="G122" s="5" t="s">
        <v>388</v>
      </c>
      <c r="H122" s="4">
        <v>3572.0</v>
      </c>
      <c r="I122" s="5" t="s">
        <v>39</v>
      </c>
      <c r="J122" s="5" t="s">
        <v>379</v>
      </c>
      <c r="K122" s="5" t="s">
        <v>54</v>
      </c>
      <c r="L122" s="4">
        <v>8.0</v>
      </c>
      <c r="M122" s="5" t="s">
        <v>42</v>
      </c>
      <c r="N122" s="4" t="s">
        <v>55</v>
      </c>
      <c r="O122" s="4" t="s">
        <v>44</v>
      </c>
      <c r="P122" s="4" t="s">
        <v>45</v>
      </c>
      <c r="Q122" s="4">
        <v>244.0</v>
      </c>
      <c r="R122" s="5" t="s">
        <v>42</v>
      </c>
      <c r="S122" s="4">
        <v>1380.0</v>
      </c>
      <c r="T122" s="5" t="s">
        <v>42</v>
      </c>
      <c r="U122" s="4">
        <v>2.7</v>
      </c>
      <c r="V122" s="5" t="s">
        <v>46</v>
      </c>
      <c r="W122" s="4">
        <v>8.0</v>
      </c>
      <c r="X122" s="6">
        <v>18.0</v>
      </c>
      <c r="Y122" s="4" t="s">
        <v>47</v>
      </c>
      <c r="Z122" s="7">
        <f t="shared" si="1"/>
        <v>48.6</v>
      </c>
      <c r="AA122" s="4">
        <v>15.0</v>
      </c>
      <c r="AB122" s="4">
        <v>42.0</v>
      </c>
      <c r="AC122" s="8">
        <f t="shared" si="2"/>
        <v>630</v>
      </c>
      <c r="AD122" s="13">
        <v>367.2</v>
      </c>
      <c r="AE122" s="10" t="s">
        <v>389</v>
      </c>
      <c r="AF122" s="11"/>
      <c r="AG122" s="11"/>
      <c r="AH122" s="11"/>
      <c r="AI122" s="11"/>
      <c r="AJ122" s="11" t="str">
        <f>IFERROR(__xludf.DUMMYFUNCTION("AI(""Completa un valor adecuado para esta celda en función del contexto de la tabla"")"),"Piso flotante laminado de origen alemán, diseñado para uso residencial con una resistencia a la abrasión AC3. Presenta un espesor de 7 mm, no incluye bisel ni manto incorporado, y cada caja rinde una superficie de 2.4 m2.")</f>
        <v>Piso flotante laminado de origen alemán, diseñado para uso residencial con una resistencia a la abrasión AC3. Presenta un espesor de 7 mm, no incluye bisel ni manto incorporado, y cada caja rinde una superficie de 2.4 m2.</v>
      </c>
    </row>
    <row r="123" ht="15.75" customHeight="1">
      <c r="A123" s="4">
        <v>18180.0</v>
      </c>
      <c r="B123" s="5" t="s">
        <v>33</v>
      </c>
      <c r="C123" s="5" t="s">
        <v>34</v>
      </c>
      <c r="D123" s="5" t="s">
        <v>35</v>
      </c>
      <c r="E123" s="5" t="s">
        <v>36</v>
      </c>
      <c r="F123" s="5" t="s">
        <v>37</v>
      </c>
      <c r="G123" s="5" t="s">
        <v>388</v>
      </c>
      <c r="H123" s="4">
        <v>3572.0</v>
      </c>
      <c r="I123" s="5" t="s">
        <v>39</v>
      </c>
      <c r="J123" s="5" t="s">
        <v>40</v>
      </c>
      <c r="K123" s="5" t="s">
        <v>41</v>
      </c>
      <c r="L123" s="4">
        <v>10.0</v>
      </c>
      <c r="M123" s="5" t="s">
        <v>42</v>
      </c>
      <c r="N123" s="4" t="s">
        <v>43</v>
      </c>
      <c r="O123" s="4" t="s">
        <v>44</v>
      </c>
      <c r="P123" s="4" t="s">
        <v>45</v>
      </c>
      <c r="Q123" s="4">
        <v>157.0</v>
      </c>
      <c r="R123" s="5" t="s">
        <v>42</v>
      </c>
      <c r="S123" s="4">
        <v>1380.0</v>
      </c>
      <c r="T123" s="5" t="s">
        <v>42</v>
      </c>
      <c r="U123" s="4">
        <v>1.3</v>
      </c>
      <c r="V123" s="5" t="s">
        <v>46</v>
      </c>
      <c r="W123" s="4">
        <v>6.0</v>
      </c>
      <c r="X123" s="6">
        <v>22.0</v>
      </c>
      <c r="Y123" s="4" t="s">
        <v>47</v>
      </c>
      <c r="Z123" s="7">
        <f t="shared" si="1"/>
        <v>28.6</v>
      </c>
      <c r="AA123" s="4">
        <v>15.0</v>
      </c>
      <c r="AB123" s="4"/>
      <c r="AC123" s="8">
        <f t="shared" si="2"/>
        <v>0</v>
      </c>
      <c r="AD123" s="13">
        <v>432.9</v>
      </c>
      <c r="AE123" s="14" t="s">
        <v>390</v>
      </c>
      <c r="AF123" s="15"/>
      <c r="AG123" s="15"/>
      <c r="AH123" s="15"/>
      <c r="AI123" s="15"/>
      <c r="AJ123" s="15" t="str">
        <f>IFERROR(__xludf.DUMMYFUNCTION("AI(""Completa un valor adecuado para esta celda en función del contexto de la tabla"")"),"Piso flotante laminado de origen alemán, ideal para uso comercial intenso por su resistencia a la abrasión AC5. Con un espesor de 8 mm, este modelo cuenta con bisel y un diseño clásico sin protección resistente al agua. Cada caja cubre una superficie de 2"&amp;".13 m2.")</f>
        <v>Piso flotante laminado de origen alemán, ideal para uso comercial intenso por su resistencia a la abrasión AC5. Con un espesor de 8 mm, este modelo cuenta con bisel y un diseño clásico sin protección resistente al agua. Cada caja cubre una superficie de 2.13 m2.</v>
      </c>
    </row>
    <row r="124" ht="15.75" customHeight="1">
      <c r="A124" s="4">
        <v>16999.0</v>
      </c>
      <c r="B124" s="5" t="s">
        <v>33</v>
      </c>
      <c r="C124" s="5" t="s">
        <v>34</v>
      </c>
      <c r="D124" s="5" t="s">
        <v>35</v>
      </c>
      <c r="E124" s="5" t="s">
        <v>36</v>
      </c>
      <c r="F124" s="5" t="s">
        <v>37</v>
      </c>
      <c r="G124" s="5" t="s">
        <v>391</v>
      </c>
      <c r="H124" s="4">
        <v>4754.0</v>
      </c>
      <c r="I124" s="5" t="s">
        <v>39</v>
      </c>
      <c r="J124" s="5" t="s">
        <v>40</v>
      </c>
      <c r="K124" s="5" t="s">
        <v>41</v>
      </c>
      <c r="L124" s="4">
        <v>10.0</v>
      </c>
      <c r="M124" s="5" t="s">
        <v>42</v>
      </c>
      <c r="N124" s="4" t="s">
        <v>43</v>
      </c>
      <c r="O124" s="4" t="s">
        <v>44</v>
      </c>
      <c r="P124" s="4" t="s">
        <v>45</v>
      </c>
      <c r="Q124" s="4">
        <v>157.0</v>
      </c>
      <c r="R124" s="5" t="s">
        <v>42</v>
      </c>
      <c r="S124" s="4">
        <v>1380.0</v>
      </c>
      <c r="T124" s="5" t="s">
        <v>42</v>
      </c>
      <c r="U124" s="4">
        <v>1.3</v>
      </c>
      <c r="V124" s="5" t="s">
        <v>46</v>
      </c>
      <c r="W124" s="4">
        <v>6.0</v>
      </c>
      <c r="X124" s="6">
        <v>28.8</v>
      </c>
      <c r="Y124" s="4" t="s">
        <v>47</v>
      </c>
      <c r="Z124" s="7">
        <f t="shared" si="1"/>
        <v>37.44</v>
      </c>
      <c r="AA124" s="4">
        <v>15.0</v>
      </c>
      <c r="AB124" s="8"/>
      <c r="AC124" s="8">
        <f t="shared" si="2"/>
        <v>0</v>
      </c>
      <c r="AD124" s="13">
        <v>708.5</v>
      </c>
      <c r="AE124" s="10" t="s">
        <v>392</v>
      </c>
      <c r="AF124" s="11"/>
      <c r="AG124" s="11"/>
      <c r="AH124" s="11"/>
      <c r="AI124" s="11"/>
      <c r="AJ124" s="11" t="str">
        <f>IFERROR(__xludf.DUMMYFUNCTION("AI(""Completa un valor adecuado para esta celda en función del contexto de la tabla"")"),"Piso flotante de origen alemán de la marca Krono Original, línea Kronofix, diseñado para uso residencial con una resistencia a la abrasión AC3. Posee un espesor de 7 mm, no incluye bisel ni manto incorporado, y cada caja rinde una superficie de 2.47 m2.")</f>
        <v>Piso flotante de origen alemán de la marca Krono Original, línea Kronofix, diseñado para uso residencial con una resistencia a la abrasión AC3. Posee un espesor de 7 mm, no incluye bisel ni manto incorporado, y cada caja rinde una superficie de 2.47 m2.</v>
      </c>
    </row>
    <row r="125" ht="15.75" customHeight="1">
      <c r="A125" s="4">
        <v>18030.0</v>
      </c>
      <c r="B125" s="5" t="s">
        <v>33</v>
      </c>
      <c r="C125" s="5" t="s">
        <v>34</v>
      </c>
      <c r="D125" s="5" t="s">
        <v>35</v>
      </c>
      <c r="E125" s="5" t="s">
        <v>36</v>
      </c>
      <c r="F125" s="5" t="s">
        <v>37</v>
      </c>
      <c r="G125" s="5" t="s">
        <v>393</v>
      </c>
      <c r="H125" s="4">
        <v>4155.0</v>
      </c>
      <c r="I125" s="5" t="s">
        <v>39</v>
      </c>
      <c r="J125" s="5" t="s">
        <v>86</v>
      </c>
      <c r="K125" s="5" t="s">
        <v>54</v>
      </c>
      <c r="L125" s="4">
        <v>8.0</v>
      </c>
      <c r="M125" s="5" t="s">
        <v>42</v>
      </c>
      <c r="N125" s="4" t="s">
        <v>55</v>
      </c>
      <c r="O125" s="4" t="s">
        <v>44</v>
      </c>
      <c r="P125" s="4" t="s">
        <v>44</v>
      </c>
      <c r="Q125" s="4">
        <v>193.0</v>
      </c>
      <c r="R125" s="5" t="s">
        <v>42</v>
      </c>
      <c r="S125" s="4">
        <v>1380.0</v>
      </c>
      <c r="T125" s="5" t="s">
        <v>42</v>
      </c>
      <c r="U125" s="4">
        <v>2.13</v>
      </c>
      <c r="V125" s="5" t="s">
        <v>46</v>
      </c>
      <c r="W125" s="4">
        <v>8.0</v>
      </c>
      <c r="X125" s="6">
        <v>19.1</v>
      </c>
      <c r="Y125" s="4" t="s">
        <v>47</v>
      </c>
      <c r="Z125" s="7">
        <f t="shared" si="1"/>
        <v>40.683</v>
      </c>
      <c r="AA125" s="4">
        <v>15.0</v>
      </c>
      <c r="AB125" s="4">
        <v>56.0</v>
      </c>
      <c r="AC125" s="8">
        <f t="shared" si="2"/>
        <v>840</v>
      </c>
      <c r="AD125" s="13">
        <v>3139.62</v>
      </c>
      <c r="AE125" s="14" t="s">
        <v>394</v>
      </c>
      <c r="AF125" s="15"/>
      <c r="AG125" s="15"/>
      <c r="AH125" s="15"/>
      <c r="AI125" s="15"/>
      <c r="AJ125" s="15" t="str">
        <f>IFERROR(__xludf.DUMMYFUNCTION("AI(""Completa un valor adecuado para esta celda en función del contexto de la tabla"")"),"Piso flotante laminado de origen alemán, diseñado para uso comercial por su resistencia a la abrasión AC4. Posee un espesor de 8 mm y un sistema de instalación click, con un diseño clásico sin bisel. Cada caja rinde 2.13 m2 de superficie.")</f>
        <v>Piso flotante laminado de origen alemán, diseñado para uso comercial por su resistencia a la abrasión AC4. Posee un espesor de 8 mm y un sistema de instalación click, con un diseño clásico sin bisel. Cada caja rinde 2.13 m2 de superficie.</v>
      </c>
    </row>
    <row r="126" ht="15.75" customHeight="1">
      <c r="A126" s="4">
        <v>15668.0</v>
      </c>
      <c r="B126" s="5" t="s">
        <v>33</v>
      </c>
      <c r="C126" s="5" t="s">
        <v>34</v>
      </c>
      <c r="D126" s="5" t="s">
        <v>35</v>
      </c>
      <c r="E126" s="5" t="s">
        <v>36</v>
      </c>
      <c r="F126" s="5" t="s">
        <v>37</v>
      </c>
      <c r="G126" s="5" t="s">
        <v>395</v>
      </c>
      <c r="H126" s="4">
        <v>3010.0</v>
      </c>
      <c r="I126" s="5" t="s">
        <v>39</v>
      </c>
      <c r="J126" s="5" t="s">
        <v>379</v>
      </c>
      <c r="K126" s="5" t="s">
        <v>54</v>
      </c>
      <c r="L126" s="4">
        <v>8.0</v>
      </c>
      <c r="M126" s="5" t="s">
        <v>42</v>
      </c>
      <c r="N126" s="4" t="s">
        <v>55</v>
      </c>
      <c r="O126" s="4" t="s">
        <v>44</v>
      </c>
      <c r="P126" s="4" t="s">
        <v>45</v>
      </c>
      <c r="Q126" s="4">
        <v>244.0</v>
      </c>
      <c r="R126" s="5" t="s">
        <v>42</v>
      </c>
      <c r="S126" s="4">
        <v>1380.0</v>
      </c>
      <c r="T126" s="5" t="s">
        <v>42</v>
      </c>
      <c r="U126" s="4">
        <v>2.7</v>
      </c>
      <c r="V126" s="5" t="s">
        <v>46</v>
      </c>
      <c r="W126" s="4">
        <v>8.0</v>
      </c>
      <c r="X126" s="6">
        <v>18.0</v>
      </c>
      <c r="Y126" s="4" t="s">
        <v>47</v>
      </c>
      <c r="Z126" s="7">
        <f t="shared" si="1"/>
        <v>48.6</v>
      </c>
      <c r="AA126" s="4">
        <v>15.0</v>
      </c>
      <c r="AB126" s="4">
        <v>42.0</v>
      </c>
      <c r="AC126" s="8">
        <f t="shared" si="2"/>
        <v>630</v>
      </c>
      <c r="AD126" s="13">
        <v>191.7</v>
      </c>
      <c r="AE126" s="10" t="s">
        <v>396</v>
      </c>
      <c r="AF126" s="11"/>
      <c r="AG126" s="11"/>
      <c r="AH126" s="11"/>
      <c r="AI126" s="11"/>
      <c r="AJ126" s="11" t="str">
        <f>IFERROR(__xludf.DUMMYFUNCTION("AI(""Completa un valor adecuado para esta celda en función del contexto de la tabla"")"),"Piso flotante laminado de origen alemán, diseñado para uso residencial con una resistencia a la abrasión AC3. Presenta un espesor de 7 mm, no incluye bisel ni manto incorporado, y cada caja cubre una superficie de 2.47 m2.")</f>
        <v>Piso flotante laminado de origen alemán, diseñado para uso residencial con una resistencia a la abrasión AC3. Presenta un espesor de 7 mm, no incluye bisel ni manto incorporado, y cada caja cubre una superficie de 2.47 m2.</v>
      </c>
    </row>
    <row r="127" ht="15.75" customHeight="1">
      <c r="A127" s="4">
        <v>19008.0</v>
      </c>
      <c r="B127" s="5" t="s">
        <v>33</v>
      </c>
      <c r="C127" s="5" t="s">
        <v>34</v>
      </c>
      <c r="D127" s="5" t="s">
        <v>35</v>
      </c>
      <c r="E127" s="5" t="s">
        <v>36</v>
      </c>
      <c r="F127" s="5" t="s">
        <v>37</v>
      </c>
      <c r="G127" s="5" t="s">
        <v>397</v>
      </c>
      <c r="H127" s="4" t="s">
        <v>240</v>
      </c>
      <c r="I127" s="5" t="s">
        <v>72</v>
      </c>
      <c r="J127" s="5" t="s">
        <v>373</v>
      </c>
      <c r="K127" s="5" t="s">
        <v>41</v>
      </c>
      <c r="L127" s="4">
        <v>12.0</v>
      </c>
      <c r="M127" s="5" t="s">
        <v>42</v>
      </c>
      <c r="N127" s="4" t="s">
        <v>43</v>
      </c>
      <c r="O127" s="4" t="s">
        <v>44</v>
      </c>
      <c r="P127" s="4" t="s">
        <v>45</v>
      </c>
      <c r="Q127" s="4">
        <v>192.0</v>
      </c>
      <c r="R127" s="5" t="s">
        <v>42</v>
      </c>
      <c r="S127" s="4">
        <v>1290.0</v>
      </c>
      <c r="T127" s="5" t="s">
        <v>42</v>
      </c>
      <c r="U127" s="4">
        <v>1.48</v>
      </c>
      <c r="V127" s="5" t="s">
        <v>46</v>
      </c>
      <c r="W127" s="4">
        <v>6.0</v>
      </c>
      <c r="X127" s="6">
        <v>21.0</v>
      </c>
      <c r="Y127" s="4" t="s">
        <v>47</v>
      </c>
      <c r="Z127" s="7">
        <f t="shared" si="1"/>
        <v>31.08</v>
      </c>
      <c r="AA127" s="4">
        <v>15.0</v>
      </c>
      <c r="AB127" s="4">
        <v>52.0</v>
      </c>
      <c r="AC127" s="8">
        <f t="shared" si="2"/>
        <v>780</v>
      </c>
      <c r="AD127" s="13">
        <v>75.48</v>
      </c>
      <c r="AE127" s="14" t="s">
        <v>398</v>
      </c>
      <c r="AF127" s="15"/>
      <c r="AG127" s="15"/>
      <c r="AH127" s="15"/>
      <c r="AI127" s="15"/>
      <c r="AJ127" s="15" t="str">
        <f>IFERROR(__xludf.DUMMYFUNCTION("AI(""Completa un valor adecuado para esta celda en función del contexto de la tabla"")"),"Piso flotante laminado de origen alemán, diseñado para uso comercial con una resistencia a la abrasión AC4. Presenta un espesor de 10 mm, cuenta con bisel y cada caja cubre una superficie de 2.45 m2. Su diseño de gran formato tiene un ancho de 245 mm y un"&amp;" largo de 2003 mm.")</f>
        <v>Piso flotante laminado de origen alemán, diseñado para uso comercial con una resistencia a la abrasión AC4. Presenta un espesor de 10 mm, cuenta con bisel y cada caja cubre una superficie de 2.45 m2. Su diseño de gran formato tiene un ancho de 245 mm y un largo de 2003 mm.</v>
      </c>
    </row>
    <row r="128" ht="15.75" customHeight="1">
      <c r="A128" s="4">
        <v>14165.0</v>
      </c>
      <c r="B128" s="5" t="s">
        <v>33</v>
      </c>
      <c r="C128" s="5" t="s">
        <v>34</v>
      </c>
      <c r="D128" s="5" t="s">
        <v>35</v>
      </c>
      <c r="E128" s="5" t="s">
        <v>36</v>
      </c>
      <c r="F128" s="5" t="s">
        <v>37</v>
      </c>
      <c r="G128" s="5" t="s">
        <v>399</v>
      </c>
      <c r="H128" s="4">
        <v>4169.0</v>
      </c>
      <c r="I128" s="5" t="s">
        <v>39</v>
      </c>
      <c r="J128" s="5" t="s">
        <v>40</v>
      </c>
      <c r="K128" s="5" t="s">
        <v>41</v>
      </c>
      <c r="L128" s="4">
        <v>10.0</v>
      </c>
      <c r="M128" s="5" t="s">
        <v>42</v>
      </c>
      <c r="N128" s="4" t="s">
        <v>43</v>
      </c>
      <c r="O128" s="4" t="s">
        <v>44</v>
      </c>
      <c r="P128" s="4" t="s">
        <v>45</v>
      </c>
      <c r="Q128" s="4">
        <v>157.0</v>
      </c>
      <c r="R128" s="5" t="s">
        <v>42</v>
      </c>
      <c r="S128" s="4">
        <v>1380.0</v>
      </c>
      <c r="T128" s="5" t="s">
        <v>42</v>
      </c>
      <c r="U128" s="4">
        <v>1.3</v>
      </c>
      <c r="V128" s="5" t="s">
        <v>46</v>
      </c>
      <c r="W128" s="4">
        <v>6.0</v>
      </c>
      <c r="X128" s="6">
        <v>22.0</v>
      </c>
      <c r="Y128" s="4" t="s">
        <v>47</v>
      </c>
      <c r="Z128" s="7">
        <f t="shared" si="1"/>
        <v>28.6</v>
      </c>
      <c r="AA128" s="4">
        <v>15.0</v>
      </c>
      <c r="AB128" s="4"/>
      <c r="AC128" s="8">
        <f t="shared" si="2"/>
        <v>0</v>
      </c>
      <c r="AD128" s="13">
        <v>1159.6</v>
      </c>
      <c r="AE128" s="10" t="s">
        <v>400</v>
      </c>
      <c r="AF128" s="11"/>
      <c r="AG128" s="11"/>
      <c r="AH128" s="11"/>
      <c r="AI128" s="11"/>
      <c r="AJ128" s="11" t="str">
        <f>IFERROR(__xludf.DUMMYFUNCTION("AI(""Completa un valor adecuado para esta celda en función del contexto de la tabla"")"),"Piso flotante laminado de origen alemán, diseñado para uso residencial con una resistencia a la abrasión AC3. Posee un espesor de 7 mm, pertenece a la línea Standard de Kronotex y no cuenta con manto incorporado. Cada caja contiene 9 tablas y cubre una su"&amp;"perficie de 2.4 m2.")</f>
        <v>Piso flotante laminado de origen alemán, diseñado para uso residencial con una resistencia a la abrasión AC3. Posee un espesor de 7 mm, pertenece a la línea Standard de Kronotex y no cuenta con manto incorporado. Cada caja contiene 9 tablas y cubre una superficie de 2.4 m2.</v>
      </c>
    </row>
    <row r="129" ht="15.75" customHeight="1">
      <c r="A129" s="4">
        <v>11687.0</v>
      </c>
      <c r="B129" s="5" t="s">
        <v>33</v>
      </c>
      <c r="C129" s="5" t="s">
        <v>34</v>
      </c>
      <c r="D129" s="5" t="s">
        <v>35</v>
      </c>
      <c r="E129" s="5" t="s">
        <v>36</v>
      </c>
      <c r="F129" s="5" t="s">
        <v>37</v>
      </c>
      <c r="G129" s="5" t="s">
        <v>401</v>
      </c>
      <c r="H129" s="4">
        <v>3071.0</v>
      </c>
      <c r="I129" s="5" t="s">
        <v>39</v>
      </c>
      <c r="J129" s="5" t="s">
        <v>179</v>
      </c>
      <c r="K129" s="5" t="s">
        <v>54</v>
      </c>
      <c r="L129" s="4">
        <v>8.0</v>
      </c>
      <c r="M129" s="5" t="s">
        <v>42</v>
      </c>
      <c r="N129" s="4" t="s">
        <v>55</v>
      </c>
      <c r="O129" s="4" t="s">
        <v>44</v>
      </c>
      <c r="P129" s="4" t="s">
        <v>45</v>
      </c>
      <c r="Q129" s="4">
        <v>193.0</v>
      </c>
      <c r="R129" s="5" t="s">
        <v>42</v>
      </c>
      <c r="S129" s="4">
        <v>1380.0</v>
      </c>
      <c r="T129" s="5" t="s">
        <v>42</v>
      </c>
      <c r="U129" s="4">
        <v>2.13</v>
      </c>
      <c r="V129" s="5" t="s">
        <v>46</v>
      </c>
      <c r="W129" s="4">
        <v>8.0</v>
      </c>
      <c r="X129" s="6">
        <v>18.0</v>
      </c>
      <c r="Y129" s="4" t="s">
        <v>61</v>
      </c>
      <c r="Z129" s="7">
        <f t="shared" si="1"/>
        <v>38.34</v>
      </c>
      <c r="AA129" s="4">
        <v>15.0</v>
      </c>
      <c r="AB129" s="4">
        <v>56.0</v>
      </c>
      <c r="AC129" s="8">
        <f t="shared" si="2"/>
        <v>840</v>
      </c>
      <c r="AD129" s="13">
        <v>1993.68</v>
      </c>
      <c r="AE129" s="14" t="s">
        <v>402</v>
      </c>
      <c r="AF129" s="15"/>
      <c r="AG129" s="15"/>
      <c r="AH129" s="15"/>
      <c r="AI129" s="15"/>
      <c r="AJ129" s="15" t="str">
        <f>IFERROR(__xludf.DUMMYFUNCTION("AI(""Completa un valor adecuado para esta celda en función del contexto de la tabla"")"),"Piso flotante laminado de origen alemán, diseñado para uso comercial con una resistencia a la abrasión AC4. Con un espesor de 8 mm, este modelo no cuenta con bisel y cada caja cubre una superficie de 2.13 m2. Su diseño Winter Eiche Nature ofrece una estét"&amp;"ica clásica y funcional para diversos espacios interiores.")</f>
        <v>Piso flotante laminado de origen alemán, diseñado para uso comercial con una resistencia a la abrasión AC4. Con un espesor de 8 mm, este modelo no cuenta con bisel y cada caja cubre una superficie de 2.13 m2. Su diseño Winter Eiche Nature ofrece una estética clásica y funcional para diversos espacios interiores.</v>
      </c>
    </row>
    <row r="130" ht="15.75" customHeight="1">
      <c r="A130" s="4">
        <v>21904.0</v>
      </c>
      <c r="B130" s="5" t="s">
        <v>33</v>
      </c>
      <c r="C130" s="5" t="s">
        <v>34</v>
      </c>
      <c r="D130" s="5" t="s">
        <v>35</v>
      </c>
      <c r="E130" s="5" t="s">
        <v>36</v>
      </c>
      <c r="F130" s="5" t="s">
        <v>37</v>
      </c>
      <c r="G130" s="5" t="s">
        <v>403</v>
      </c>
      <c r="H130" s="4">
        <v>742.0</v>
      </c>
      <c r="I130" s="5" t="s">
        <v>39</v>
      </c>
      <c r="J130" s="5" t="s">
        <v>404</v>
      </c>
      <c r="K130" s="5" t="s">
        <v>54</v>
      </c>
      <c r="L130" s="4">
        <v>8.0</v>
      </c>
      <c r="M130" s="5" t="s">
        <v>42</v>
      </c>
      <c r="N130" s="4" t="s">
        <v>55</v>
      </c>
      <c r="O130" s="4" t="s">
        <v>405</v>
      </c>
      <c r="P130" s="4" t="s">
        <v>45</v>
      </c>
      <c r="Q130" s="4">
        <v>193.0</v>
      </c>
      <c r="R130" s="5" t="s">
        <v>42</v>
      </c>
      <c r="S130" s="4">
        <v>1380.0</v>
      </c>
      <c r="T130" s="5" t="s">
        <v>42</v>
      </c>
      <c r="U130" s="4">
        <v>2.13</v>
      </c>
      <c r="V130" s="5" t="s">
        <v>46</v>
      </c>
      <c r="W130" s="4">
        <v>8.0</v>
      </c>
      <c r="X130" s="6">
        <v>18.0</v>
      </c>
      <c r="Y130" s="4" t="s">
        <v>61</v>
      </c>
      <c r="Z130" s="7">
        <f t="shared" si="1"/>
        <v>38.34</v>
      </c>
      <c r="AA130" s="4">
        <v>15.0</v>
      </c>
      <c r="AB130" s="4">
        <v>56.0</v>
      </c>
      <c r="AC130" s="8">
        <f t="shared" si="2"/>
        <v>840</v>
      </c>
      <c r="AD130" s="13">
        <v>2773.26</v>
      </c>
      <c r="AE130" s="10" t="s">
        <v>406</v>
      </c>
      <c r="AF130" s="11"/>
      <c r="AG130" s="11"/>
      <c r="AH130" s="11"/>
      <c r="AI130" s="11"/>
      <c r="AJ130" s="11" t="str">
        <f>IFERROR(__xludf.DUMMYFUNCTION("AI(""Completa un valor adecuado para esta celda en función del contexto de la tabla"")"),"Piso flotante laminado de origen alemán, diseñado para uso residencial con una resistencia a la abrasión AC3. Posee un espesor de 7 mm, no incluye bisel y su diseño en Nogal Rojo ofrece un acabado clásico. Cada caja contiene 9 tablas que cubren una superf"&amp;"icie de 2.4 m2.")</f>
        <v>Piso flotante laminado de origen alemán, diseñado para uso residencial con una resistencia a la abrasión AC3. Posee un espesor de 7 mm, no incluye bisel y su diseño en Nogal Rojo ofrece un acabado clásico. Cada caja contiene 9 tablas que cubren una superficie de 2.4 m2.</v>
      </c>
    </row>
    <row r="131" ht="15.75" customHeight="1">
      <c r="A131" s="4">
        <v>22596.0</v>
      </c>
      <c r="B131" s="5" t="s">
        <v>33</v>
      </c>
      <c r="C131" s="5" t="s">
        <v>34</v>
      </c>
      <c r="D131" s="5" t="s">
        <v>35</v>
      </c>
      <c r="E131" s="5" t="s">
        <v>36</v>
      </c>
      <c r="F131" s="5" t="s">
        <v>37</v>
      </c>
      <c r="G131" s="5" t="s">
        <v>407</v>
      </c>
      <c r="H131" s="4">
        <v>3201.0</v>
      </c>
      <c r="I131" s="5" t="s">
        <v>39</v>
      </c>
      <c r="J131" s="5" t="s">
        <v>234</v>
      </c>
      <c r="K131" s="5" t="s">
        <v>54</v>
      </c>
      <c r="L131" s="4">
        <v>8.0</v>
      </c>
      <c r="M131" s="5" t="s">
        <v>42</v>
      </c>
      <c r="N131" s="4" t="s">
        <v>55</v>
      </c>
      <c r="O131" s="4" t="s">
        <v>44</v>
      </c>
      <c r="P131" s="4" t="s">
        <v>44</v>
      </c>
      <c r="Q131" s="4">
        <v>193.0</v>
      </c>
      <c r="R131" s="5" t="s">
        <v>42</v>
      </c>
      <c r="S131" s="4">
        <v>1380.0</v>
      </c>
      <c r="T131" s="5" t="s">
        <v>42</v>
      </c>
      <c r="U131" s="4">
        <v>2.13</v>
      </c>
      <c r="V131" s="5" t="s">
        <v>46</v>
      </c>
      <c r="W131" s="4">
        <v>8.0</v>
      </c>
      <c r="X131" s="6">
        <v>19.1</v>
      </c>
      <c r="Y131" s="4" t="s">
        <v>47</v>
      </c>
      <c r="Z131" s="7">
        <f t="shared" si="1"/>
        <v>40.683</v>
      </c>
      <c r="AA131" s="4">
        <v>15.0</v>
      </c>
      <c r="AB131" s="4">
        <v>56.0</v>
      </c>
      <c r="AC131" s="8">
        <f t="shared" si="2"/>
        <v>840</v>
      </c>
      <c r="AD131" s="13">
        <v>2008.58</v>
      </c>
      <c r="AE131" s="14" t="s">
        <v>408</v>
      </c>
      <c r="AF131" s="15"/>
      <c r="AG131" s="15"/>
      <c r="AH131" s="15"/>
      <c r="AI131" s="15"/>
      <c r="AJ131" s="15" t="str">
        <f>IFERROR(__xludf.DUMMYFUNCTION("AI(""Completa un valor adecuado para esta celda en función del contexto de la tabla"")"),"Piso flotante laminado de origen alemán, diseñado para uso comercial con una resistencia a la abrasión AC4. Con un espesor de 8 mm y un sistema de instalación click, este modelo no posee bisel y ofrece una solución duradera y fácil de mantener. Cada caja "&amp;"cubre una superficie de 2.13 m2.")</f>
        <v>Piso flotante laminado de origen alemán, diseñado para uso comercial con una resistencia a la abrasión AC4. Con un espesor de 8 mm y un sistema de instalación click, este modelo no posee bisel y ofrece una solución duradera y fácil de mantener. Cada caja cubre una superficie de 2.13 m2.</v>
      </c>
    </row>
    <row r="132" ht="15.75" customHeight="1">
      <c r="A132" s="4">
        <v>20522.0</v>
      </c>
      <c r="B132" s="5" t="s">
        <v>33</v>
      </c>
      <c r="C132" s="5" t="s">
        <v>34</v>
      </c>
      <c r="D132" s="5" t="s">
        <v>35</v>
      </c>
      <c r="E132" s="5" t="s">
        <v>36</v>
      </c>
      <c r="F132" s="5" t="s">
        <v>37</v>
      </c>
      <c r="G132" s="5" t="s">
        <v>409</v>
      </c>
      <c r="H132" s="4">
        <v>3128.0</v>
      </c>
      <c r="I132" s="5" t="s">
        <v>39</v>
      </c>
      <c r="J132" s="5" t="s">
        <v>404</v>
      </c>
      <c r="K132" s="5" t="s">
        <v>54</v>
      </c>
      <c r="L132" s="4">
        <v>8.0</v>
      </c>
      <c r="M132" s="5" t="s">
        <v>42</v>
      </c>
      <c r="N132" s="4" t="s">
        <v>55</v>
      </c>
      <c r="O132" s="4" t="s">
        <v>44</v>
      </c>
      <c r="P132" s="4" t="s">
        <v>45</v>
      </c>
      <c r="Q132" s="4">
        <v>193.0</v>
      </c>
      <c r="R132" s="5" t="s">
        <v>42</v>
      </c>
      <c r="S132" s="4">
        <v>1380.0</v>
      </c>
      <c r="T132" s="5" t="s">
        <v>42</v>
      </c>
      <c r="U132" s="4">
        <v>2.13</v>
      </c>
      <c r="V132" s="5" t="s">
        <v>46</v>
      </c>
      <c r="W132" s="4">
        <v>8.0</v>
      </c>
      <c r="X132" s="6">
        <v>18.0</v>
      </c>
      <c r="Y132" s="4" t="s">
        <v>61</v>
      </c>
      <c r="Z132" s="7">
        <f t="shared" si="1"/>
        <v>38.34</v>
      </c>
      <c r="AA132" s="4">
        <v>15.0</v>
      </c>
      <c r="AB132" s="4">
        <v>56.0</v>
      </c>
      <c r="AC132" s="8">
        <f t="shared" si="2"/>
        <v>840</v>
      </c>
      <c r="AD132" s="13">
        <v>11756.57</v>
      </c>
      <c r="AE132" s="10" t="s">
        <v>410</v>
      </c>
      <c r="AF132" s="11"/>
      <c r="AG132" s="11"/>
      <c r="AH132" s="11"/>
      <c r="AI132" s="11"/>
      <c r="AJ132" s="11" t="str">
        <f>IFERROR(__xludf.DUMMYFUNCTION("AI(""Completa un valor adecuado para esta celda en función del contexto de la tabla"")"),"Piso flotante laminado de origen alemán, diseñado para uso comercial con una resistencia a la abrasión AC4. Posee un espesor de 8 mm, sistema de instalación click y cuenta con bisel perimetral. Cada caja contiene 8 tablas y cubre una superficie de 2.13 m2"&amp;".")</f>
        <v>Piso flotante laminado de origen alemán, diseñado para uso comercial con una resistencia a la abrasión AC4. Posee un espesor de 8 mm, sistema de instalación click y cuenta con bisel perimetral. Cada caja contiene 8 tablas y cubre una superficie de 2.13 m2.</v>
      </c>
    </row>
    <row r="133" ht="15.75" customHeight="1">
      <c r="A133" s="4">
        <v>24776.0</v>
      </c>
      <c r="B133" s="5" t="s">
        <v>33</v>
      </c>
      <c r="C133" s="5" t="s">
        <v>34</v>
      </c>
      <c r="D133" s="5" t="s">
        <v>35</v>
      </c>
      <c r="E133" s="5" t="s">
        <v>36</v>
      </c>
      <c r="F133" s="5" t="s">
        <v>37</v>
      </c>
      <c r="G133" s="5" t="s">
        <v>411</v>
      </c>
      <c r="H133" s="4" t="s">
        <v>412</v>
      </c>
      <c r="I133" s="5" t="s">
        <v>39</v>
      </c>
      <c r="J133" s="5" t="s">
        <v>68</v>
      </c>
      <c r="K133" s="5" t="s">
        <v>169</v>
      </c>
      <c r="L133" s="4">
        <v>7.0</v>
      </c>
      <c r="M133" s="5" t="s">
        <v>42</v>
      </c>
      <c r="N133" s="4" t="s">
        <v>170</v>
      </c>
      <c r="O133" s="4" t="s">
        <v>44</v>
      </c>
      <c r="P133" s="8"/>
      <c r="Q133" s="4">
        <v>193.0</v>
      </c>
      <c r="R133" s="5" t="s">
        <v>42</v>
      </c>
      <c r="S133" s="4">
        <v>1380.0</v>
      </c>
      <c r="T133" s="5" t="s">
        <v>42</v>
      </c>
      <c r="U133" s="4">
        <v>2.4</v>
      </c>
      <c r="V133" s="5" t="s">
        <v>46</v>
      </c>
      <c r="W133" s="4">
        <v>9.0</v>
      </c>
      <c r="X133" s="6">
        <v>13.1</v>
      </c>
      <c r="Y133" s="4" t="s">
        <v>56</v>
      </c>
      <c r="Z133" s="7">
        <f t="shared" si="1"/>
        <v>31.44</v>
      </c>
      <c r="AA133" s="4">
        <v>15.0</v>
      </c>
      <c r="AB133" s="8"/>
      <c r="AC133" s="8">
        <f t="shared" si="2"/>
        <v>0</v>
      </c>
      <c r="AD133" s="13">
        <v>12645.0</v>
      </c>
      <c r="AE133" s="14" t="s">
        <v>413</v>
      </c>
      <c r="AF133" s="15"/>
      <c r="AG133" s="15"/>
      <c r="AH133" s="15"/>
      <c r="AI133" s="15"/>
      <c r="AJ133" s="15" t="str">
        <f>IFERROR(__xludf.DUMMYFUNCTION("AI(""Completa un valor adecuado para esta celda en función del contexto de la tabla"")"),"Piso flotante de origen alemán con un espesor de 10 mm y resistencia a la abrasión AC4. Este modelo de la marca Kronotex cuenta con un diseño elegante, sistema de instalación click y bisel, siendo ideal para un uso comercial moderado o doméstico intensivo"&amp;". Cada caja cubre una superficie de 1.3 m2.")</f>
        <v>Piso flotante de origen alemán con un espesor de 10 mm y resistencia a la abrasión AC4. Este modelo de la marca Kronotex cuenta con un diseño elegante, sistema de instalación click y bisel, siendo ideal para un uso comercial moderado o doméstico intensivo. Cada caja cubre una superficie de 1.3 m2.</v>
      </c>
    </row>
    <row r="134" ht="15.75" customHeight="1">
      <c r="A134" s="4">
        <v>20222.0</v>
      </c>
      <c r="B134" s="5" t="s">
        <v>33</v>
      </c>
      <c r="C134" s="5" t="s">
        <v>34</v>
      </c>
      <c r="D134" s="5" t="s">
        <v>35</v>
      </c>
      <c r="E134" s="5" t="s">
        <v>36</v>
      </c>
      <c r="F134" s="5" t="s">
        <v>37</v>
      </c>
      <c r="G134" s="5" t="s">
        <v>414</v>
      </c>
      <c r="H134" s="4" t="s">
        <v>415</v>
      </c>
      <c r="I134" s="5" t="s">
        <v>39</v>
      </c>
      <c r="J134" s="5" t="s">
        <v>86</v>
      </c>
      <c r="K134" s="5" t="s">
        <v>54</v>
      </c>
      <c r="L134" s="4">
        <v>8.0</v>
      </c>
      <c r="M134" s="5" t="s">
        <v>42</v>
      </c>
      <c r="N134" s="4" t="s">
        <v>55</v>
      </c>
      <c r="O134" s="4" t="s">
        <v>44</v>
      </c>
      <c r="P134" s="4" t="s">
        <v>45</v>
      </c>
      <c r="Q134" s="4">
        <v>193.0</v>
      </c>
      <c r="R134" s="5" t="s">
        <v>42</v>
      </c>
      <c r="S134" s="4">
        <v>1380.0</v>
      </c>
      <c r="T134" s="5" t="s">
        <v>42</v>
      </c>
      <c r="U134" s="4">
        <v>2.13</v>
      </c>
      <c r="V134" s="5" t="s">
        <v>46</v>
      </c>
      <c r="W134" s="4">
        <v>8.0</v>
      </c>
      <c r="X134" s="6">
        <v>16.0</v>
      </c>
      <c r="Y134" s="4" t="s">
        <v>47</v>
      </c>
      <c r="Z134" s="7">
        <f t="shared" si="1"/>
        <v>34.08</v>
      </c>
      <c r="AA134" s="4">
        <v>15.0</v>
      </c>
      <c r="AB134" s="8"/>
      <c r="AC134" s="8">
        <f t="shared" si="2"/>
        <v>0</v>
      </c>
      <c r="AD134" s="13">
        <v>298.18</v>
      </c>
      <c r="AE134" s="10" t="s">
        <v>416</v>
      </c>
      <c r="AF134" s="11"/>
      <c r="AG134" s="11"/>
      <c r="AH134" s="11"/>
      <c r="AI134" s="11"/>
      <c r="AJ134" s="11" t="str">
        <f>IFERROR(__xludf.DUMMYFUNCTION("AI(""Completa un valor adecuado para esta celda en función del contexto de la tabla"")"),"Piso flotante laminado de origen alemán, diseñado para uso comercial con resistencia a la abrasión AC4. Posee un espesor de 8 mm, sistema de instalación click y no incluye bisel. Cada caja rinde 2.13 m2 de superficie.")</f>
        <v>Piso flotante laminado de origen alemán, diseñado para uso comercial con resistencia a la abrasión AC4. Posee un espesor de 8 mm, sistema de instalación click y no incluye bisel. Cada caja rinde 2.13 m2 de superficie.</v>
      </c>
    </row>
    <row r="135" ht="15.75" customHeight="1">
      <c r="A135" s="4">
        <v>24777.0</v>
      </c>
      <c r="B135" s="5" t="s">
        <v>33</v>
      </c>
      <c r="C135" s="5" t="s">
        <v>34</v>
      </c>
      <c r="D135" s="5" t="s">
        <v>35</v>
      </c>
      <c r="E135" s="5" t="s">
        <v>36</v>
      </c>
      <c r="F135" s="5" t="s">
        <v>37</v>
      </c>
      <c r="G135" s="5" t="s">
        <v>417</v>
      </c>
      <c r="H135" s="4" t="s">
        <v>415</v>
      </c>
      <c r="I135" s="5" t="s">
        <v>39</v>
      </c>
      <c r="J135" s="5" t="s">
        <v>234</v>
      </c>
      <c r="K135" s="5" t="s">
        <v>54</v>
      </c>
      <c r="L135" s="4">
        <v>8.0</v>
      </c>
      <c r="M135" s="5" t="s">
        <v>42</v>
      </c>
      <c r="N135" s="4" t="s">
        <v>55</v>
      </c>
      <c r="O135" s="4" t="s">
        <v>44</v>
      </c>
      <c r="P135" s="4" t="s">
        <v>44</v>
      </c>
      <c r="Q135" s="4">
        <v>193.0</v>
      </c>
      <c r="R135" s="5" t="s">
        <v>42</v>
      </c>
      <c r="S135" s="4">
        <v>1380.0</v>
      </c>
      <c r="T135" s="5" t="s">
        <v>42</v>
      </c>
      <c r="U135" s="4">
        <v>2.13</v>
      </c>
      <c r="V135" s="5" t="s">
        <v>46</v>
      </c>
      <c r="W135" s="4">
        <v>8.0</v>
      </c>
      <c r="X135" s="6">
        <v>13.0</v>
      </c>
      <c r="Y135" s="4" t="s">
        <v>56</v>
      </c>
      <c r="Z135" s="7">
        <f t="shared" si="1"/>
        <v>27.69</v>
      </c>
      <c r="AA135" s="4">
        <v>15.0</v>
      </c>
      <c r="AB135" s="8"/>
      <c r="AC135" s="8">
        <f t="shared" si="2"/>
        <v>0</v>
      </c>
      <c r="AD135" s="13">
        <v>3980.95</v>
      </c>
      <c r="AE135" s="14" t="s">
        <v>418</v>
      </c>
      <c r="AF135" s="15"/>
      <c r="AG135" s="15"/>
      <c r="AH135" s="15"/>
      <c r="AI135" s="15"/>
      <c r="AJ135" s="15" t="str">
        <f>IFERROR(__xludf.DUMMYFUNCTION("AI(""Completa un valor adecuado para esta celda en función del contexto de la tabla"")"),"Piso flotante laminado de origen alemán, ideal para uso comercial por su resistencia a la abrasión AC4. Con un espesor de 8 mm y sistema de instalación click, este modelo no cuenta con bisel en sus lados. Cada caja contiene 8 tablas y cubre una superficie"&amp;" de 2.13 m2.")</f>
        <v>Piso flotante laminado de origen alemán, ideal para uso comercial por su resistencia a la abrasión AC4. Con un espesor de 8 mm y sistema de instalación click, este modelo no cuenta con bisel en sus lados. Cada caja contiene 8 tablas y cubre una superficie de 2.13 m2.</v>
      </c>
    </row>
    <row r="136" ht="15.75" customHeight="1">
      <c r="A136" s="4">
        <v>22599.0</v>
      </c>
      <c r="B136" s="5" t="s">
        <v>33</v>
      </c>
      <c r="C136" s="5" t="s">
        <v>34</v>
      </c>
      <c r="D136" s="5" t="s">
        <v>35</v>
      </c>
      <c r="E136" s="5" t="s">
        <v>36</v>
      </c>
      <c r="F136" s="5" t="s">
        <v>37</v>
      </c>
      <c r="G136" s="5" t="s">
        <v>419</v>
      </c>
      <c r="H136" s="4">
        <v>3203.0</v>
      </c>
      <c r="I136" s="5" t="s">
        <v>39</v>
      </c>
      <c r="J136" s="5" t="s">
        <v>195</v>
      </c>
      <c r="K136" s="5" t="s">
        <v>169</v>
      </c>
      <c r="L136" s="4">
        <v>7.0</v>
      </c>
      <c r="M136" s="5" t="s">
        <v>42</v>
      </c>
      <c r="N136" s="4" t="s">
        <v>170</v>
      </c>
      <c r="O136" s="4" t="s">
        <v>44</v>
      </c>
      <c r="P136" s="4" t="s">
        <v>44</v>
      </c>
      <c r="Q136" s="4">
        <v>193.0</v>
      </c>
      <c r="R136" s="5" t="s">
        <v>42</v>
      </c>
      <c r="S136" s="4">
        <v>1380.0</v>
      </c>
      <c r="T136" s="5" t="s">
        <v>42</v>
      </c>
      <c r="U136" s="4">
        <v>2.4</v>
      </c>
      <c r="V136" s="5" t="s">
        <v>46</v>
      </c>
      <c r="W136" s="4">
        <v>9.0</v>
      </c>
      <c r="X136" s="6">
        <v>13.1</v>
      </c>
      <c r="Y136" s="4" t="s">
        <v>47</v>
      </c>
      <c r="Z136" s="7">
        <f t="shared" si="1"/>
        <v>31.44</v>
      </c>
      <c r="AA136" s="4">
        <v>15.0</v>
      </c>
      <c r="AB136" s="8"/>
      <c r="AC136" s="8">
        <f t="shared" si="2"/>
        <v>0</v>
      </c>
      <c r="AD136" s="13">
        <v>7719.98</v>
      </c>
      <c r="AE136" s="10" t="s">
        <v>420</v>
      </c>
      <c r="AF136" s="11"/>
      <c r="AG136" s="11"/>
      <c r="AH136" s="11"/>
      <c r="AI136" s="11"/>
      <c r="AJ136" s="11" t="str">
        <f>IFERROR(__xludf.DUMMYFUNCTION("AI(""Completa un valor adecuado para esta celda en función del contexto de la tabla"")"),"Piso flotante laminado de origen alemán con un espesor de 8 mm, diseñado para uso comercial gracias a su resistencia a la abrasión AC4. Este modelo de la marca Kronotex y línea Dinamic cuenta con un sistema de instalación click sin bisel, facilitando un m"&amp;"ontaje rápido y un acabado uniforme. Cada caja rinde 2.13 m2, ofreciendo una solución duradera y estética para renovar ambientes interiores.")</f>
        <v>Piso flotante laminado de origen alemán con un espesor de 8 mm, diseñado para uso comercial gracias a su resistencia a la abrasión AC4. Este modelo de la marca Kronotex y línea Dinamic cuenta con un sistema de instalación click sin bisel, facilitando un montaje rápido y un acabado uniforme. Cada caja rinde 2.13 m2, ofreciendo una solución duradera y estética para renovar ambientes interiores.</v>
      </c>
    </row>
    <row r="137" ht="15.75" customHeight="1">
      <c r="A137" s="4">
        <v>19373.0</v>
      </c>
      <c r="B137" s="5" t="s">
        <v>33</v>
      </c>
      <c r="C137" s="5" t="s">
        <v>34</v>
      </c>
      <c r="D137" s="5" t="s">
        <v>35</v>
      </c>
      <c r="E137" s="5" t="s">
        <v>36</v>
      </c>
      <c r="F137" s="5" t="s">
        <v>37</v>
      </c>
      <c r="G137" s="5" t="s">
        <v>421</v>
      </c>
      <c r="H137" s="4">
        <v>3203.0</v>
      </c>
      <c r="I137" s="5" t="s">
        <v>39</v>
      </c>
      <c r="J137" s="5" t="s">
        <v>86</v>
      </c>
      <c r="K137" s="5" t="s">
        <v>54</v>
      </c>
      <c r="L137" s="4">
        <v>8.0</v>
      </c>
      <c r="M137" s="5" t="s">
        <v>42</v>
      </c>
      <c r="N137" s="4" t="s">
        <v>55</v>
      </c>
      <c r="O137" s="4" t="s">
        <v>44</v>
      </c>
      <c r="P137" s="4" t="s">
        <v>44</v>
      </c>
      <c r="Q137" s="4">
        <v>193.0</v>
      </c>
      <c r="R137" s="5" t="s">
        <v>42</v>
      </c>
      <c r="S137" s="4">
        <v>1380.0</v>
      </c>
      <c r="T137" s="5" t="s">
        <v>42</v>
      </c>
      <c r="U137" s="4">
        <v>2.13</v>
      </c>
      <c r="V137" s="5" t="s">
        <v>46</v>
      </c>
      <c r="W137" s="4">
        <v>8.0</v>
      </c>
      <c r="X137" s="6">
        <v>19.1</v>
      </c>
      <c r="Y137" s="4" t="s">
        <v>47</v>
      </c>
      <c r="Z137" s="7">
        <f t="shared" si="1"/>
        <v>40.683</v>
      </c>
      <c r="AA137" s="4">
        <v>15.0</v>
      </c>
      <c r="AB137" s="4">
        <v>56.0</v>
      </c>
      <c r="AC137" s="8">
        <f t="shared" si="2"/>
        <v>840</v>
      </c>
      <c r="AD137" s="13">
        <v>3271.68</v>
      </c>
      <c r="AE137" s="14" t="s">
        <v>422</v>
      </c>
      <c r="AF137" s="15"/>
      <c r="AG137" s="15"/>
      <c r="AH137" s="15"/>
      <c r="AI137" s="15"/>
      <c r="AJ137" s="15" t="str">
        <f>IFERROR(__xludf.DUMMYFUNCTION("AI(""Completa un valor adecuado para esta celda en función del contexto de la tabla"")"),"Piso flotante laminado de origen alemán de la marca Kronotex y línea Castello, diseñado para uso comercial con una resistencia a la abrasión AC4. Posee un espesor de 8 mm y un sistema de instalación click con cantos rectos sin bisel. Es un producto durade"&amp;"ro, de fácil mantenimiento y cuenta con protección contra la humedad. Cada caja rinde 2.22 m2.")</f>
        <v>Piso flotante laminado de origen alemán de la marca Kronotex y línea Castello, diseñado para uso comercial con una resistencia a la abrasión AC4. Posee un espesor de 8 mm y un sistema de instalación click con cantos rectos sin bisel. Es un producto duradero, de fácil mantenimiento y cuenta con protección contra la humedad. Cada caja rinde 2.22 m2.</v>
      </c>
    </row>
    <row r="138" ht="15.75" customHeight="1">
      <c r="A138" s="4">
        <v>24405.0</v>
      </c>
      <c r="B138" s="5" t="s">
        <v>33</v>
      </c>
      <c r="C138" s="5" t="s">
        <v>34</v>
      </c>
      <c r="D138" s="5" t="s">
        <v>35</v>
      </c>
      <c r="E138" s="5" t="s">
        <v>36</v>
      </c>
      <c r="F138" s="5" t="s">
        <v>37</v>
      </c>
      <c r="G138" s="5" t="s">
        <v>423</v>
      </c>
      <c r="H138" s="4" t="s">
        <v>424</v>
      </c>
      <c r="I138" s="5" t="s">
        <v>72</v>
      </c>
      <c r="J138" s="5" t="s">
        <v>60</v>
      </c>
      <c r="K138" s="5" t="s">
        <v>169</v>
      </c>
      <c r="L138" s="4">
        <v>7.0</v>
      </c>
      <c r="M138" s="5" t="s">
        <v>42</v>
      </c>
      <c r="N138" s="4" t="s">
        <v>170</v>
      </c>
      <c r="O138" s="4" t="s">
        <v>44</v>
      </c>
      <c r="P138" s="4" t="s">
        <v>45</v>
      </c>
      <c r="Q138" s="4">
        <v>192.0</v>
      </c>
      <c r="R138" s="5" t="s">
        <v>42</v>
      </c>
      <c r="S138" s="4">
        <v>1285.0</v>
      </c>
      <c r="T138" s="5" t="s">
        <v>42</v>
      </c>
      <c r="U138" s="4">
        <v>2.47</v>
      </c>
      <c r="V138" s="5" t="s">
        <v>46</v>
      </c>
      <c r="W138" s="4">
        <v>10.0</v>
      </c>
      <c r="X138" s="6">
        <v>12.0</v>
      </c>
      <c r="Y138" s="4" t="s">
        <v>56</v>
      </c>
      <c r="Z138" s="7">
        <f t="shared" si="1"/>
        <v>29.64</v>
      </c>
      <c r="AA138" s="4">
        <v>15.0</v>
      </c>
      <c r="AB138" s="8"/>
      <c r="AC138" s="8">
        <f t="shared" si="2"/>
        <v>0</v>
      </c>
      <c r="AD138" s="13">
        <v>612.56</v>
      </c>
      <c r="AE138" s="10" t="s">
        <v>425</v>
      </c>
      <c r="AF138" s="11"/>
      <c r="AG138" s="11"/>
      <c r="AH138" s="11"/>
      <c r="AI138" s="11"/>
      <c r="AJ138" s="11" t="str">
        <f>IFERROR(__xludf.DUMMYFUNCTION("AI(""Completa un valor adecuado para esta celda en función del contexto de la tabla"")"),"Piso flotante laminado de origen alemán, ideal para uso comercial por su resistencia a la abrasión AC4. Con un espesor de 8 mm y sistema de instalación click, este modelo no cuenta con bisel y es de tipo clásico. Cada caja cubre una superficie de 2.13 m2.")</f>
        <v>Piso flotante laminado de origen alemán, ideal para uso comercial por su resistencia a la abrasión AC4. Con un espesor de 8 mm y sistema de instalación click, este modelo no cuenta con bisel y es de tipo clásico. Cada caja cubre una superficie de 2.13 m2.</v>
      </c>
    </row>
    <row r="139" ht="15.75" customHeight="1">
      <c r="A139" s="4">
        <v>19340.0</v>
      </c>
      <c r="B139" s="5" t="s">
        <v>33</v>
      </c>
      <c r="C139" s="5" t="s">
        <v>34</v>
      </c>
      <c r="D139" s="5" t="s">
        <v>35</v>
      </c>
      <c r="E139" s="5" t="s">
        <v>36</v>
      </c>
      <c r="F139" s="5" t="s">
        <v>37</v>
      </c>
      <c r="G139" s="5" t="s">
        <v>426</v>
      </c>
      <c r="H139" s="4" t="s">
        <v>427</v>
      </c>
      <c r="I139" s="5" t="s">
        <v>72</v>
      </c>
      <c r="J139" s="5" t="s">
        <v>117</v>
      </c>
      <c r="K139" s="5" t="s">
        <v>54</v>
      </c>
      <c r="L139" s="4">
        <v>8.0</v>
      </c>
      <c r="M139" s="5" t="s">
        <v>42</v>
      </c>
      <c r="N139" s="4" t="s">
        <v>55</v>
      </c>
      <c r="O139" s="4" t="s">
        <v>44</v>
      </c>
      <c r="P139" s="4" t="s">
        <v>45</v>
      </c>
      <c r="Q139" s="4">
        <v>191.0</v>
      </c>
      <c r="R139" s="5" t="s">
        <v>42</v>
      </c>
      <c r="S139" s="4">
        <v>1280.0</v>
      </c>
      <c r="T139" s="5" t="s">
        <v>42</v>
      </c>
      <c r="U139" s="4">
        <v>2.22</v>
      </c>
      <c r="V139" s="5" t="s">
        <v>46</v>
      </c>
      <c r="W139" s="4">
        <v>9.0</v>
      </c>
      <c r="X139" s="6">
        <v>13.15</v>
      </c>
      <c r="Y139" s="4" t="s">
        <v>47</v>
      </c>
      <c r="Z139" s="7">
        <f t="shared" si="1"/>
        <v>29.193</v>
      </c>
      <c r="AA139" s="4">
        <v>15.0</v>
      </c>
      <c r="AB139" s="8"/>
      <c r="AC139" s="8">
        <f t="shared" si="2"/>
        <v>0</v>
      </c>
      <c r="AD139" s="13">
        <v>226.44</v>
      </c>
      <c r="AE139" s="14" t="s">
        <v>428</v>
      </c>
      <c r="AF139" s="15"/>
      <c r="AG139" s="15"/>
      <c r="AH139" s="15"/>
      <c r="AI139" s="15"/>
      <c r="AJ139" s="15" t="str">
        <f>IFERROR(__xludf.DUMMYFUNCTION("AI(""Completa un valor adecuado para esta celda en función del contexto de la tabla"")"),"Piso flotante laminado de origen alemán, diseñado para uso comercial con una resistencia a la abrasión AC4. Posee un espesor de 8 mm y un sistema de instalación click que facilita un montaje rápido sin adhesivos. Este modelo clásico no incluye bisel y cad"&amp;"a caja rinde 2.13 m2. Es una opción duradera, ecológica y de fácil mantenimiento para espacios interiores.")</f>
        <v>Piso flotante laminado de origen alemán, diseñado para uso comercial con una resistencia a la abrasión AC4. Posee un espesor de 8 mm y un sistema de instalación click que facilita un montaje rápido sin adhesivos. Este modelo clásico no incluye bisel y cada caja rinde 2.13 m2. Es una opción duradera, ecológica y de fácil mantenimiento para espacios interiores.</v>
      </c>
    </row>
    <row r="140" ht="15.75" customHeight="1">
      <c r="A140" s="4">
        <v>19321.0</v>
      </c>
      <c r="B140" s="5" t="s">
        <v>33</v>
      </c>
      <c r="C140" s="5" t="s">
        <v>34</v>
      </c>
      <c r="D140" s="5" t="s">
        <v>35</v>
      </c>
      <c r="E140" s="5" t="s">
        <v>36</v>
      </c>
      <c r="F140" s="5" t="s">
        <v>37</v>
      </c>
      <c r="G140" s="5" t="s">
        <v>429</v>
      </c>
      <c r="H140" s="4">
        <v>4295.0</v>
      </c>
      <c r="I140" s="5" t="s">
        <v>72</v>
      </c>
      <c r="J140" s="5" t="s">
        <v>215</v>
      </c>
      <c r="K140" s="5" t="s">
        <v>54</v>
      </c>
      <c r="L140" s="4">
        <v>8.0</v>
      </c>
      <c r="M140" s="5" t="s">
        <v>42</v>
      </c>
      <c r="N140" s="4" t="s">
        <v>55</v>
      </c>
      <c r="O140" s="4" t="s">
        <v>44</v>
      </c>
      <c r="P140" s="4" t="s">
        <v>45</v>
      </c>
      <c r="Q140" s="4">
        <v>192.0</v>
      </c>
      <c r="R140" s="5" t="s">
        <v>42</v>
      </c>
      <c r="S140" s="4">
        <v>1280.0</v>
      </c>
      <c r="T140" s="5" t="s">
        <v>42</v>
      </c>
      <c r="U140" s="4">
        <v>2.22</v>
      </c>
      <c r="V140" s="5" t="s">
        <v>46</v>
      </c>
      <c r="W140" s="4">
        <v>9.0</v>
      </c>
      <c r="X140" s="6">
        <v>18.0</v>
      </c>
      <c r="Y140" s="4" t="s">
        <v>47</v>
      </c>
      <c r="Z140" s="7">
        <f t="shared" si="1"/>
        <v>39.96</v>
      </c>
      <c r="AA140" s="4">
        <v>15.0</v>
      </c>
      <c r="AB140" s="4">
        <v>52.0</v>
      </c>
      <c r="AC140" s="8">
        <f t="shared" si="2"/>
        <v>780</v>
      </c>
      <c r="AD140" s="13">
        <v>124.32</v>
      </c>
      <c r="AE140" s="10" t="s">
        <v>430</v>
      </c>
      <c r="AF140" s="11"/>
      <c r="AG140" s="11"/>
      <c r="AH140" s="11"/>
      <c r="AI140" s="11"/>
      <c r="AJ140" s="11" t="str">
        <f>IFERROR(__xludf.DUMMYFUNCTION("AI(""Completa un valor adecuado para esta celda en función del contexto de la tabla"")"),"Piso flotante laminado de origen alemán, marca Kronotex y línea Dinamic, diseñado para uso comercial con una resistencia a la abrasión AC4. Posee un espesor de 8 mm y un sistema de instalación con bisel, ideal para espacios que requieren durabilidad y est"&amp;"ilo. Cada caja cubre una superficie de 2.13 m2.")</f>
        <v>Piso flotante laminado de origen alemán, marca Kronotex y línea Dinamic, diseñado para uso comercial con una resistencia a la abrasión AC4. Posee un espesor de 8 mm y un sistema de instalación con bisel, ideal para espacios que requieren durabilidad y estilo. Cada caja cubre una superficie de 2.13 m2.</v>
      </c>
    </row>
    <row r="141" ht="15.75" customHeight="1">
      <c r="A141" s="4">
        <v>19320.0</v>
      </c>
      <c r="B141" s="5" t="s">
        <v>33</v>
      </c>
      <c r="C141" s="5" t="s">
        <v>34</v>
      </c>
      <c r="D141" s="5" t="s">
        <v>35</v>
      </c>
      <c r="E141" s="5" t="s">
        <v>36</v>
      </c>
      <c r="F141" s="5" t="s">
        <v>37</v>
      </c>
      <c r="G141" s="5" t="s">
        <v>431</v>
      </c>
      <c r="H141" s="4">
        <v>8096.0</v>
      </c>
      <c r="I141" s="5" t="s">
        <v>72</v>
      </c>
      <c r="J141" s="5" t="s">
        <v>215</v>
      </c>
      <c r="K141" s="5" t="s">
        <v>54</v>
      </c>
      <c r="L141" s="4">
        <v>8.0</v>
      </c>
      <c r="M141" s="5" t="s">
        <v>42</v>
      </c>
      <c r="N141" s="4" t="s">
        <v>55</v>
      </c>
      <c r="O141" s="4" t="s">
        <v>44</v>
      </c>
      <c r="P141" s="4" t="s">
        <v>45</v>
      </c>
      <c r="Q141" s="4">
        <v>192.0</v>
      </c>
      <c r="R141" s="5" t="s">
        <v>42</v>
      </c>
      <c r="S141" s="4">
        <v>1280.0</v>
      </c>
      <c r="T141" s="5" t="s">
        <v>42</v>
      </c>
      <c r="U141" s="4">
        <v>2.22</v>
      </c>
      <c r="V141" s="5" t="s">
        <v>46</v>
      </c>
      <c r="W141" s="4">
        <v>9.0</v>
      </c>
      <c r="X141" s="6">
        <v>18.0</v>
      </c>
      <c r="Y141" s="4" t="s">
        <v>47</v>
      </c>
      <c r="Z141" s="7">
        <f t="shared" si="1"/>
        <v>39.96</v>
      </c>
      <c r="AA141" s="4">
        <v>15.0</v>
      </c>
      <c r="AB141" s="4">
        <v>52.0</v>
      </c>
      <c r="AC141" s="8">
        <f t="shared" si="2"/>
        <v>780</v>
      </c>
      <c r="AD141" s="13">
        <v>219.78</v>
      </c>
      <c r="AE141" s="14" t="s">
        <v>432</v>
      </c>
      <c r="AF141" s="15"/>
      <c r="AG141" s="15"/>
      <c r="AH141" s="15"/>
      <c r="AI141" s="15"/>
      <c r="AJ141" s="15" t="str">
        <f>IFERROR(__xludf.DUMMYFUNCTION("AI(""Completa un valor adecuado para esta celda en función del contexto de la tabla"")"),"Piso flotante laminado de origen alemán, marca Kronotex y línea Catwalk, diseñado para uso comercial con resistencia a la abrasión AC4. Con un espesor de 8 mm y sistema de instalación click, este modelo de canto recto no posee bisel ni manto incorporado. "&amp;"Cada caja cubre una superficie de 2.13 m2.")</f>
        <v>Piso flotante laminado de origen alemán, marca Kronotex y línea Catwalk, diseñado para uso comercial con resistencia a la abrasión AC4. Con un espesor de 8 mm y sistema de instalación click, este modelo de canto recto no posee bisel ni manto incorporado. Cada caja cubre una superficie de 2.13 m2.</v>
      </c>
    </row>
    <row r="142" ht="15.75" customHeight="1">
      <c r="A142" s="4">
        <v>19009.0</v>
      </c>
      <c r="B142" s="5" t="s">
        <v>33</v>
      </c>
      <c r="C142" s="5" t="s">
        <v>34</v>
      </c>
      <c r="D142" s="5" t="s">
        <v>35</v>
      </c>
      <c r="E142" s="5" t="s">
        <v>36</v>
      </c>
      <c r="F142" s="5" t="s">
        <v>37</v>
      </c>
      <c r="G142" s="5" t="s">
        <v>433</v>
      </c>
      <c r="H142" s="4" t="s">
        <v>434</v>
      </c>
      <c r="I142" s="5" t="s">
        <v>72</v>
      </c>
      <c r="J142" s="5" t="s">
        <v>373</v>
      </c>
      <c r="K142" s="5" t="s">
        <v>41</v>
      </c>
      <c r="L142" s="4">
        <v>12.0</v>
      </c>
      <c r="M142" s="5" t="s">
        <v>42</v>
      </c>
      <c r="N142" s="4" t="s">
        <v>43</v>
      </c>
      <c r="O142" s="4" t="s">
        <v>44</v>
      </c>
      <c r="P142" s="4" t="s">
        <v>45</v>
      </c>
      <c r="Q142" s="4">
        <v>192.0</v>
      </c>
      <c r="R142" s="5" t="s">
        <v>42</v>
      </c>
      <c r="S142" s="4">
        <v>1290.0</v>
      </c>
      <c r="T142" s="5" t="s">
        <v>42</v>
      </c>
      <c r="U142" s="4">
        <v>1.48</v>
      </c>
      <c r="V142" s="5" t="s">
        <v>46</v>
      </c>
      <c r="W142" s="4">
        <v>6.0</v>
      </c>
      <c r="X142" s="6">
        <v>21.0</v>
      </c>
      <c r="Y142" s="4" t="s">
        <v>47</v>
      </c>
      <c r="Z142" s="7">
        <f t="shared" si="1"/>
        <v>31.08</v>
      </c>
      <c r="AA142" s="4">
        <v>15.0</v>
      </c>
      <c r="AB142" s="4">
        <v>52.0</v>
      </c>
      <c r="AC142" s="8">
        <f t="shared" si="2"/>
        <v>780</v>
      </c>
      <c r="AD142" s="13">
        <v>192.4</v>
      </c>
      <c r="AE142" s="10" t="s">
        <v>435</v>
      </c>
      <c r="AF142" s="11"/>
      <c r="AG142" s="11"/>
      <c r="AH142" s="11"/>
      <c r="AI142" s="11"/>
      <c r="AJ142" s="11" t="str">
        <f>IFERROR(__xludf.DUMMYFUNCTION("AI(""Completa un valor adecuado para esta celda en función del contexto de la tabla"")"),"Piso flotante laminado de origen alemán, ideal para uso comercial intenso por su resistencia a la abrasión AC5. Con un espesor de 8+2 mm, este modelo incluye manto incorporado y cuenta con bisel en sus tablas. Cada caja cubre una superficie de 1.59 m2.")</f>
        <v>Piso flotante laminado de origen alemán, ideal para uso comercial intenso por su resistencia a la abrasión AC5. Con un espesor de 8+2 mm, este modelo incluye manto incorporado y cuenta con bisel en sus tablas. Cada caja cubre una superficie de 1.59 m2.</v>
      </c>
    </row>
    <row r="143" ht="15.75" customHeight="1">
      <c r="A143" s="4">
        <v>20708.0</v>
      </c>
      <c r="B143" s="5" t="s">
        <v>33</v>
      </c>
      <c r="C143" s="5" t="s">
        <v>34</v>
      </c>
      <c r="D143" s="5" t="s">
        <v>35</v>
      </c>
      <c r="E143" s="5" t="s">
        <v>36</v>
      </c>
      <c r="F143" s="5" t="s">
        <v>37</v>
      </c>
      <c r="G143" s="5" t="s">
        <v>436</v>
      </c>
      <c r="H143" s="4">
        <v>5985.0</v>
      </c>
      <c r="I143" s="5" t="s">
        <v>72</v>
      </c>
      <c r="J143" s="5" t="s">
        <v>215</v>
      </c>
      <c r="K143" s="5" t="s">
        <v>54</v>
      </c>
      <c r="L143" s="4">
        <v>8.0</v>
      </c>
      <c r="M143" s="5" t="s">
        <v>42</v>
      </c>
      <c r="N143" s="4" t="s">
        <v>55</v>
      </c>
      <c r="O143" s="4" t="s">
        <v>44</v>
      </c>
      <c r="P143" s="4" t="s">
        <v>45</v>
      </c>
      <c r="Q143" s="4">
        <v>192.0</v>
      </c>
      <c r="R143" s="5" t="s">
        <v>42</v>
      </c>
      <c r="S143" s="4">
        <v>1280.0</v>
      </c>
      <c r="T143" s="5" t="s">
        <v>42</v>
      </c>
      <c r="U143" s="4">
        <v>2.22</v>
      </c>
      <c r="V143" s="5" t="s">
        <v>46</v>
      </c>
      <c r="W143" s="4">
        <v>9.0</v>
      </c>
      <c r="X143" s="6">
        <v>18.0</v>
      </c>
      <c r="Y143" s="4" t="s">
        <v>47</v>
      </c>
      <c r="Z143" s="7">
        <f t="shared" si="1"/>
        <v>39.96</v>
      </c>
      <c r="AA143" s="4">
        <v>15.0</v>
      </c>
      <c r="AB143" s="4">
        <v>52.0</v>
      </c>
      <c r="AC143" s="8">
        <f t="shared" si="2"/>
        <v>780</v>
      </c>
      <c r="AD143" s="13">
        <v>1427.46</v>
      </c>
      <c r="AE143" s="14" t="s">
        <v>437</v>
      </c>
      <c r="AF143" s="15"/>
      <c r="AG143" s="15"/>
      <c r="AH143" s="15"/>
      <c r="AI143" s="15"/>
      <c r="AJ143" s="15" t="str">
        <f>IFERROR(__xludf.DUMMYFUNCTION("AI(""Completa un valor adecuado para esta celda en función del contexto de la tabla"")"),"Piso flotante laminado de origen alemán, ideal para uso comercial por su resistencia a la abrasión AC4. Con un espesor de 10 mm y sistema de instalación click, este modelo cuenta con bisel y cada caja cubre una superficie de 1.76 m2.")</f>
        <v>Piso flotante laminado de origen alemán, ideal para uso comercial por su resistencia a la abrasión AC4. Con un espesor de 10 mm y sistema de instalación click, este modelo cuenta con bisel y cada caja cubre una superficie de 1.76 m2.</v>
      </c>
    </row>
    <row r="144" ht="15.75" customHeight="1">
      <c r="A144" s="4">
        <v>19338.0</v>
      </c>
      <c r="B144" s="5" t="s">
        <v>33</v>
      </c>
      <c r="C144" s="5" t="s">
        <v>34</v>
      </c>
      <c r="D144" s="5" t="s">
        <v>35</v>
      </c>
      <c r="E144" s="5" t="s">
        <v>36</v>
      </c>
      <c r="F144" s="5" t="s">
        <v>37</v>
      </c>
      <c r="G144" s="5" t="s">
        <v>438</v>
      </c>
      <c r="H144" s="4">
        <v>8633.0</v>
      </c>
      <c r="I144" s="5" t="s">
        <v>72</v>
      </c>
      <c r="J144" s="5" t="s">
        <v>439</v>
      </c>
      <c r="K144" s="5" t="s">
        <v>54</v>
      </c>
      <c r="L144" s="4">
        <v>8.0</v>
      </c>
      <c r="M144" s="5" t="s">
        <v>42</v>
      </c>
      <c r="N144" s="4" t="s">
        <v>55</v>
      </c>
      <c r="O144" s="4" t="s">
        <v>44</v>
      </c>
      <c r="P144" s="4" t="s">
        <v>45</v>
      </c>
      <c r="Q144" s="4">
        <v>123.0</v>
      </c>
      <c r="R144" s="5" t="s">
        <v>42</v>
      </c>
      <c r="S144" s="4">
        <v>1290.0</v>
      </c>
      <c r="T144" s="5" t="s">
        <v>42</v>
      </c>
      <c r="U144" s="4">
        <v>1.9</v>
      </c>
      <c r="V144" s="5" t="s">
        <v>46</v>
      </c>
      <c r="W144" s="4">
        <v>12.0</v>
      </c>
      <c r="X144" s="6">
        <v>22.0</v>
      </c>
      <c r="Y144" s="4" t="s">
        <v>47</v>
      </c>
      <c r="Z144" s="7">
        <f t="shared" si="1"/>
        <v>41.8</v>
      </c>
      <c r="AA144" s="4"/>
      <c r="AB144" s="4"/>
      <c r="AC144" s="8">
        <f t="shared" si="2"/>
        <v>0</v>
      </c>
      <c r="AD144" s="13">
        <v>138.7</v>
      </c>
      <c r="AE144" s="10" t="s">
        <v>440</v>
      </c>
      <c r="AF144" s="11"/>
      <c r="AG144" s="11"/>
      <c r="AH144" s="11"/>
      <c r="AI144" s="11"/>
      <c r="AJ144" s="11" t="str">
        <f>IFERROR(__xludf.DUMMYFUNCTION("AI(""Completa un valor adecuado para esta celda en función del contexto de la tabla"")"),"Piso flotante laminado de origen alemán, ideal para uso comercial intenso por su resistencia a la abrasión AC5. Con un espesor de 10 mm y sistema de instalación click, este modelo cuenta con bisel y un diseño clásico. Cada caja contiene 4 tablas y cubre u"&amp;"na superficie de 1.81 m2.")</f>
        <v>Piso flotante laminado de origen alemán, ideal para uso comercial intenso por su resistencia a la abrasión AC5. Con un espesor de 10 mm y sistema de instalación click, este modelo cuenta con bisel y un diseño clásico. Cada caja contiene 4 tablas y cubre una superficie de 1.81 m2.</v>
      </c>
    </row>
    <row r="145" ht="15.75" customHeight="1">
      <c r="A145" s="4">
        <v>25076.0</v>
      </c>
      <c r="B145" s="5" t="s">
        <v>33</v>
      </c>
      <c r="C145" s="5" t="s">
        <v>34</v>
      </c>
      <c r="D145" s="5" t="s">
        <v>35</v>
      </c>
      <c r="E145" s="5" t="s">
        <v>58</v>
      </c>
      <c r="F145" s="5" t="s">
        <v>37</v>
      </c>
      <c r="G145" s="5" t="s">
        <v>441</v>
      </c>
      <c r="H145" s="4" t="s">
        <v>442</v>
      </c>
      <c r="I145" s="5" t="s">
        <v>72</v>
      </c>
      <c r="J145" s="5" t="s">
        <v>73</v>
      </c>
      <c r="K145" s="5" t="s">
        <v>54</v>
      </c>
      <c r="L145" s="4">
        <v>8.0</v>
      </c>
      <c r="M145" s="5" t="s">
        <v>42</v>
      </c>
      <c r="N145" s="4" t="s">
        <v>55</v>
      </c>
      <c r="O145" s="4" t="s">
        <v>44</v>
      </c>
      <c r="P145" s="4" t="s">
        <v>74</v>
      </c>
      <c r="Q145" s="4">
        <v>195.0</v>
      </c>
      <c r="R145" s="5" t="s">
        <v>42</v>
      </c>
      <c r="S145" s="4">
        <v>1288.0</v>
      </c>
      <c r="T145" s="5" t="s">
        <v>42</v>
      </c>
      <c r="U145" s="4">
        <v>2.26</v>
      </c>
      <c r="V145" s="5" t="s">
        <v>46</v>
      </c>
      <c r="W145" s="4">
        <v>9.0</v>
      </c>
      <c r="X145" s="6">
        <v>21.5</v>
      </c>
      <c r="Y145" s="4" t="s">
        <v>61</v>
      </c>
      <c r="Z145" s="7">
        <f t="shared" si="1"/>
        <v>48.59</v>
      </c>
      <c r="AA145" s="4">
        <v>15.0</v>
      </c>
      <c r="AB145" s="4">
        <v>56.0</v>
      </c>
      <c r="AC145" s="8">
        <f t="shared" si="2"/>
        <v>840</v>
      </c>
      <c r="AD145" s="13">
        <v>2104.06</v>
      </c>
      <c r="AE145" s="14" t="s">
        <v>443</v>
      </c>
      <c r="AF145" s="15"/>
      <c r="AG145" s="15"/>
      <c r="AH145" s="15"/>
      <c r="AI145" s="15"/>
      <c r="AJ145" s="15" t="str">
        <f>IFERROR(__xludf.DUMMYFUNCTION("AI(""Completa un valor adecuado para esta celda en función del contexto de la tabla"")"),"Piso flotante laminado de origen alemán, marca Kronotex, perteneciente a la línea Dinamic. Este modelo de 8 mm de espesor y clasificación de abrasión AC4 es ideal para uso comercial. No posee bisel y cada caja cubre una superficie de 2.13 m2, facilitando "&amp;"una instalación rápida y un acabado uniforme.")</f>
        <v>Piso flotante laminado de origen alemán, marca Kronotex, perteneciente a la línea Dinamic. Este modelo de 8 mm de espesor y clasificación de abrasión AC4 es ideal para uso comercial. No posee bisel y cada caja cubre una superficie de 2.13 m2, facilitando una instalación rápida y un acabado uniforme.</v>
      </c>
    </row>
    <row r="146" ht="15.75" customHeight="1">
      <c r="A146" s="4">
        <v>24413.0</v>
      </c>
      <c r="B146" s="5" t="s">
        <v>33</v>
      </c>
      <c r="C146" s="5" t="s">
        <v>34</v>
      </c>
      <c r="D146" s="5" t="s">
        <v>35</v>
      </c>
      <c r="E146" s="5" t="s">
        <v>58</v>
      </c>
      <c r="F146" s="5" t="s">
        <v>37</v>
      </c>
      <c r="G146" s="5" t="s">
        <v>444</v>
      </c>
      <c r="H146" s="4" t="s">
        <v>445</v>
      </c>
      <c r="I146" s="5" t="s">
        <v>72</v>
      </c>
      <c r="J146" s="5" t="s">
        <v>60</v>
      </c>
      <c r="K146" s="5" t="s">
        <v>54</v>
      </c>
      <c r="L146" s="4">
        <v>8.0</v>
      </c>
      <c r="M146" s="5" t="s">
        <v>42</v>
      </c>
      <c r="N146" s="4" t="s">
        <v>55</v>
      </c>
      <c r="O146" s="4" t="s">
        <v>44</v>
      </c>
      <c r="P146" s="4" t="s">
        <v>45</v>
      </c>
      <c r="Q146" s="4">
        <v>192.0</v>
      </c>
      <c r="R146" s="5" t="s">
        <v>42</v>
      </c>
      <c r="S146" s="4">
        <v>1280.0</v>
      </c>
      <c r="T146" s="5" t="s">
        <v>42</v>
      </c>
      <c r="U146" s="4">
        <v>2.22</v>
      </c>
      <c r="V146" s="5" t="s">
        <v>46</v>
      </c>
      <c r="W146" s="4">
        <v>9.0</v>
      </c>
      <c r="X146" s="6">
        <v>17.3</v>
      </c>
      <c r="Y146" s="4" t="s">
        <v>47</v>
      </c>
      <c r="Z146" s="7">
        <f t="shared" si="1"/>
        <v>38.406</v>
      </c>
      <c r="AA146" s="4">
        <v>15.0</v>
      </c>
      <c r="AB146" s="8"/>
      <c r="AC146" s="8">
        <f t="shared" si="2"/>
        <v>0</v>
      </c>
      <c r="AD146" s="13">
        <v>126.54</v>
      </c>
      <c r="AE146" s="10" t="s">
        <v>446</v>
      </c>
      <c r="AF146" s="11"/>
      <c r="AG146" s="11"/>
      <c r="AH146" s="11"/>
      <c r="AI146" s="11"/>
      <c r="AJ146" s="11" t="str">
        <f>IFERROR(__xludf.DUMMYFUNCTION("AI(""Completa un valor adecuado para esta celda en función del contexto de la tabla"")"),"Piso flotante laminado de origen alemán, diseñado para uso comercial por su resistencia a la abrasión AC4. Con un espesor de 8 mm y sistema de instalación click, este modelo no presenta bisel y ofrece un acabado clásico. Cada caja cubre una superficie de "&amp;"2.13 m2.")</f>
        <v>Piso flotante laminado de origen alemán, diseñado para uso comercial por su resistencia a la abrasión AC4. Con un espesor de 8 mm y sistema de instalación click, este modelo no presenta bisel y ofrece un acabado clásico. Cada caja cubre una superficie de 2.13 m2.</v>
      </c>
    </row>
    <row r="147" ht="15.75" customHeight="1">
      <c r="A147" s="16">
        <v>24828.0</v>
      </c>
      <c r="B147" s="5" t="s">
        <v>33</v>
      </c>
      <c r="C147" s="5" t="s">
        <v>34</v>
      </c>
      <c r="D147" s="5" t="s">
        <v>35</v>
      </c>
      <c r="E147" s="17" t="s">
        <v>49</v>
      </c>
      <c r="F147" s="17" t="s">
        <v>37</v>
      </c>
      <c r="G147" s="18" t="s">
        <v>447</v>
      </c>
      <c r="H147" s="16" t="s">
        <v>448</v>
      </c>
      <c r="I147" s="5" t="s">
        <v>72</v>
      </c>
      <c r="J147" s="18" t="s">
        <v>80</v>
      </c>
      <c r="K147" s="5" t="s">
        <v>41</v>
      </c>
      <c r="L147" s="19">
        <v>8.0</v>
      </c>
      <c r="M147" s="17" t="s">
        <v>42</v>
      </c>
      <c r="N147" s="19" t="s">
        <v>43</v>
      </c>
      <c r="O147" s="19" t="s">
        <v>44</v>
      </c>
      <c r="P147" s="19" t="s">
        <v>45</v>
      </c>
      <c r="Q147" s="16">
        <v>195.0</v>
      </c>
      <c r="R147" s="17" t="s">
        <v>42</v>
      </c>
      <c r="S147" s="16">
        <v>2003.0</v>
      </c>
      <c r="T147" s="17" t="s">
        <v>42</v>
      </c>
      <c r="U147" s="16">
        <v>2.73</v>
      </c>
      <c r="V147" s="17" t="s">
        <v>46</v>
      </c>
      <c r="W147" s="16">
        <v>7.0</v>
      </c>
      <c r="X147" s="20">
        <v>26.85</v>
      </c>
      <c r="Y147" s="19" t="s">
        <v>61</v>
      </c>
      <c r="Z147" s="20">
        <f t="shared" si="1"/>
        <v>73.3005</v>
      </c>
      <c r="AA147" s="4">
        <v>15.0</v>
      </c>
      <c r="AB147" s="16">
        <v>40.0</v>
      </c>
      <c r="AC147" s="8">
        <f t="shared" si="2"/>
        <v>600</v>
      </c>
      <c r="AD147" s="21">
        <v>1893.61</v>
      </c>
      <c r="AE147" s="14" t="s">
        <v>449</v>
      </c>
      <c r="AF147" s="22"/>
      <c r="AG147" s="22"/>
      <c r="AH147" s="22"/>
      <c r="AI147" s="22"/>
      <c r="AJ147" s="22" t="str">
        <f>IFERROR(__xludf.DUMMYFUNCTION("AI(""Completa un valor adecuado para esta celda en función del contexto de la tabla"")"),"Piso flotante laminado de origen alemán, diseñado para uso comercial con una resistencia a la abrasión AC4. Posee un espesor de 8 mm y un sistema de instalación click sin bisel. Cada caja rinde 2.13 m2 de superficie.")</f>
        <v>Piso flotante laminado de origen alemán, diseñado para uso comercial con una resistencia a la abrasión AC4. Posee un espesor de 8 mm y un sistema de instalación click sin bisel. Cada caja rinde 2.13 m2 de superficie.</v>
      </c>
    </row>
    <row r="148" ht="15.75" customHeight="1">
      <c r="A148" s="4">
        <v>25077.0</v>
      </c>
      <c r="B148" s="5" t="s">
        <v>33</v>
      </c>
      <c r="C148" s="5" t="s">
        <v>34</v>
      </c>
      <c r="D148" s="5" t="s">
        <v>35</v>
      </c>
      <c r="E148" s="5" t="s">
        <v>58</v>
      </c>
      <c r="F148" s="5" t="s">
        <v>37</v>
      </c>
      <c r="G148" s="5" t="s">
        <v>447</v>
      </c>
      <c r="H148" s="4" t="s">
        <v>448</v>
      </c>
      <c r="I148" s="5" t="s">
        <v>72</v>
      </c>
      <c r="J148" s="5" t="s">
        <v>73</v>
      </c>
      <c r="K148" s="5" t="s">
        <v>54</v>
      </c>
      <c r="L148" s="4">
        <v>8.0</v>
      </c>
      <c r="M148" s="5" t="s">
        <v>42</v>
      </c>
      <c r="N148" s="4" t="s">
        <v>55</v>
      </c>
      <c r="O148" s="4" t="s">
        <v>44</v>
      </c>
      <c r="P148" s="4" t="s">
        <v>74</v>
      </c>
      <c r="Q148" s="4">
        <v>195.0</v>
      </c>
      <c r="R148" s="5" t="s">
        <v>42</v>
      </c>
      <c r="S148" s="4">
        <v>1288.0</v>
      </c>
      <c r="T148" s="5" t="s">
        <v>42</v>
      </c>
      <c r="U148" s="4">
        <v>2.26</v>
      </c>
      <c r="V148" s="5" t="s">
        <v>46</v>
      </c>
      <c r="W148" s="4">
        <v>9.0</v>
      </c>
      <c r="X148" s="6">
        <v>21.5</v>
      </c>
      <c r="Y148" s="4" t="s">
        <v>61</v>
      </c>
      <c r="Z148" s="7">
        <f t="shared" si="1"/>
        <v>48.59</v>
      </c>
      <c r="AA148" s="4">
        <v>15.0</v>
      </c>
      <c r="AB148" s="4">
        <v>56.0</v>
      </c>
      <c r="AC148" s="8">
        <f t="shared" si="2"/>
        <v>840</v>
      </c>
      <c r="AD148" s="13">
        <v>1692.74</v>
      </c>
      <c r="AE148" s="10" t="s">
        <v>450</v>
      </c>
      <c r="AF148" s="11"/>
      <c r="AG148" s="11"/>
      <c r="AH148" s="11"/>
      <c r="AI148" s="11"/>
      <c r="AJ148" s="11" t="str">
        <f>IFERROR(__xludf.DUMMYFUNCTION("AI(""Completa un valor adecuado para esta celda en función del contexto de la tabla"")"),"Piso flotante laminado de origen alemán, diseñado para uso comercial con una resistencia a la abrasión AC4. Con un espesor de 8 mm y sistema de instalación click, este modelo no cuenta con bisel y pertenece a la línea Dinamic. Cada caja cubre una superfic"&amp;"ie de 2.13 m2.")</f>
        <v>Piso flotante laminado de origen alemán, diseñado para uso comercial con una resistencia a la abrasión AC4. Con un espesor de 8 mm y sistema de instalación click, este modelo no cuenta con bisel y pertenece a la línea Dinamic. Cada caja cubre una superficie de 2.13 m2.</v>
      </c>
    </row>
    <row r="149" ht="15.75" customHeight="1">
      <c r="A149" s="4">
        <v>24644.0</v>
      </c>
      <c r="B149" s="5" t="s">
        <v>33</v>
      </c>
      <c r="C149" s="5" t="s">
        <v>34</v>
      </c>
      <c r="D149" s="5" t="s">
        <v>35</v>
      </c>
      <c r="E149" s="5" t="s">
        <v>49</v>
      </c>
      <c r="F149" s="5" t="s">
        <v>37</v>
      </c>
      <c r="G149" s="5" t="s">
        <v>451</v>
      </c>
      <c r="H149" s="29" t="s">
        <v>452</v>
      </c>
      <c r="I149" s="5" t="s">
        <v>72</v>
      </c>
      <c r="J149" s="5" t="s">
        <v>80</v>
      </c>
      <c r="K149" s="5" t="s">
        <v>41</v>
      </c>
      <c r="L149" s="4">
        <v>8.0</v>
      </c>
      <c r="M149" s="5" t="s">
        <v>42</v>
      </c>
      <c r="N149" s="4" t="s">
        <v>43</v>
      </c>
      <c r="O149" s="4" t="s">
        <v>44</v>
      </c>
      <c r="P149" s="4" t="s">
        <v>45</v>
      </c>
      <c r="Q149" s="4">
        <v>195.0</v>
      </c>
      <c r="R149" s="5" t="s">
        <v>42</v>
      </c>
      <c r="S149" s="4">
        <v>1290.0</v>
      </c>
      <c r="T149" s="5" t="s">
        <v>42</v>
      </c>
      <c r="U149" s="4">
        <v>2.26</v>
      </c>
      <c r="V149" s="5" t="s">
        <v>46</v>
      </c>
      <c r="W149" s="4">
        <v>9.0</v>
      </c>
      <c r="X149" s="6">
        <v>26.85</v>
      </c>
      <c r="Y149" s="4" t="s">
        <v>61</v>
      </c>
      <c r="Z149" s="7">
        <f t="shared" si="1"/>
        <v>60.681</v>
      </c>
      <c r="AA149" s="4">
        <v>15.0</v>
      </c>
      <c r="AB149" s="4">
        <v>52.0</v>
      </c>
      <c r="AC149" s="8">
        <f t="shared" si="2"/>
        <v>780</v>
      </c>
      <c r="AD149" s="13">
        <v>1036.34</v>
      </c>
      <c r="AE149" s="14" t="s">
        <v>453</v>
      </c>
      <c r="AF149" s="15"/>
      <c r="AG149" s="15"/>
      <c r="AH149" s="15"/>
      <c r="AI149" s="15"/>
      <c r="AJ149" s="15" t="str">
        <f>IFERROR(__xludf.DUMMYFUNCTION("AI(""Completa un valor adecuado para esta celda en función del contexto de la tabla"")"),"Piso flotante laminado de origen alemán, diseñado para uso comercial con una resistencia a la abrasión AC4. Posee un espesor de 8 mm y un sistema de instalación click sin bisel. Cada caja contiene 8 tablas y cubre una superficie de 2.13 m2.")</f>
        <v>Piso flotante laminado de origen alemán, diseñado para uso comercial con una resistencia a la abrasión AC4. Posee un espesor de 8 mm y un sistema de instalación click sin bisel. Cada caja contiene 8 tablas y cubre una superficie de 2.13 m2.</v>
      </c>
    </row>
    <row r="150" ht="15.75" customHeight="1">
      <c r="A150" s="4">
        <v>23767.0</v>
      </c>
      <c r="B150" s="5" t="s">
        <v>33</v>
      </c>
      <c r="C150" s="5" t="s">
        <v>34</v>
      </c>
      <c r="D150" s="5" t="s">
        <v>35</v>
      </c>
      <c r="E150" s="5" t="s">
        <v>58</v>
      </c>
      <c r="F150" s="5" t="s">
        <v>37</v>
      </c>
      <c r="G150" s="5" t="s">
        <v>454</v>
      </c>
      <c r="H150" s="4" t="s">
        <v>455</v>
      </c>
      <c r="I150" s="5" t="s">
        <v>39</v>
      </c>
      <c r="J150" s="5" t="s">
        <v>64</v>
      </c>
      <c r="K150" s="5" t="s">
        <v>41</v>
      </c>
      <c r="L150" s="4">
        <v>12.0</v>
      </c>
      <c r="M150" s="5" t="s">
        <v>42</v>
      </c>
      <c r="N150" s="4" t="s">
        <v>43</v>
      </c>
      <c r="O150" s="4" t="s">
        <v>44</v>
      </c>
      <c r="P150" s="4" t="s">
        <v>45</v>
      </c>
      <c r="Q150" s="4">
        <v>188.0</v>
      </c>
      <c r="R150" s="5" t="s">
        <v>42</v>
      </c>
      <c r="S150" s="4">
        <v>1375.0</v>
      </c>
      <c r="T150" s="5" t="s">
        <v>42</v>
      </c>
      <c r="U150" s="4">
        <v>1.3</v>
      </c>
      <c r="V150" s="5" t="s">
        <v>46</v>
      </c>
      <c r="W150" s="4">
        <v>5.0</v>
      </c>
      <c r="X150" s="6">
        <v>21.95</v>
      </c>
      <c r="Y150" s="4" t="s">
        <v>47</v>
      </c>
      <c r="Z150" s="7">
        <f t="shared" si="1"/>
        <v>28.535</v>
      </c>
      <c r="AA150" s="4">
        <v>15.0</v>
      </c>
      <c r="AB150" s="8"/>
      <c r="AC150" s="8">
        <f t="shared" si="2"/>
        <v>0</v>
      </c>
      <c r="AD150" s="13">
        <v>559.32</v>
      </c>
      <c r="AE150" s="10" t="s">
        <v>456</v>
      </c>
      <c r="AF150" s="11"/>
      <c r="AG150" s="11"/>
      <c r="AH150" s="11"/>
      <c r="AI150" s="11"/>
      <c r="AJ150" s="11" t="str">
        <f>IFERROR(__xludf.DUMMYFUNCTION("AI(""Completa un valor adecuado para esta celda en función del contexto de la tabla"")"),"Piso flotante laminado de origen alemán con un espesor de 8 mm. Diseñado para uso comercial con resistencia a la abrasión AC4, ofrece un formato de tabla de 1380 x 193 mm sin bisel. Cada caja contiene 8 tablas y cubre una superficie de 2.13 m2.")</f>
        <v>Piso flotante laminado de origen alemán con un espesor de 8 mm. Diseñado para uso comercial con resistencia a la abrasión AC4, ofrece un formato de tabla de 1380 x 193 mm sin bisel. Cada caja contiene 8 tablas y cubre una superficie de 2.13 m2.</v>
      </c>
    </row>
    <row r="151" ht="15.75" customHeight="1">
      <c r="A151" s="4">
        <v>23572.0</v>
      </c>
      <c r="B151" s="5" t="s">
        <v>33</v>
      </c>
      <c r="C151" s="5" t="s">
        <v>34</v>
      </c>
      <c r="D151" s="5" t="s">
        <v>35</v>
      </c>
      <c r="E151" s="5" t="s">
        <v>36</v>
      </c>
      <c r="F151" s="5" t="s">
        <v>37</v>
      </c>
      <c r="G151" s="5" t="s">
        <v>457</v>
      </c>
      <c r="H151" s="4" t="s">
        <v>458</v>
      </c>
      <c r="I151" s="5" t="s">
        <v>39</v>
      </c>
      <c r="J151" s="5" t="s">
        <v>60</v>
      </c>
      <c r="K151" s="5" t="s">
        <v>54</v>
      </c>
      <c r="L151" s="4">
        <v>8.0</v>
      </c>
      <c r="M151" s="5" t="s">
        <v>42</v>
      </c>
      <c r="N151" s="4" t="s">
        <v>55</v>
      </c>
      <c r="O151" s="4" t="s">
        <v>44</v>
      </c>
      <c r="P151" s="4" t="s">
        <v>45</v>
      </c>
      <c r="Q151" s="4">
        <v>193.0</v>
      </c>
      <c r="R151" s="5" t="s">
        <v>42</v>
      </c>
      <c r="S151" s="4">
        <v>1380.0</v>
      </c>
      <c r="T151" s="5" t="s">
        <v>42</v>
      </c>
      <c r="U151" s="4">
        <v>2.13</v>
      </c>
      <c r="V151" s="5" t="s">
        <v>46</v>
      </c>
      <c r="W151" s="4">
        <v>8.0</v>
      </c>
      <c r="X151" s="6">
        <v>6.9</v>
      </c>
      <c r="Y151" s="4" t="s">
        <v>56</v>
      </c>
      <c r="Z151" s="7">
        <f t="shared" si="1"/>
        <v>14.697</v>
      </c>
      <c r="AA151" s="4">
        <v>15.0</v>
      </c>
      <c r="AB151" s="8"/>
      <c r="AC151" s="8">
        <f t="shared" si="2"/>
        <v>0</v>
      </c>
      <c r="AD151" s="13">
        <v>1390.0</v>
      </c>
      <c r="AE151" s="14" t="s">
        <v>459</v>
      </c>
      <c r="AF151" s="15"/>
      <c r="AG151" s="15"/>
      <c r="AH151" s="15"/>
      <c r="AI151" s="15"/>
      <c r="AJ151" s="15" t="str">
        <f>IFERROR(__xludf.DUMMYFUNCTION("AI(""Completa un valor adecuado para esta celda en función del contexto de la tabla"")"),"Piso flotante de origen alemán con un espesor de 12 mm y resistencia a la abrasión AC5, lo que lo hace ideal para uso comercial intenso. Este modelo de la línea Mammut cuenta con un sistema de instalación click, bisel en sus cuatro lados y láminas extra l"&amp;"argas de 1850 mm. Cada caja contiene 4 tablas y cubre una superficie de 1.39 m2.")</f>
        <v>Piso flotante de origen alemán con un espesor de 12 mm y resistencia a la abrasión AC5, lo que lo hace ideal para uso comercial intenso. Este modelo de la línea Mammut cuenta con un sistema de instalación click, bisel en sus cuatro lados y láminas extra largas de 1850 mm. Cada caja contiene 4 tablas y cubre una superficie de 1.39 m2.</v>
      </c>
    </row>
    <row r="152" ht="15.75" customHeight="1">
      <c r="A152" s="4">
        <v>24392.0</v>
      </c>
      <c r="B152" s="5" t="s">
        <v>33</v>
      </c>
      <c r="C152" s="5" t="s">
        <v>34</v>
      </c>
      <c r="D152" s="5" t="s">
        <v>35</v>
      </c>
      <c r="E152" s="5" t="s">
        <v>49</v>
      </c>
      <c r="F152" s="5" t="s">
        <v>37</v>
      </c>
      <c r="G152" s="5" t="s">
        <v>460</v>
      </c>
      <c r="H152" s="4" t="s">
        <v>461</v>
      </c>
      <c r="I152" s="5" t="s">
        <v>72</v>
      </c>
      <c r="J152" s="5" t="s">
        <v>80</v>
      </c>
      <c r="K152" s="5" t="s">
        <v>41</v>
      </c>
      <c r="L152" s="4">
        <v>8.0</v>
      </c>
      <c r="M152" s="5" t="s">
        <v>42</v>
      </c>
      <c r="N152" s="4" t="s">
        <v>43</v>
      </c>
      <c r="O152" s="4" t="s">
        <v>44</v>
      </c>
      <c r="P152" s="4" t="s">
        <v>45</v>
      </c>
      <c r="Q152" s="4">
        <v>195.0</v>
      </c>
      <c r="R152" s="5" t="s">
        <v>42</v>
      </c>
      <c r="S152" s="4">
        <v>1290.0</v>
      </c>
      <c r="T152" s="5" t="s">
        <v>42</v>
      </c>
      <c r="U152" s="4">
        <v>2.26</v>
      </c>
      <c r="V152" s="5" t="s">
        <v>46</v>
      </c>
      <c r="W152" s="4">
        <v>9.0</v>
      </c>
      <c r="X152" s="6">
        <v>26.85</v>
      </c>
      <c r="Y152" s="4" t="s">
        <v>61</v>
      </c>
      <c r="Z152" s="7">
        <f t="shared" si="1"/>
        <v>60.681</v>
      </c>
      <c r="AA152" s="4">
        <v>15.0</v>
      </c>
      <c r="AB152" s="4">
        <v>52.0</v>
      </c>
      <c r="AC152" s="8">
        <f t="shared" si="2"/>
        <v>780</v>
      </c>
      <c r="AD152" s="13">
        <v>7152.88</v>
      </c>
      <c r="AE152" s="10" t="s">
        <v>462</v>
      </c>
      <c r="AF152" s="11"/>
      <c r="AG152" s="11"/>
      <c r="AH152" s="11"/>
      <c r="AI152" s="11"/>
      <c r="AJ152" s="11" t="str">
        <f>IFERROR(__xludf.DUMMYFUNCTION("AI(""Completa un valor adecuado para esta celda en función del contexto de la tabla"")"),"Piso flotante laminado de origen alemán, ideal para uso comercial intenso por su resistencia a la abrasión AC5. Con un espesor de 12 mm y sistema de instalación click, este modelo cuenta con bisel y un diseño clásico. Cada caja cubre una superficie de 1.4"&amp;"8 m2.")</f>
        <v>Piso flotante laminado de origen alemán, ideal para uso comercial intenso por su resistencia a la abrasión AC5. Con un espesor de 12 mm y sistema de instalación click, este modelo cuenta con bisel y un diseño clásico. Cada caja cubre una superficie de 1.48 m2.</v>
      </c>
    </row>
    <row r="153" ht="15.75" customHeight="1">
      <c r="A153" s="4">
        <v>24698.0</v>
      </c>
      <c r="B153" s="5" t="s">
        <v>33</v>
      </c>
      <c r="C153" s="5" t="s">
        <v>34</v>
      </c>
      <c r="D153" s="5" t="s">
        <v>35</v>
      </c>
      <c r="E153" s="5" t="s">
        <v>49</v>
      </c>
      <c r="F153" s="5" t="s">
        <v>37</v>
      </c>
      <c r="G153" s="5" t="s">
        <v>463</v>
      </c>
      <c r="H153" s="4">
        <v>2.8305521E7</v>
      </c>
      <c r="I153" s="5" t="s">
        <v>72</v>
      </c>
      <c r="J153" s="5" t="s">
        <v>80</v>
      </c>
      <c r="K153" s="5" t="s">
        <v>41</v>
      </c>
      <c r="L153" s="4">
        <v>8.0</v>
      </c>
      <c r="M153" s="5" t="s">
        <v>42</v>
      </c>
      <c r="N153" s="4" t="s">
        <v>43</v>
      </c>
      <c r="O153" s="4" t="s">
        <v>44</v>
      </c>
      <c r="P153" s="4" t="s">
        <v>45</v>
      </c>
      <c r="Q153" s="4">
        <v>195.0</v>
      </c>
      <c r="R153" s="5" t="s">
        <v>42</v>
      </c>
      <c r="S153" s="4">
        <v>1290.0</v>
      </c>
      <c r="T153" s="5" t="s">
        <v>42</v>
      </c>
      <c r="U153" s="4">
        <v>2.26</v>
      </c>
      <c r="V153" s="5" t="s">
        <v>46</v>
      </c>
      <c r="W153" s="4">
        <v>9.0</v>
      </c>
      <c r="X153" s="6">
        <v>26.85</v>
      </c>
      <c r="Y153" s="4" t="s">
        <v>61</v>
      </c>
      <c r="Z153" s="7">
        <f t="shared" si="1"/>
        <v>60.681</v>
      </c>
      <c r="AA153" s="4">
        <v>15.0</v>
      </c>
      <c r="AB153" s="4">
        <v>52.0</v>
      </c>
      <c r="AC153" s="8">
        <f t="shared" si="2"/>
        <v>780</v>
      </c>
      <c r="AD153" s="13">
        <v>421.8</v>
      </c>
      <c r="AE153" s="14" t="s">
        <v>464</v>
      </c>
      <c r="AF153" s="15"/>
      <c r="AG153" s="15"/>
      <c r="AH153" s="15"/>
      <c r="AI153" s="15"/>
      <c r="AJ153" s="15" t="str">
        <f>IFERROR(__xludf.DUMMYFUNCTION("AI(""Completa un valor adecuado para esta celda en función del contexto de la tabla"")"),"Piso flotante laminado de origen alemán, diseñado para uso comercial intenso gracias a su resistencia a la abrasión AC5. Posee un espesor de 12 mm y sistema de instalación click con bisel, ofreciendo gran durabilidad y realismo en su diseño Shark Pine de "&amp;"la línea My Art. Cada caja cubre una superficie de 1.48 m2.")</f>
        <v>Piso flotante laminado de origen alemán, diseñado para uso comercial intenso gracias a su resistencia a la abrasión AC5. Posee un espesor de 12 mm y sistema de instalación click con bisel, ofreciendo gran durabilidad y realismo en su diseño Shark Pine de la línea My Art. Cada caja cubre una superficie de 1.48 m2.</v>
      </c>
    </row>
    <row r="154" ht="15.75" customHeight="1">
      <c r="A154" s="16">
        <v>24830.0</v>
      </c>
      <c r="B154" s="5" t="s">
        <v>33</v>
      </c>
      <c r="C154" s="5" t="s">
        <v>34</v>
      </c>
      <c r="D154" s="5" t="s">
        <v>35</v>
      </c>
      <c r="E154" s="17" t="s">
        <v>49</v>
      </c>
      <c r="F154" s="17" t="s">
        <v>37</v>
      </c>
      <c r="G154" s="18" t="s">
        <v>465</v>
      </c>
      <c r="H154" s="16" t="s">
        <v>466</v>
      </c>
      <c r="I154" s="5" t="s">
        <v>72</v>
      </c>
      <c r="J154" s="18" t="s">
        <v>80</v>
      </c>
      <c r="K154" s="5" t="s">
        <v>41</v>
      </c>
      <c r="L154" s="19">
        <v>8.0</v>
      </c>
      <c r="M154" s="17" t="s">
        <v>42</v>
      </c>
      <c r="N154" s="19" t="s">
        <v>43</v>
      </c>
      <c r="O154" s="19" t="s">
        <v>44</v>
      </c>
      <c r="P154" s="19" t="s">
        <v>45</v>
      </c>
      <c r="Q154" s="16">
        <v>195.0</v>
      </c>
      <c r="R154" s="17" t="s">
        <v>42</v>
      </c>
      <c r="S154" s="16">
        <v>2003.0</v>
      </c>
      <c r="T154" s="17" t="s">
        <v>42</v>
      </c>
      <c r="U154" s="16">
        <v>2.73</v>
      </c>
      <c r="V154" s="17" t="s">
        <v>46</v>
      </c>
      <c r="W154" s="16">
        <v>7.0</v>
      </c>
      <c r="X154" s="20">
        <v>26.85</v>
      </c>
      <c r="Y154" s="19" t="s">
        <v>61</v>
      </c>
      <c r="Z154" s="20">
        <f t="shared" si="1"/>
        <v>73.3005</v>
      </c>
      <c r="AA154" s="4">
        <v>15.0</v>
      </c>
      <c r="AB154" s="16">
        <v>40.0</v>
      </c>
      <c r="AC154" s="8">
        <f t="shared" si="2"/>
        <v>600</v>
      </c>
      <c r="AD154" s="21">
        <v>389.39</v>
      </c>
      <c r="AE154" s="10" t="s">
        <v>467</v>
      </c>
      <c r="AF154" s="24"/>
      <c r="AG154" s="24"/>
      <c r="AH154" s="24"/>
      <c r="AI154" s="24"/>
      <c r="AJ154" s="24" t="str">
        <f>IFERROR(__xludf.DUMMYFUNCTION("AI(""Completa un valor adecuado para esta celda en función del contexto de la tabla"")"),"Piso flotante laminado de origen alemán, ideal para uso comercial intenso por su resistencia a la abrasión AC5. Con un espesor de 12 mm y sistema de instalación click, este modelo cuenta con bisel en sus cuatro lados. Cada caja cubre una superficie de 1.4"&amp;"8 m2.")</f>
        <v>Piso flotante laminado de origen alemán, ideal para uso comercial intenso por su resistencia a la abrasión AC5. Con un espesor de 12 mm y sistema de instalación click, este modelo cuenta con bisel en sus cuatro lados. Cada caja cubre una superficie de 1.48 m2.</v>
      </c>
    </row>
    <row r="155" ht="15.75" customHeight="1">
      <c r="A155" s="4">
        <v>19332.0</v>
      </c>
      <c r="B155" s="5" t="s">
        <v>33</v>
      </c>
      <c r="C155" s="5" t="s">
        <v>34</v>
      </c>
      <c r="D155" s="5" t="s">
        <v>35</v>
      </c>
      <c r="E155" s="5" t="s">
        <v>36</v>
      </c>
      <c r="F155" s="5" t="s">
        <v>37</v>
      </c>
      <c r="G155" s="5" t="s">
        <v>468</v>
      </c>
      <c r="H155" s="4">
        <v>5967.0</v>
      </c>
      <c r="I155" s="5" t="s">
        <v>72</v>
      </c>
      <c r="J155" s="5" t="s">
        <v>60</v>
      </c>
      <c r="K155" s="5" t="s">
        <v>54</v>
      </c>
      <c r="L155" s="4">
        <v>8.0</v>
      </c>
      <c r="M155" s="5" t="s">
        <v>42</v>
      </c>
      <c r="N155" s="4" t="s">
        <v>55</v>
      </c>
      <c r="O155" s="4" t="s">
        <v>44</v>
      </c>
      <c r="P155" s="4" t="s">
        <v>45</v>
      </c>
      <c r="Q155" s="4">
        <v>192.0</v>
      </c>
      <c r="R155" s="5" t="s">
        <v>42</v>
      </c>
      <c r="S155" s="4">
        <v>1280.0</v>
      </c>
      <c r="T155" s="5" t="s">
        <v>42</v>
      </c>
      <c r="U155" s="4">
        <v>2.22</v>
      </c>
      <c r="V155" s="5" t="s">
        <v>46</v>
      </c>
      <c r="W155" s="4">
        <v>9.0</v>
      </c>
      <c r="X155" s="6">
        <v>18.0</v>
      </c>
      <c r="Y155" s="4" t="s">
        <v>47</v>
      </c>
      <c r="Z155" s="7">
        <f t="shared" si="1"/>
        <v>39.96</v>
      </c>
      <c r="AA155" s="4">
        <v>15.0</v>
      </c>
      <c r="AB155" s="4">
        <v>52.0</v>
      </c>
      <c r="AC155" s="8">
        <f t="shared" si="2"/>
        <v>780</v>
      </c>
      <c r="AD155" s="13">
        <v>95.46</v>
      </c>
      <c r="AE155" s="14" t="s">
        <v>469</v>
      </c>
      <c r="AF155" s="15"/>
      <c r="AG155" s="15"/>
      <c r="AH155" s="15"/>
      <c r="AI155" s="15"/>
      <c r="AJ155" s="15" t="str">
        <f>IFERROR(__xludf.DUMMYFUNCTION("AI(""Completa un valor adecuado para esta celda en función del contexto de la tabla"")"),"Piso flotante laminado de origen alemán, ideal para uso comercial intenso por su resistencia a la abrasión AC5. Con un espesor de 12 mm, este modelo de la línea Mammut cuenta con bisel y cada caja cubre una superficie de 1.39 m2.")</f>
        <v>Piso flotante laminado de origen alemán, ideal para uso comercial intenso por su resistencia a la abrasión AC5. Con un espesor de 12 mm, este modelo de la línea Mammut cuenta con bisel y cada caja cubre una superficie de 1.39 m2.</v>
      </c>
    </row>
    <row r="156" ht="15.75" customHeight="1">
      <c r="A156" s="4">
        <v>19329.0</v>
      </c>
      <c r="B156" s="5" t="s">
        <v>33</v>
      </c>
      <c r="C156" s="5" t="s">
        <v>34</v>
      </c>
      <c r="D156" s="5" t="s">
        <v>35</v>
      </c>
      <c r="E156" s="5" t="s">
        <v>36</v>
      </c>
      <c r="F156" s="5" t="s">
        <v>37</v>
      </c>
      <c r="G156" s="5" t="s">
        <v>470</v>
      </c>
      <c r="H156" s="4" t="s">
        <v>471</v>
      </c>
      <c r="I156" s="5" t="s">
        <v>72</v>
      </c>
      <c r="J156" s="5" t="s">
        <v>60</v>
      </c>
      <c r="K156" s="5" t="s">
        <v>54</v>
      </c>
      <c r="L156" s="4">
        <v>8.0</v>
      </c>
      <c r="M156" s="5" t="s">
        <v>42</v>
      </c>
      <c r="N156" s="4" t="s">
        <v>55</v>
      </c>
      <c r="O156" s="4" t="s">
        <v>44</v>
      </c>
      <c r="P156" s="4" t="s">
        <v>45</v>
      </c>
      <c r="Q156" s="4">
        <v>192.0</v>
      </c>
      <c r="R156" s="5" t="s">
        <v>42</v>
      </c>
      <c r="S156" s="4">
        <v>1280.0</v>
      </c>
      <c r="T156" s="5" t="s">
        <v>42</v>
      </c>
      <c r="U156" s="4">
        <v>2.22</v>
      </c>
      <c r="V156" s="5" t="s">
        <v>46</v>
      </c>
      <c r="W156" s="4">
        <v>8.0</v>
      </c>
      <c r="X156" s="6">
        <v>18.0</v>
      </c>
      <c r="Y156" s="4" t="s">
        <v>47</v>
      </c>
      <c r="Z156" s="7">
        <f t="shared" si="1"/>
        <v>39.96</v>
      </c>
      <c r="AA156" s="4">
        <v>15.0</v>
      </c>
      <c r="AB156" s="4">
        <v>52.0</v>
      </c>
      <c r="AC156" s="8">
        <f t="shared" si="2"/>
        <v>780</v>
      </c>
      <c r="AD156" s="13">
        <v>421.8</v>
      </c>
      <c r="AE156" s="10" t="s">
        <v>472</v>
      </c>
      <c r="AF156" s="11"/>
      <c r="AG156" s="11"/>
      <c r="AH156" s="11"/>
      <c r="AI156" s="11"/>
      <c r="AJ156" s="11" t="str">
        <f>IFERROR(__xludf.DUMMYFUNCTION("AI(""Completa un valor adecuado para esta celda en función del contexto de la tabla"")"),"Piso flotante laminado de origen alemán, marca Krono Original, ideal para uso comercial por su resistencia a la abrasión AC4. Con un espesor de 8 mm y un diseño elegante de la línea Modern, este modelo cuenta con bisel y un formato de tablas de 123 mm de "&amp;"ancho por 1290 mm de largo. Cada caja cubre una superficie de 1.9 m2.")</f>
        <v>Piso flotante laminado de origen alemán, marca Krono Original, ideal para uso comercial por su resistencia a la abrasión AC4. Con un espesor de 8 mm y un diseño elegante de la línea Modern, este modelo cuenta con bisel y un formato de tablas de 123 mm de ancho por 1290 mm de largo. Cada caja cubre una superficie de 1.9 m2.</v>
      </c>
    </row>
    <row r="157" ht="15.75" customHeight="1">
      <c r="A157" s="4">
        <v>25083.0</v>
      </c>
      <c r="B157" s="5" t="s">
        <v>33</v>
      </c>
      <c r="C157" s="5" t="s">
        <v>34</v>
      </c>
      <c r="D157" s="5" t="s">
        <v>35</v>
      </c>
      <c r="E157" s="5" t="s">
        <v>58</v>
      </c>
      <c r="F157" s="5" t="s">
        <v>37</v>
      </c>
      <c r="G157" s="5" t="s">
        <v>473</v>
      </c>
      <c r="H157" s="4" t="s">
        <v>474</v>
      </c>
      <c r="I157" s="5" t="s">
        <v>72</v>
      </c>
      <c r="J157" s="5" t="s">
        <v>73</v>
      </c>
      <c r="K157" s="5" t="s">
        <v>54</v>
      </c>
      <c r="L157" s="4">
        <v>8.0</v>
      </c>
      <c r="M157" s="5" t="s">
        <v>42</v>
      </c>
      <c r="N157" s="4" t="s">
        <v>55</v>
      </c>
      <c r="O157" s="4" t="s">
        <v>44</v>
      </c>
      <c r="P157" s="4" t="s">
        <v>74</v>
      </c>
      <c r="Q157" s="4">
        <v>195.0</v>
      </c>
      <c r="R157" s="5" t="s">
        <v>42</v>
      </c>
      <c r="S157" s="4">
        <v>1288.0</v>
      </c>
      <c r="T157" s="5" t="s">
        <v>42</v>
      </c>
      <c r="U157" s="4">
        <v>2.26</v>
      </c>
      <c r="V157" s="5" t="s">
        <v>46</v>
      </c>
      <c r="W157" s="4">
        <v>8.0</v>
      </c>
      <c r="X157" s="6">
        <v>21.5</v>
      </c>
      <c r="Y157" s="4" t="s">
        <v>61</v>
      </c>
      <c r="Z157" s="7">
        <f t="shared" si="1"/>
        <v>48.59</v>
      </c>
      <c r="AA157" s="4">
        <v>15.0</v>
      </c>
      <c r="AB157" s="8"/>
      <c r="AC157" s="8">
        <f t="shared" si="2"/>
        <v>0</v>
      </c>
      <c r="AD157" s="13">
        <v>1317.58</v>
      </c>
      <c r="AE157" s="14" t="s">
        <v>475</v>
      </c>
      <c r="AF157" s="15"/>
      <c r="AG157" s="15"/>
      <c r="AH157" s="15"/>
      <c r="AI157" s="15"/>
      <c r="AJ157" s="15" t="str">
        <f>IFERROR(__xludf.DUMMYFUNCTION("AI(""Completa un valor adecuado para esta celda en función del contexto de la tabla"")"),"Piso flotante laminado de origen alemán, ideal para uso comercial intenso gracias a su alta resistencia a la abrasión AC5. Con un espesor de 10 mm y sistema de instalación click, este modelo de la línea Amazone cuenta con bisel en sus cuatro lados. Cada c"&amp;"aja cubre una superficie de 1.3 m2.")</f>
        <v>Piso flotante laminado de origen alemán, ideal para uso comercial intenso gracias a su alta resistencia a la abrasión AC5. Con un espesor de 10 mm y sistema de instalación click, este modelo de la línea Amazone cuenta con bisel en sus cuatro lados. Cada caja cubre una superficie de 1.3 m2.</v>
      </c>
    </row>
    <row r="158" ht="15.75" customHeight="1">
      <c r="A158" s="4">
        <v>18239.0</v>
      </c>
      <c r="B158" s="5" t="s">
        <v>33</v>
      </c>
      <c r="C158" s="5" t="s">
        <v>34</v>
      </c>
      <c r="D158" s="5" t="s">
        <v>35</v>
      </c>
      <c r="E158" s="5" t="s">
        <v>36</v>
      </c>
      <c r="F158" s="5" t="s">
        <v>37</v>
      </c>
      <c r="G158" s="5" t="s">
        <v>476</v>
      </c>
      <c r="H158" s="4" t="s">
        <v>477</v>
      </c>
      <c r="I158" s="5" t="s">
        <v>72</v>
      </c>
      <c r="J158" s="5" t="s">
        <v>168</v>
      </c>
      <c r="K158" s="5" t="s">
        <v>169</v>
      </c>
      <c r="L158" s="4">
        <v>7.0</v>
      </c>
      <c r="M158" s="5" t="s">
        <v>42</v>
      </c>
      <c r="N158" s="4" t="s">
        <v>170</v>
      </c>
      <c r="O158" s="4" t="s">
        <v>44</v>
      </c>
      <c r="P158" s="4" t="s">
        <v>44</v>
      </c>
      <c r="Q158" s="4">
        <v>192.0</v>
      </c>
      <c r="R158" s="5" t="s">
        <v>42</v>
      </c>
      <c r="S158" s="4">
        <v>1280.0</v>
      </c>
      <c r="T158" s="5" t="s">
        <v>42</v>
      </c>
      <c r="U158" s="4">
        <v>2.47</v>
      </c>
      <c r="V158" s="5" t="s">
        <v>46</v>
      </c>
      <c r="W158" s="4">
        <v>10.0</v>
      </c>
      <c r="X158" s="6">
        <v>13.1</v>
      </c>
      <c r="Y158" s="4" t="s">
        <v>56</v>
      </c>
      <c r="Z158" s="7">
        <f t="shared" si="1"/>
        <v>32.357</v>
      </c>
      <c r="AA158" s="4">
        <v>15.0</v>
      </c>
      <c r="AB158" s="8"/>
      <c r="AC158" s="8">
        <f t="shared" si="2"/>
        <v>0</v>
      </c>
      <c r="AD158" s="13">
        <v>175.37</v>
      </c>
      <c r="AE158" s="10" t="s">
        <v>478</v>
      </c>
      <c r="AF158" s="11"/>
      <c r="AG158" s="11"/>
      <c r="AH158" s="11"/>
      <c r="AI158" s="11"/>
      <c r="AJ158" s="11" t="str">
        <f>IFERROR(__xludf.DUMMYFUNCTION("AI(""Completa un valor adecuado para esta celda en función del contexto de la tabla"")"),"Piso flotante laminado de origen alemán, diseñado para uso comercial por su resistencia a la abrasión AC4. Con un espesor de 8 mm y un formato angosto característico de la línea Super natural Narrow, este modelo cuenta con bisel en sus lados. Cada caja cu"&amp;"bre una superficie de 1.9 m2.")</f>
        <v>Piso flotante laminado de origen alemán, diseñado para uso comercial por su resistencia a la abrasión AC4. Con un espesor de 8 mm y un formato angosto característico de la línea Super natural Narrow, este modelo cuenta con bisel en sus lados. Cada caja cubre una superficie de 1.9 m2.</v>
      </c>
    </row>
    <row r="159" ht="15.75" customHeight="1">
      <c r="A159" s="4">
        <v>24190.0</v>
      </c>
      <c r="B159" s="5" t="s">
        <v>33</v>
      </c>
      <c r="C159" s="5" t="s">
        <v>34</v>
      </c>
      <c r="D159" s="5" t="s">
        <v>35</v>
      </c>
      <c r="E159" s="5" t="s">
        <v>36</v>
      </c>
      <c r="F159" s="5" t="s">
        <v>37</v>
      </c>
      <c r="G159" s="5" t="s">
        <v>479</v>
      </c>
      <c r="H159" s="4" t="s">
        <v>480</v>
      </c>
      <c r="I159" s="5" t="s">
        <v>39</v>
      </c>
      <c r="J159" s="5" t="s">
        <v>60</v>
      </c>
      <c r="K159" s="5" t="s">
        <v>41</v>
      </c>
      <c r="L159" s="4">
        <v>8.0</v>
      </c>
      <c r="M159" s="5" t="s">
        <v>42</v>
      </c>
      <c r="N159" s="4" t="s">
        <v>43</v>
      </c>
      <c r="O159" s="4" t="s">
        <v>44</v>
      </c>
      <c r="P159" s="4" t="s">
        <v>45</v>
      </c>
      <c r="Q159" s="4">
        <v>193.0</v>
      </c>
      <c r="R159" s="5" t="s">
        <v>42</v>
      </c>
      <c r="S159" s="4">
        <v>1380.0</v>
      </c>
      <c r="T159" s="5" t="s">
        <v>42</v>
      </c>
      <c r="U159" s="4">
        <v>2.13</v>
      </c>
      <c r="V159" s="5" t="s">
        <v>46</v>
      </c>
      <c r="W159" s="4">
        <v>8.0</v>
      </c>
      <c r="X159" s="6">
        <v>13.8</v>
      </c>
      <c r="Y159" s="4" t="s">
        <v>47</v>
      </c>
      <c r="Z159" s="7">
        <f t="shared" si="1"/>
        <v>29.394</v>
      </c>
      <c r="AA159" s="4">
        <v>15.0</v>
      </c>
      <c r="AB159" s="8"/>
      <c r="AC159" s="8">
        <f t="shared" si="2"/>
        <v>0</v>
      </c>
      <c r="AD159" s="13">
        <v>19674.78</v>
      </c>
      <c r="AE159" s="14" t="s">
        <v>481</v>
      </c>
      <c r="AF159" s="15"/>
      <c r="AG159" s="15"/>
      <c r="AH159" s="15"/>
      <c r="AI159" s="15"/>
      <c r="AJ159" s="15" t="str">
        <f>IFERROR(__xludf.DUMMYFUNCTION("AI(""Completa un valor adecuado para esta celda en función del contexto de la tabla"")"),"Piso flotante laminado de origen alemán, ideal para uso comercial intenso por su alta resistencia a la abrasión AC5. Con un espesor de 10 mm y sistema de instalación click, este modelo de la línea Amazone cuenta con bisel en sus cuatro lados. Cada caja in"&amp;"cluye 6 tablas y cubre una superficie de 1.3 m2.")</f>
        <v>Piso flotante laminado de origen alemán, ideal para uso comercial intenso por su alta resistencia a la abrasión AC5. Con un espesor de 10 mm y sistema de instalación click, este modelo de la línea Amazone cuenta con bisel en sus cuatro lados. Cada caja incluye 6 tablas y cubre una superficie de 1.3 m2.</v>
      </c>
    </row>
    <row r="160" ht="15.75" customHeight="1">
      <c r="A160" s="4">
        <v>5412.0</v>
      </c>
      <c r="B160" s="5" t="s">
        <v>33</v>
      </c>
      <c r="C160" s="5" t="s">
        <v>34</v>
      </c>
      <c r="D160" s="5" t="s">
        <v>35</v>
      </c>
      <c r="E160" s="5" t="s">
        <v>36</v>
      </c>
      <c r="F160" s="5" t="s">
        <v>37</v>
      </c>
      <c r="G160" s="5" t="s">
        <v>482</v>
      </c>
      <c r="H160" s="4">
        <v>2986.0</v>
      </c>
      <c r="I160" s="5" t="s">
        <v>39</v>
      </c>
      <c r="J160" s="5" t="s">
        <v>86</v>
      </c>
      <c r="K160" s="5" t="s">
        <v>54</v>
      </c>
      <c r="L160" s="4">
        <v>8.0</v>
      </c>
      <c r="M160" s="5" t="s">
        <v>42</v>
      </c>
      <c r="N160" s="4" t="s">
        <v>55</v>
      </c>
      <c r="O160" s="4" t="s">
        <v>44</v>
      </c>
      <c r="P160" s="4" t="s">
        <v>44</v>
      </c>
      <c r="Q160" s="4">
        <v>193.0</v>
      </c>
      <c r="R160" s="5" t="s">
        <v>42</v>
      </c>
      <c r="S160" s="4">
        <v>1380.0</v>
      </c>
      <c r="T160" s="5" t="s">
        <v>42</v>
      </c>
      <c r="U160" s="4">
        <v>2.13</v>
      </c>
      <c r="V160" s="5" t="s">
        <v>46</v>
      </c>
      <c r="W160" s="4">
        <v>8.0</v>
      </c>
      <c r="X160" s="6">
        <v>19.1</v>
      </c>
      <c r="Y160" s="4" t="s">
        <v>47</v>
      </c>
      <c r="Z160" s="7">
        <f t="shared" si="1"/>
        <v>40.683</v>
      </c>
      <c r="AA160" s="4">
        <v>15.0</v>
      </c>
      <c r="AB160" s="4">
        <v>56.0</v>
      </c>
      <c r="AC160" s="8">
        <f t="shared" si="2"/>
        <v>840</v>
      </c>
      <c r="AD160" s="13">
        <v>5578.47</v>
      </c>
      <c r="AE160" s="10" t="s">
        <v>483</v>
      </c>
      <c r="AF160" s="11"/>
      <c r="AG160" s="11"/>
      <c r="AH160" s="11"/>
      <c r="AI160" s="11"/>
      <c r="AJ160" s="11" t="str">
        <f>IFERROR(__xludf.DUMMYFUNCTION("AI(""Completa un valor adecuado para esta celda en función del contexto de la tabla"")"),"Piso flotante laminado de origen alemán, ideal para uso comercial intenso por su alta resistencia a la abrasión AC5. Con un espesor de 10 mm y sistema de instalación click, este modelo cuenta con bisel en sus cuatro lados y un diseño elegante de la colecc"&amp;"ión Amazone. Cada caja cubre una superficie de 1.30 m2.")</f>
        <v>Piso flotante laminado de origen alemán, ideal para uso comercial intenso por su alta resistencia a la abrasión AC5. Con un espesor de 10 mm y sistema de instalación click, este modelo cuenta con bisel en sus cuatro lados y un diseño elegante de la colección Amazone. Cada caja cubre una superficie de 1.30 m2.</v>
      </c>
    </row>
    <row r="161" ht="15.75" customHeight="1">
      <c r="A161" s="4">
        <v>23552.0</v>
      </c>
      <c r="B161" s="5" t="s">
        <v>33</v>
      </c>
      <c r="C161" s="5" t="s">
        <v>34</v>
      </c>
      <c r="D161" s="5" t="s">
        <v>35</v>
      </c>
      <c r="E161" s="5" t="s">
        <v>58</v>
      </c>
      <c r="F161" s="5" t="s">
        <v>37</v>
      </c>
      <c r="G161" s="5" t="s">
        <v>484</v>
      </c>
      <c r="H161" s="4" t="s">
        <v>485</v>
      </c>
      <c r="I161" s="5" t="s">
        <v>39</v>
      </c>
      <c r="J161" s="5" t="s">
        <v>64</v>
      </c>
      <c r="K161" s="5" t="s">
        <v>41</v>
      </c>
      <c r="L161" s="4">
        <v>10.0</v>
      </c>
      <c r="M161" s="5" t="s">
        <v>42</v>
      </c>
      <c r="N161" s="4" t="s">
        <v>43</v>
      </c>
      <c r="O161" s="4" t="s">
        <v>44</v>
      </c>
      <c r="P161" s="4" t="s">
        <v>45</v>
      </c>
      <c r="Q161" s="4">
        <v>191.0</v>
      </c>
      <c r="R161" s="5" t="s">
        <v>42</v>
      </c>
      <c r="S161" s="4">
        <v>1380.0</v>
      </c>
      <c r="T161" s="5" t="s">
        <v>42</v>
      </c>
      <c r="U161" s="4">
        <v>1.58</v>
      </c>
      <c r="V161" s="5" t="s">
        <v>46</v>
      </c>
      <c r="W161" s="4">
        <v>6.0</v>
      </c>
      <c r="X161" s="6">
        <v>20.5</v>
      </c>
      <c r="Y161" s="4" t="s">
        <v>47</v>
      </c>
      <c r="Z161" s="7">
        <f t="shared" si="1"/>
        <v>32.39</v>
      </c>
      <c r="AA161" s="4">
        <v>15.0</v>
      </c>
      <c r="AB161" s="8"/>
      <c r="AC161" s="8">
        <f t="shared" si="2"/>
        <v>0</v>
      </c>
      <c r="AD161" s="13">
        <v>57.68</v>
      </c>
      <c r="AE161" s="14" t="s">
        <v>486</v>
      </c>
      <c r="AF161" s="15"/>
      <c r="AG161" s="15"/>
      <c r="AH161" s="15"/>
      <c r="AI161" s="15"/>
      <c r="AJ161" s="15" t="str">
        <f>IFERROR(__xludf.DUMMYFUNCTION("AI(""Completa un valor adecuado para esta celda en función del contexto de la tabla"")"),"Piso flotante laminado de origen alemán, diseñado para uso comercial intenso gracias a su alta resistencia a la abrasión AC5. Con un espesor de 10 mm y un sistema de instalación click que facilita su colocación, este modelo presenta un acabado con bisel y"&amp;" un diseño de gran realismo estético. Cada caja contiene 6 tablas y cubre una superficie de 1.3 m2.")</f>
        <v>Piso flotante laminado de origen alemán, diseñado para uso comercial intenso gracias a su alta resistencia a la abrasión AC5. Con un espesor de 10 mm y un sistema de instalación click que facilita su colocación, este modelo presenta un acabado con bisel y un diseño de gran realismo estético. Cada caja contiene 6 tablas y cubre una superficie de 1.3 m2.</v>
      </c>
    </row>
    <row r="162" ht="15.75" customHeight="1">
      <c r="A162" s="4">
        <v>23544.0</v>
      </c>
      <c r="B162" s="5" t="s">
        <v>33</v>
      </c>
      <c r="C162" s="5" t="s">
        <v>34</v>
      </c>
      <c r="D162" s="5" t="s">
        <v>35</v>
      </c>
      <c r="E162" s="5" t="s">
        <v>58</v>
      </c>
      <c r="F162" s="5" t="s">
        <v>37</v>
      </c>
      <c r="G162" s="5" t="s">
        <v>487</v>
      </c>
      <c r="H162" s="4" t="s">
        <v>488</v>
      </c>
      <c r="I162" s="5" t="s">
        <v>39</v>
      </c>
      <c r="J162" s="5" t="s">
        <v>64</v>
      </c>
      <c r="K162" s="5" t="s">
        <v>41</v>
      </c>
      <c r="L162" s="4">
        <v>10.0</v>
      </c>
      <c r="M162" s="5" t="s">
        <v>42</v>
      </c>
      <c r="N162" s="4" t="s">
        <v>43</v>
      </c>
      <c r="O162" s="4" t="s">
        <v>44</v>
      </c>
      <c r="P162" s="4" t="s">
        <v>45</v>
      </c>
      <c r="Q162" s="4">
        <v>191.0</v>
      </c>
      <c r="R162" s="5" t="s">
        <v>42</v>
      </c>
      <c r="S162" s="4">
        <v>1380.0</v>
      </c>
      <c r="T162" s="5" t="s">
        <v>42</v>
      </c>
      <c r="U162" s="4">
        <v>1.58</v>
      </c>
      <c r="V162" s="5" t="s">
        <v>46</v>
      </c>
      <c r="W162" s="4">
        <v>6.0</v>
      </c>
      <c r="X162" s="6">
        <v>20.5</v>
      </c>
      <c r="Y162" s="4" t="s">
        <v>47</v>
      </c>
      <c r="Z162" s="7">
        <f t="shared" si="1"/>
        <v>32.39</v>
      </c>
      <c r="AA162" s="4">
        <v>15.0</v>
      </c>
      <c r="AB162" s="8"/>
      <c r="AC162" s="8">
        <f t="shared" si="2"/>
        <v>0</v>
      </c>
      <c r="AD162" s="13">
        <v>52.12</v>
      </c>
      <c r="AE162" s="10" t="s">
        <v>489</v>
      </c>
      <c r="AF162" s="11"/>
      <c r="AG162" s="11"/>
      <c r="AH162" s="11"/>
      <c r="AI162" s="11"/>
      <c r="AJ162" s="11" t="str">
        <f>IFERROR(__xludf.DUMMYFUNCTION("AI(""Completa un valor adecuado para esta celda en función del contexto de la tabla"")"),"Piso flotante laminado de origen alemán, diseñado para un uso comercial intenso gracias a su alta resistencia a la abrasión AC5. Con un espesor de 10 mm y sistema de instalación click, este modelo de la línea Amazone cuenta con bisel en sus lados para un "&amp;"acabado elegante. Cada caja contiene 6 tablas y cubre una superficie de 1.3 m2.")</f>
        <v>Piso flotante laminado de origen alemán, diseñado para un uso comercial intenso gracias a su alta resistencia a la abrasión AC5. Con un espesor de 10 mm y sistema de instalación click, este modelo de la línea Amazone cuenta con bisel en sus lados para un acabado elegante. Cada caja contiene 6 tablas y cubre una superficie de 1.3 m2.</v>
      </c>
    </row>
    <row r="163" ht="15.75" customHeight="1">
      <c r="A163" s="4">
        <v>22597.0</v>
      </c>
      <c r="B163" s="5" t="s">
        <v>33</v>
      </c>
      <c r="C163" s="5" t="s">
        <v>34</v>
      </c>
      <c r="D163" s="5" t="s">
        <v>35</v>
      </c>
      <c r="E163" s="5" t="s">
        <v>36</v>
      </c>
      <c r="F163" s="5" t="s">
        <v>37</v>
      </c>
      <c r="G163" s="5" t="s">
        <v>490</v>
      </c>
      <c r="H163" s="4" t="s">
        <v>491</v>
      </c>
      <c r="I163" s="5" t="s">
        <v>121</v>
      </c>
      <c r="J163" s="5" t="s">
        <v>68</v>
      </c>
      <c r="K163" s="5" t="s">
        <v>169</v>
      </c>
      <c r="L163" s="4">
        <v>7.0</v>
      </c>
      <c r="M163" s="5" t="s">
        <v>42</v>
      </c>
      <c r="N163" s="4" t="s">
        <v>170</v>
      </c>
      <c r="O163" s="4" t="s">
        <v>44</v>
      </c>
      <c r="P163" s="4" t="s">
        <v>44</v>
      </c>
      <c r="Q163" s="4">
        <v>193.0</v>
      </c>
      <c r="R163" s="5" t="s">
        <v>42</v>
      </c>
      <c r="S163" s="4">
        <v>1380.0</v>
      </c>
      <c r="T163" s="5" t="s">
        <v>42</v>
      </c>
      <c r="U163" s="4">
        <v>2.4</v>
      </c>
      <c r="V163" s="5" t="s">
        <v>46</v>
      </c>
      <c r="W163" s="4">
        <v>9.0</v>
      </c>
      <c r="X163" s="6">
        <v>13.1</v>
      </c>
      <c r="Y163" s="4" t="s">
        <v>47</v>
      </c>
      <c r="Z163" s="7">
        <f t="shared" si="1"/>
        <v>31.44</v>
      </c>
      <c r="AA163" s="4">
        <v>15.0</v>
      </c>
      <c r="AB163" s="8"/>
      <c r="AC163" s="8">
        <f t="shared" si="2"/>
        <v>0</v>
      </c>
      <c r="AD163" s="13">
        <v>9225.58</v>
      </c>
      <c r="AE163" s="14" t="s">
        <v>492</v>
      </c>
      <c r="AF163" s="15"/>
      <c r="AG163" s="15"/>
      <c r="AH163" s="15"/>
      <c r="AI163" s="15"/>
      <c r="AJ163" s="15" t="str">
        <f>IFERROR(__xludf.DUMMYFUNCTION("AI(""Completa un valor adecuado para esta celda en función del contexto de la tabla"")"),"Piso flotante laminado de origen alemán, marca Krono Original, ideal para uso comercial por su resistencia a la abrasión AC4. Con un espesor de 8 mm y sistema de instalación click, este modelo cuenta con bisel en sus cuatro lados y una textura mate-textur"&amp;"ada. Cada caja rinde 2.22 m2 y contiene 9 tablas.")</f>
        <v>Piso flotante laminado de origen alemán, marca Krono Original, ideal para uso comercial por su resistencia a la abrasión AC4. Con un espesor de 8 mm y sistema de instalación click, este modelo cuenta con bisel en sus cuatro lados y una textura mate-texturada. Cada caja rinde 2.22 m2 y contiene 9 tablas.</v>
      </c>
    </row>
    <row r="164" ht="15.75" customHeight="1">
      <c r="A164" s="16">
        <v>24782.0</v>
      </c>
      <c r="B164" s="5" t="s">
        <v>33</v>
      </c>
      <c r="C164" s="5" t="s">
        <v>34</v>
      </c>
      <c r="D164" s="5" t="s">
        <v>35</v>
      </c>
      <c r="E164" s="17" t="s">
        <v>49</v>
      </c>
      <c r="F164" s="17" t="s">
        <v>37</v>
      </c>
      <c r="G164" s="18" t="s">
        <v>493</v>
      </c>
      <c r="H164" s="16" t="s">
        <v>494</v>
      </c>
      <c r="I164" s="5" t="s">
        <v>72</v>
      </c>
      <c r="J164" s="17" t="s">
        <v>80</v>
      </c>
      <c r="K164" s="5" t="s">
        <v>41</v>
      </c>
      <c r="L164" s="19">
        <v>8.0</v>
      </c>
      <c r="M164" s="17" t="s">
        <v>42</v>
      </c>
      <c r="N164" s="19" t="s">
        <v>43</v>
      </c>
      <c r="O164" s="19" t="s">
        <v>44</v>
      </c>
      <c r="P164" s="19" t="s">
        <v>45</v>
      </c>
      <c r="Q164" s="19">
        <v>195.0</v>
      </c>
      <c r="R164" s="17" t="s">
        <v>42</v>
      </c>
      <c r="S164" s="19">
        <v>1290.0</v>
      </c>
      <c r="T164" s="17" t="s">
        <v>42</v>
      </c>
      <c r="U164" s="19">
        <v>2.26</v>
      </c>
      <c r="V164" s="17" t="s">
        <v>46</v>
      </c>
      <c r="W164" s="19">
        <v>9.0</v>
      </c>
      <c r="X164" s="20">
        <v>26.85</v>
      </c>
      <c r="Y164" s="19" t="s">
        <v>61</v>
      </c>
      <c r="Z164" s="20">
        <f t="shared" si="1"/>
        <v>60.681</v>
      </c>
      <c r="AA164" s="4">
        <v>15.0</v>
      </c>
      <c r="AB164" s="19">
        <v>52.0</v>
      </c>
      <c r="AC164" s="8">
        <f t="shared" si="2"/>
        <v>780</v>
      </c>
      <c r="AD164" s="21">
        <v>2081.45</v>
      </c>
      <c r="AE164" s="10" t="s">
        <v>495</v>
      </c>
      <c r="AF164" s="24"/>
      <c r="AG164" s="24"/>
      <c r="AH164" s="24"/>
      <c r="AI164" s="24"/>
      <c r="AJ164" s="24" t="str">
        <f>IFERROR(__xludf.DUMMYFUNCTION("AI(""Completa un valor adecuado para esta celda en función del contexto de la tabla"")"),"Piso flotante laminado de origen alemán, ideal para uso comercial por su resistencia a la abrasión AC4. Con un espesor de 8 mm y sistema de instalación click, este modelo de la línea Exquisit Ancho cuenta con bisel en sus cuatro lados. Cada caja contiene "&amp;"8 tablas y cubre una superficie de 2.7 m2.")</f>
        <v>Piso flotante laminado de origen alemán, ideal para uso comercial por su resistencia a la abrasión AC4. Con un espesor de 8 mm y sistema de instalación click, este modelo de la línea Exquisit Ancho cuenta con bisel en sus cuatro lados. Cada caja contiene 8 tablas y cubre una superficie de 2.7 m2.</v>
      </c>
    </row>
    <row r="165" ht="15.75" customHeight="1">
      <c r="A165" s="4">
        <v>23568.0</v>
      </c>
      <c r="B165" s="5" t="s">
        <v>33</v>
      </c>
      <c r="C165" s="5" t="s">
        <v>34</v>
      </c>
      <c r="D165" s="5" t="s">
        <v>35</v>
      </c>
      <c r="E165" s="5" t="s">
        <v>36</v>
      </c>
      <c r="F165" s="5" t="s">
        <v>37</v>
      </c>
      <c r="G165" s="5" t="s">
        <v>496</v>
      </c>
      <c r="H165" s="4" t="s">
        <v>497</v>
      </c>
      <c r="I165" s="5" t="s">
        <v>39</v>
      </c>
      <c r="J165" s="5" t="s">
        <v>60</v>
      </c>
      <c r="K165" s="5" t="s">
        <v>54</v>
      </c>
      <c r="L165" s="4">
        <v>8.0</v>
      </c>
      <c r="M165" s="5" t="s">
        <v>42</v>
      </c>
      <c r="N165" s="4" t="s">
        <v>55</v>
      </c>
      <c r="O165" s="4" t="s">
        <v>44</v>
      </c>
      <c r="P165" s="4" t="s">
        <v>45</v>
      </c>
      <c r="Q165" s="4">
        <v>244.0</v>
      </c>
      <c r="R165" s="5" t="s">
        <v>42</v>
      </c>
      <c r="S165" s="4">
        <v>1380.0</v>
      </c>
      <c r="T165" s="5" t="s">
        <v>42</v>
      </c>
      <c r="U165" s="4">
        <v>2.7</v>
      </c>
      <c r="V165" s="5" t="s">
        <v>46</v>
      </c>
      <c r="W165" s="4">
        <v>8.0</v>
      </c>
      <c r="X165" s="6">
        <v>13.8</v>
      </c>
      <c r="Y165" s="4" t="s">
        <v>47</v>
      </c>
      <c r="Z165" s="7">
        <f t="shared" si="1"/>
        <v>37.26</v>
      </c>
      <c r="AA165" s="4">
        <v>15.0</v>
      </c>
      <c r="AB165" s="8"/>
      <c r="AC165" s="8">
        <f t="shared" si="2"/>
        <v>0</v>
      </c>
      <c r="AD165" s="13">
        <v>7164.84</v>
      </c>
      <c r="AE165" s="14" t="s">
        <v>498</v>
      </c>
      <c r="AF165" s="15"/>
      <c r="AG165" s="15"/>
      <c r="AH165" s="15"/>
      <c r="AI165" s="15"/>
      <c r="AJ165" s="15" t="str">
        <f>IFERROR(__xludf.DUMMYFUNCTION("AI(""Completa un valor adecuado para esta celda en función del contexto de la tabla"")"),"Piso flotante laminado de origen alemán, diseñado para un uso comercial intenso gracias a su alta resistencia a la abrasión AC5. Este modelo de la línea Mammut cuenta con un espesor de 12 mm, sistema de instalación click y está provisto de bisel en sus cu"&amp;"atro lados. Con un largo de lama de 1850 mm y ancho de 188 mm, cada caja permite cubrir una superficie de 1.39 m2.")</f>
        <v>Piso flotante laminado de origen alemán, diseñado para un uso comercial intenso gracias a su alta resistencia a la abrasión AC5. Este modelo de la línea Mammut cuenta con un espesor de 12 mm, sistema de instalación click y está provisto de bisel en sus cuatro lados. Con un largo de lama de 1850 mm y ancho de 188 mm, cada caja permite cubrir una superficie de 1.39 m2.</v>
      </c>
    </row>
    <row r="166" ht="15.75" customHeight="1">
      <c r="A166" s="4">
        <v>19377.0</v>
      </c>
      <c r="B166" s="5" t="s">
        <v>33</v>
      </c>
      <c r="C166" s="5" t="s">
        <v>34</v>
      </c>
      <c r="D166" s="5" t="s">
        <v>35</v>
      </c>
      <c r="E166" s="5" t="s">
        <v>36</v>
      </c>
      <c r="F166" s="5" t="s">
        <v>37</v>
      </c>
      <c r="G166" s="5" t="s">
        <v>499</v>
      </c>
      <c r="H166" s="4">
        <v>2873.0</v>
      </c>
      <c r="I166" s="5" t="s">
        <v>39</v>
      </c>
      <c r="J166" s="5" t="s">
        <v>179</v>
      </c>
      <c r="K166" s="5" t="s">
        <v>54</v>
      </c>
      <c r="L166" s="4">
        <v>8.0</v>
      </c>
      <c r="M166" s="5" t="s">
        <v>42</v>
      </c>
      <c r="N166" s="4" t="s">
        <v>55</v>
      </c>
      <c r="O166" s="4" t="s">
        <v>44</v>
      </c>
      <c r="P166" s="4" t="s">
        <v>45</v>
      </c>
      <c r="Q166" s="4">
        <v>193.0</v>
      </c>
      <c r="R166" s="5" t="s">
        <v>42</v>
      </c>
      <c r="S166" s="4">
        <v>1380.0</v>
      </c>
      <c r="T166" s="5" t="s">
        <v>42</v>
      </c>
      <c r="U166" s="4">
        <v>2.13</v>
      </c>
      <c r="V166" s="5" t="s">
        <v>46</v>
      </c>
      <c r="W166" s="4">
        <v>8.0</v>
      </c>
      <c r="X166" s="6">
        <v>18.0</v>
      </c>
      <c r="Y166" s="4" t="s">
        <v>47</v>
      </c>
      <c r="Z166" s="7">
        <f t="shared" si="1"/>
        <v>38.34</v>
      </c>
      <c r="AA166" s="4">
        <v>15.0</v>
      </c>
      <c r="AB166" s="4">
        <v>56.0</v>
      </c>
      <c r="AC166" s="8">
        <f t="shared" si="2"/>
        <v>840</v>
      </c>
      <c r="AD166" s="13">
        <v>1876.53</v>
      </c>
      <c r="AE166" s="10" t="s">
        <v>500</v>
      </c>
      <c r="AF166" s="11"/>
      <c r="AG166" s="11"/>
      <c r="AH166" s="11"/>
      <c r="AI166" s="11"/>
      <c r="AJ166" s="11" t="str">
        <f>IFERROR(__xludf.DUMMYFUNCTION("AI(""Completa un valor adecuado para esta celda en función del contexto de la tabla"")"),"Piso flotante de origen alemán, diseñado para uso comercial intenso gracias a su resistencia a la abrasión AC5. Con un espesor de 12 mm, este modelo de la línea Mammut cuenta con bisel y sistema de instalación click. Cada caja rinde 1.39 m2.")</f>
        <v>Piso flotante de origen alemán, diseñado para uso comercial intenso gracias a su resistencia a la abrasión AC5. Con un espesor de 12 mm, este modelo de la línea Mammut cuenta con bisel y sistema de instalación click. Cada caja rinde 1.39 m2.</v>
      </c>
    </row>
    <row r="167" ht="15.75" customHeight="1">
      <c r="A167" s="4">
        <v>25079.0</v>
      </c>
      <c r="B167" s="5" t="s">
        <v>33</v>
      </c>
      <c r="C167" s="5" t="s">
        <v>34</v>
      </c>
      <c r="D167" s="5" t="s">
        <v>35</v>
      </c>
      <c r="E167" s="5" t="s">
        <v>58</v>
      </c>
      <c r="F167" s="5" t="s">
        <v>37</v>
      </c>
      <c r="G167" s="5" t="s">
        <v>501</v>
      </c>
      <c r="H167" s="4" t="s">
        <v>502</v>
      </c>
      <c r="I167" s="5" t="s">
        <v>72</v>
      </c>
      <c r="J167" s="5" t="s">
        <v>73</v>
      </c>
      <c r="K167" s="5" t="s">
        <v>54</v>
      </c>
      <c r="L167" s="4">
        <v>7.0</v>
      </c>
      <c r="M167" s="5" t="s">
        <v>42</v>
      </c>
      <c r="N167" s="4" t="s">
        <v>55</v>
      </c>
      <c r="O167" s="4" t="s">
        <v>44</v>
      </c>
      <c r="P167" s="4" t="s">
        <v>74</v>
      </c>
      <c r="Q167" s="4">
        <v>195.0</v>
      </c>
      <c r="R167" s="5" t="s">
        <v>42</v>
      </c>
      <c r="S167" s="4">
        <v>1288.0</v>
      </c>
      <c r="T167" s="5" t="s">
        <v>42</v>
      </c>
      <c r="U167" s="4">
        <v>2.51</v>
      </c>
      <c r="V167" s="5" t="s">
        <v>46</v>
      </c>
      <c r="W167" s="4">
        <v>10.0</v>
      </c>
      <c r="X167" s="6">
        <v>18.9</v>
      </c>
      <c r="Y167" s="4" t="s">
        <v>47</v>
      </c>
      <c r="Z167" s="7">
        <f t="shared" si="1"/>
        <v>47.439</v>
      </c>
      <c r="AA167" s="4">
        <v>15.0</v>
      </c>
      <c r="AB167" s="4">
        <v>56.0</v>
      </c>
      <c r="AC167" s="8">
        <f t="shared" si="2"/>
        <v>840</v>
      </c>
      <c r="AD167" s="13">
        <v>1711.82</v>
      </c>
      <c r="AE167" s="14" t="s">
        <v>503</v>
      </c>
      <c r="AF167" s="15"/>
      <c r="AG167" s="15"/>
      <c r="AH167" s="15"/>
      <c r="AI167" s="15"/>
      <c r="AJ167" s="15" t="str">
        <f>IFERROR(__xludf.DUMMYFUNCTION("AI(""Completa un valor adecuado para esta celda en función del contexto de la tabla"")"),"Piso flotante laminado de origen alemán, diseñado para uso comercial intenso gracias a su clasificación de resistencia AC5. Con un espesor de 10 mm, este modelo de la marca Kronotex y línea Amazone incorpora bisel en sus tablas y ofrece un acabado clásico"&amp;". Cada caja rinde 1.3 m2 de superficie.")</f>
        <v>Piso flotante laminado de origen alemán, diseñado para uso comercial intenso gracias a su clasificación de resistencia AC5. Con un espesor de 10 mm, este modelo de la marca Kronotex y línea Amazone incorpora bisel en sus tablas y ofrece un acabado clásico. Cada caja rinde 1.3 m2 de superficie.</v>
      </c>
    </row>
    <row r="168" ht="15.75" customHeight="1">
      <c r="A168" s="4">
        <v>23575.0</v>
      </c>
      <c r="B168" s="5" t="s">
        <v>33</v>
      </c>
      <c r="C168" s="5" t="s">
        <v>34</v>
      </c>
      <c r="D168" s="5" t="s">
        <v>35</v>
      </c>
      <c r="E168" s="5" t="s">
        <v>36</v>
      </c>
      <c r="F168" s="5" t="s">
        <v>37</v>
      </c>
      <c r="G168" s="5" t="s">
        <v>504</v>
      </c>
      <c r="H168" s="4" t="s">
        <v>505</v>
      </c>
      <c r="I168" s="5" t="s">
        <v>39</v>
      </c>
      <c r="J168" s="5" t="s">
        <v>60</v>
      </c>
      <c r="K168" s="5" t="s">
        <v>41</v>
      </c>
      <c r="L168" s="4">
        <v>8.0</v>
      </c>
      <c r="M168" s="5" t="s">
        <v>42</v>
      </c>
      <c r="N168" s="4" t="s">
        <v>43</v>
      </c>
      <c r="O168" s="4" t="s">
        <v>44</v>
      </c>
      <c r="P168" s="4" t="s">
        <v>45</v>
      </c>
      <c r="Q168" s="4">
        <v>193.0</v>
      </c>
      <c r="R168" s="5" t="s">
        <v>42</v>
      </c>
      <c r="S168" s="4">
        <v>1380.0</v>
      </c>
      <c r="T168" s="5" t="s">
        <v>42</v>
      </c>
      <c r="U168" s="4">
        <v>2.13</v>
      </c>
      <c r="V168" s="5" t="s">
        <v>46</v>
      </c>
      <c r="W168" s="4">
        <v>8.0</v>
      </c>
      <c r="X168" s="6">
        <v>6.9</v>
      </c>
      <c r="Y168" s="4" t="s">
        <v>56</v>
      </c>
      <c r="Z168" s="7">
        <f t="shared" si="1"/>
        <v>14.697</v>
      </c>
      <c r="AA168" s="4">
        <v>15.0</v>
      </c>
      <c r="AB168" s="8"/>
      <c r="AC168" s="8">
        <f t="shared" si="2"/>
        <v>0</v>
      </c>
      <c r="AD168" s="13">
        <v>1731.68</v>
      </c>
      <c r="AE168" s="10" t="s">
        <v>506</v>
      </c>
      <c r="AF168" s="11"/>
      <c r="AG168" s="11"/>
      <c r="AH168" s="11"/>
      <c r="AI168" s="11"/>
      <c r="AJ168" s="11" t="str">
        <f>IFERROR(__xludf.DUMMYFUNCTION("AI(""Completa un valor adecuado para esta celda en función del contexto de la tabla"")"),"Piso flotante de origen alemán, diseñado para uso comercial con una resistencia a la abrasión AC4. Posee un espesor de 10 mm y cuenta con bisel en sus tablas. Cada caja cubre una superficie de 1.73 m2.")</f>
        <v>Piso flotante de origen alemán, diseñado para uso comercial con una resistencia a la abrasión AC4. Posee un espesor de 10 mm y cuenta con bisel en sus tablas. Cada caja cubre una superficie de 1.73 m2.</v>
      </c>
    </row>
    <row r="169" ht="15.75" customHeight="1">
      <c r="A169" s="4">
        <v>24391.0</v>
      </c>
      <c r="B169" s="5" t="s">
        <v>33</v>
      </c>
      <c r="C169" s="5" t="s">
        <v>34</v>
      </c>
      <c r="D169" s="5" t="s">
        <v>35</v>
      </c>
      <c r="E169" s="5" t="s">
        <v>49</v>
      </c>
      <c r="F169" s="5" t="s">
        <v>37</v>
      </c>
      <c r="G169" s="5" t="s">
        <v>507</v>
      </c>
      <c r="H169" s="4" t="s">
        <v>508</v>
      </c>
      <c r="I169" s="5" t="s">
        <v>72</v>
      </c>
      <c r="J169" s="5" t="s">
        <v>80</v>
      </c>
      <c r="K169" s="5" t="s">
        <v>41</v>
      </c>
      <c r="L169" s="4">
        <v>8.0</v>
      </c>
      <c r="M169" s="5" t="s">
        <v>42</v>
      </c>
      <c r="N169" s="4" t="s">
        <v>43</v>
      </c>
      <c r="O169" s="4" t="s">
        <v>44</v>
      </c>
      <c r="P169" s="4" t="s">
        <v>45</v>
      </c>
      <c r="Q169" s="4">
        <v>195.0</v>
      </c>
      <c r="R169" s="5" t="s">
        <v>42</v>
      </c>
      <c r="S169" s="4">
        <v>1290.0</v>
      </c>
      <c r="T169" s="5" t="s">
        <v>42</v>
      </c>
      <c r="U169" s="4">
        <v>2.26</v>
      </c>
      <c r="V169" s="5" t="s">
        <v>46</v>
      </c>
      <c r="W169" s="4">
        <v>9.0</v>
      </c>
      <c r="X169" s="6">
        <v>26.85</v>
      </c>
      <c r="Y169" s="4" t="s">
        <v>61</v>
      </c>
      <c r="Z169" s="7">
        <f t="shared" si="1"/>
        <v>60.681</v>
      </c>
      <c r="AA169" s="4">
        <v>15.0</v>
      </c>
      <c r="AB169" s="4">
        <v>52.0</v>
      </c>
      <c r="AC169" s="8">
        <f t="shared" si="2"/>
        <v>780</v>
      </c>
      <c r="AD169" s="13">
        <v>5426.24</v>
      </c>
      <c r="AE169" s="30" t="s">
        <v>509</v>
      </c>
      <c r="AF169" s="31"/>
      <c r="AG169" s="31"/>
      <c r="AH169" s="31"/>
      <c r="AI169" s="31"/>
      <c r="AJ169" s="31" t="str">
        <f>IFERROR(__xludf.DUMMYFUNCTION("AI(""Completa un valor adecuado para esta celda en función del contexto de la tabla"")"),"Piso flotante laminado de origen alemán, perteneciente a la línea Vintage Long de Krono Original. Con un espesor de 10 mm y resistencia a la abrasión AC5, es ideal para uso comercial intenso. Presenta un diseño de tablas largas con bisel en sus cuatro lad"&amp;"os y sistema de instalación click. Cada caja contiene 7 tablas y cubre una superficie de 2.42 m2.")</f>
        <v>Piso flotante laminado de origen alemán, perteneciente a la línea Vintage Long de Krono Original. Con un espesor de 10 mm y resistencia a la abrasión AC5, es ideal para uso comercial intenso. Presenta un diseño de tablas largas con bisel en sus cuatro lados y sistema de instalación click. Cada caja contiene 7 tablas y cubre una superficie de 2.42 m2.</v>
      </c>
    </row>
    <row r="170" ht="15.75" customHeight="1">
      <c r="A170" s="4">
        <v>20517.0</v>
      </c>
      <c r="B170" s="5" t="s">
        <v>33</v>
      </c>
      <c r="C170" s="5" t="s">
        <v>34</v>
      </c>
      <c r="D170" s="5" t="s">
        <v>35</v>
      </c>
      <c r="E170" s="5" t="s">
        <v>36</v>
      </c>
      <c r="F170" s="5" t="s">
        <v>37</v>
      </c>
      <c r="G170" s="5" t="s">
        <v>510</v>
      </c>
      <c r="H170" s="4" t="s">
        <v>511</v>
      </c>
      <c r="I170" s="5" t="s">
        <v>39</v>
      </c>
      <c r="J170" s="5" t="s">
        <v>234</v>
      </c>
      <c r="K170" s="5" t="s">
        <v>54</v>
      </c>
      <c r="L170" s="4">
        <v>8.0</v>
      </c>
      <c r="M170" s="5" t="s">
        <v>42</v>
      </c>
      <c r="N170" s="4" t="s">
        <v>55</v>
      </c>
      <c r="O170" s="4" t="s">
        <v>44</v>
      </c>
      <c r="P170" s="4" t="s">
        <v>44</v>
      </c>
      <c r="Q170" s="4">
        <v>193.0</v>
      </c>
      <c r="R170" s="5" t="s">
        <v>42</v>
      </c>
      <c r="S170" s="4">
        <v>1380.0</v>
      </c>
      <c r="T170" s="5" t="s">
        <v>42</v>
      </c>
      <c r="U170" s="4">
        <v>2.13</v>
      </c>
      <c r="V170" s="5" t="s">
        <v>46</v>
      </c>
      <c r="W170" s="4">
        <v>8.0</v>
      </c>
      <c r="X170" s="6">
        <v>16.0</v>
      </c>
      <c r="Y170" s="4" t="s">
        <v>47</v>
      </c>
      <c r="Z170" s="7">
        <f t="shared" si="1"/>
        <v>34.08</v>
      </c>
      <c r="AA170" s="4">
        <v>15.0</v>
      </c>
      <c r="AB170" s="4"/>
      <c r="AC170" s="8">
        <f t="shared" si="2"/>
        <v>0</v>
      </c>
      <c r="AD170" s="13">
        <v>4690.26</v>
      </c>
      <c r="AE170" s="30" t="s">
        <v>512</v>
      </c>
      <c r="AF170" s="31"/>
      <c r="AG170" s="31"/>
      <c r="AH170" s="31"/>
      <c r="AI170" s="31"/>
      <c r="AJ170" s="31" t="str">
        <f>IFERROR(__xludf.DUMMYFUNCTION("AI(""Completa un valor adecuado para esta celda en función del contexto de la tabla"")"),"Piso flotante laminado de origen alemán, ideal para uso comercial intenso por su resistencia a la abrasión AC5. Con un espesor de 12 mm y sistema de instalación click, este modelo cuenta con bisel en sus lados y ofrece un diseño clásico de la línea Robust"&amp;"o. Cada caja cubre una superficie de 1.3 m2.")</f>
        <v>Piso flotante laminado de origen alemán, ideal para uso comercial intenso por su resistencia a la abrasión AC5. Con un espesor de 12 mm y sistema de instalación click, este modelo cuenta con bisel en sus lados y ofrece un diseño clásico de la línea Robusto. Cada caja cubre una superficie de 1.3 m2.</v>
      </c>
    </row>
    <row r="171" ht="15.75" customHeight="1">
      <c r="A171" s="4">
        <v>19325.0</v>
      </c>
      <c r="B171" s="5" t="s">
        <v>33</v>
      </c>
      <c r="C171" s="5" t="s">
        <v>34</v>
      </c>
      <c r="D171" s="5" t="s">
        <v>35</v>
      </c>
      <c r="E171" s="5" t="s">
        <v>36</v>
      </c>
      <c r="F171" s="5" t="s">
        <v>37</v>
      </c>
      <c r="G171" s="5" t="s">
        <v>513</v>
      </c>
      <c r="H171" s="4" t="s">
        <v>514</v>
      </c>
      <c r="I171" s="5" t="s">
        <v>72</v>
      </c>
      <c r="J171" s="5" t="s">
        <v>215</v>
      </c>
      <c r="K171" s="5" t="s">
        <v>54</v>
      </c>
      <c r="L171" s="4">
        <v>8.0</v>
      </c>
      <c r="M171" s="5" t="s">
        <v>42</v>
      </c>
      <c r="N171" s="4" t="s">
        <v>55</v>
      </c>
      <c r="O171" s="4" t="s">
        <v>44</v>
      </c>
      <c r="P171" s="4" t="s">
        <v>45</v>
      </c>
      <c r="Q171" s="4">
        <v>192.0</v>
      </c>
      <c r="R171" s="5" t="s">
        <v>42</v>
      </c>
      <c r="S171" s="4">
        <v>1280.0</v>
      </c>
      <c r="T171" s="5" t="s">
        <v>42</v>
      </c>
      <c r="U171" s="4">
        <v>2.22</v>
      </c>
      <c r="V171" s="5" t="s">
        <v>46</v>
      </c>
      <c r="W171" s="4">
        <v>9.0</v>
      </c>
      <c r="X171" s="6">
        <v>18.0</v>
      </c>
      <c r="Y171" s="4" t="s">
        <v>47</v>
      </c>
      <c r="Z171" s="7">
        <f t="shared" si="1"/>
        <v>39.96</v>
      </c>
      <c r="AA171" s="4">
        <v>15.0</v>
      </c>
      <c r="AB171" s="4">
        <v>52.0</v>
      </c>
      <c r="AC171" s="8">
        <f t="shared" si="2"/>
        <v>780</v>
      </c>
      <c r="AD171" s="13">
        <v>153.18</v>
      </c>
      <c r="AE171" s="30" t="s">
        <v>515</v>
      </c>
      <c r="AF171" s="31"/>
      <c r="AG171" s="31"/>
      <c r="AH171" s="31"/>
      <c r="AI171" s="31"/>
      <c r="AJ171" s="31" t="str">
        <f>IFERROR(__xludf.DUMMYFUNCTION("AI(""Completa un valor adecuado para esta celda en función del contexto de la tabla"")"),"Piso flotante laminado de origen alemán, marca Krono Original de la línea Titan, diseñado para uso comercial intenso gracias a su alta resistencia a la abrasión AC5. Posee un espesor de 14 mm, cuenta con bisel y cada caja cubre una superficie de 1.41 m2.")</f>
        <v>Piso flotante laminado de origen alemán, marca Krono Original de la línea Titan, diseñado para uso comercial intenso gracias a su alta resistencia a la abrasión AC5. Posee un espesor de 14 mm, cuenta con bisel y cada caja cubre una superficie de 1.41 m2.</v>
      </c>
    </row>
    <row r="172" ht="15.75" customHeight="1">
      <c r="A172" s="4">
        <v>25209.0</v>
      </c>
      <c r="B172" s="5" t="s">
        <v>33</v>
      </c>
      <c r="C172" s="32" t="s">
        <v>34</v>
      </c>
      <c r="D172" s="5" t="s">
        <v>35</v>
      </c>
      <c r="E172" s="5" t="s">
        <v>49</v>
      </c>
      <c r="F172" s="5" t="s">
        <v>37</v>
      </c>
      <c r="G172" s="5" t="s">
        <v>516</v>
      </c>
      <c r="H172" s="4" t="s">
        <v>517</v>
      </c>
      <c r="I172" s="5" t="s">
        <v>72</v>
      </c>
      <c r="J172" s="17" t="s">
        <v>80</v>
      </c>
      <c r="K172" s="5" t="s">
        <v>41</v>
      </c>
      <c r="L172" s="4" t="s">
        <v>95</v>
      </c>
      <c r="M172" s="5" t="s">
        <v>42</v>
      </c>
      <c r="N172" s="4" t="s">
        <v>43</v>
      </c>
      <c r="O172" s="4" t="s">
        <v>45</v>
      </c>
      <c r="P172" s="4" t="s">
        <v>45</v>
      </c>
      <c r="Q172" s="4">
        <v>245.0</v>
      </c>
      <c r="R172" s="5" t="s">
        <v>42</v>
      </c>
      <c r="S172" s="4">
        <v>2003.0</v>
      </c>
      <c r="T172" s="5" t="s">
        <v>42</v>
      </c>
      <c r="U172" s="4">
        <v>3.44</v>
      </c>
      <c r="V172" s="5" t="s">
        <v>46</v>
      </c>
      <c r="W172" s="4">
        <v>7.0</v>
      </c>
      <c r="X172" s="6">
        <v>21.2</v>
      </c>
      <c r="Y172" s="4" t="s">
        <v>47</v>
      </c>
      <c r="Z172" s="7">
        <f t="shared" si="1"/>
        <v>72.928</v>
      </c>
      <c r="AA172" s="4">
        <v>15.0</v>
      </c>
      <c r="AB172" s="4">
        <v>52.0</v>
      </c>
      <c r="AC172" s="8">
        <f t="shared" si="2"/>
        <v>780</v>
      </c>
      <c r="AD172" s="13">
        <v>3412.47</v>
      </c>
      <c r="AE172" s="30" t="s">
        <v>518</v>
      </c>
      <c r="AF172" s="31"/>
      <c r="AG172" s="31"/>
      <c r="AH172" s="31"/>
      <c r="AI172" s="31"/>
      <c r="AJ172" s="31" t="str">
        <f>IFERROR(__xludf.DUMMYFUNCTION("AI(""Completa un valor adecuado para esta celda en función del contexto de la tabla"")"),"Piso flotante de origen alemán de la línea Titan, diseñado para uso comercial intenso con una alta resistencia a la abrasión AC5. Posee un espesor de 14 mm, cuenta con bisel y un sistema de instalación click. Cada caja rinde 1.41 m2.")</f>
        <v>Piso flotante de origen alemán de la línea Titan, diseñado para uso comercial intenso con una alta resistencia a la abrasión AC5. Posee un espesor de 14 mm, cuenta con bisel y un sistema de instalación click. Cada caja rinde 1.41 m2.</v>
      </c>
    </row>
    <row r="173" ht="15.75" customHeight="1">
      <c r="A173" s="33"/>
      <c r="H173" s="33"/>
      <c r="L173" s="33"/>
      <c r="N173" s="33"/>
      <c r="O173" s="33"/>
      <c r="P173" s="33"/>
      <c r="Q173" s="33"/>
      <c r="S173" s="33"/>
      <c r="U173" s="33"/>
      <c r="W173" s="33"/>
      <c r="X173" s="34"/>
      <c r="Y173" s="33"/>
      <c r="Z173" s="34"/>
      <c r="AA173" s="33"/>
      <c r="AB173" s="33"/>
      <c r="AC173" s="33"/>
      <c r="AD173" s="35"/>
      <c r="AE173" s="33"/>
    </row>
    <row r="174" ht="15.75" customHeight="1">
      <c r="A174" s="33"/>
      <c r="H174" s="33"/>
      <c r="L174" s="33"/>
      <c r="N174" s="33"/>
      <c r="O174" s="33"/>
      <c r="P174" s="33"/>
      <c r="Q174" s="33"/>
      <c r="S174" s="33"/>
      <c r="U174" s="33"/>
      <c r="W174" s="33"/>
      <c r="X174" s="34"/>
      <c r="Y174" s="33"/>
      <c r="Z174" s="34"/>
      <c r="AA174" s="33"/>
      <c r="AB174" s="33"/>
      <c r="AC174" s="33"/>
      <c r="AD174" s="35"/>
      <c r="AE174" s="33"/>
    </row>
    <row r="175" ht="15.75" customHeight="1">
      <c r="A175" s="33"/>
      <c r="H175" s="33"/>
      <c r="L175" s="33"/>
      <c r="N175" s="33"/>
      <c r="O175" s="33"/>
      <c r="P175" s="33"/>
      <c r="Q175" s="33"/>
      <c r="S175" s="33"/>
      <c r="U175" s="33"/>
      <c r="W175" s="33"/>
      <c r="X175" s="34"/>
      <c r="Y175" s="33"/>
      <c r="Z175" s="34"/>
      <c r="AA175" s="33"/>
      <c r="AB175" s="33"/>
      <c r="AC175" s="33"/>
      <c r="AD175" s="35"/>
      <c r="AE175" s="33"/>
    </row>
    <row r="176" ht="15.75" customHeight="1">
      <c r="A176" s="33"/>
      <c r="H176" s="33"/>
      <c r="L176" s="33"/>
      <c r="N176" s="33"/>
      <c r="O176" s="33"/>
      <c r="P176" s="33"/>
      <c r="Q176" s="33"/>
      <c r="S176" s="33"/>
      <c r="U176" s="33"/>
      <c r="W176" s="33"/>
      <c r="X176" s="34"/>
      <c r="Y176" s="33"/>
      <c r="Z176" s="34"/>
      <c r="AA176" s="33"/>
      <c r="AB176" s="33"/>
      <c r="AC176" s="33"/>
      <c r="AD176" s="35"/>
      <c r="AE176" s="33"/>
    </row>
    <row r="177" ht="15.75" customHeight="1">
      <c r="A177" s="33"/>
      <c r="H177" s="33"/>
      <c r="L177" s="33"/>
      <c r="N177" s="33"/>
      <c r="O177" s="33"/>
      <c r="P177" s="33"/>
      <c r="Q177" s="33"/>
      <c r="S177" s="33"/>
      <c r="U177" s="33"/>
      <c r="W177" s="33"/>
      <c r="X177" s="34"/>
      <c r="Y177" s="33"/>
      <c r="Z177" s="34"/>
      <c r="AA177" s="33"/>
      <c r="AB177" s="33"/>
      <c r="AC177" s="33"/>
      <c r="AD177" s="35"/>
      <c r="AE177" s="33"/>
    </row>
    <row r="178" ht="15.75" customHeight="1">
      <c r="A178" s="33"/>
      <c r="H178" s="33"/>
      <c r="L178" s="33"/>
      <c r="N178" s="33"/>
      <c r="O178" s="33"/>
      <c r="P178" s="33"/>
      <c r="Q178" s="33"/>
      <c r="S178" s="33"/>
      <c r="U178" s="33"/>
      <c r="W178" s="33"/>
      <c r="X178" s="34"/>
      <c r="Y178" s="33"/>
      <c r="Z178" s="34"/>
      <c r="AA178" s="33"/>
      <c r="AB178" s="33"/>
      <c r="AC178" s="33"/>
      <c r="AD178" s="35"/>
      <c r="AE178" s="33"/>
    </row>
    <row r="179" ht="15.75" customHeight="1">
      <c r="A179" s="33"/>
      <c r="H179" s="33"/>
      <c r="L179" s="33"/>
      <c r="N179" s="33"/>
      <c r="O179" s="33"/>
      <c r="P179" s="33"/>
      <c r="Q179" s="33"/>
      <c r="S179" s="33"/>
      <c r="U179" s="33"/>
      <c r="W179" s="33"/>
      <c r="X179" s="34"/>
      <c r="Y179" s="33"/>
      <c r="Z179" s="34"/>
      <c r="AA179" s="33"/>
      <c r="AB179" s="33"/>
      <c r="AC179" s="33"/>
      <c r="AD179" s="35"/>
      <c r="AE179" s="33"/>
    </row>
    <row r="180" ht="15.75" customHeight="1">
      <c r="A180" s="33"/>
      <c r="H180" s="33"/>
      <c r="L180" s="33"/>
      <c r="N180" s="33"/>
      <c r="O180" s="33"/>
      <c r="P180" s="33"/>
      <c r="Q180" s="33"/>
      <c r="S180" s="33"/>
      <c r="U180" s="33"/>
      <c r="W180" s="33"/>
      <c r="X180" s="34"/>
      <c r="Y180" s="33"/>
      <c r="Z180" s="34"/>
      <c r="AA180" s="33"/>
      <c r="AB180" s="33"/>
      <c r="AC180" s="33"/>
      <c r="AD180" s="35"/>
      <c r="AE180" s="33"/>
    </row>
    <row r="181" ht="15.75" customHeight="1">
      <c r="A181" s="33"/>
      <c r="H181" s="33"/>
      <c r="L181" s="33"/>
      <c r="N181" s="33"/>
      <c r="O181" s="33"/>
      <c r="P181" s="33"/>
      <c r="Q181" s="33"/>
      <c r="S181" s="33"/>
      <c r="U181" s="33"/>
      <c r="W181" s="33"/>
      <c r="X181" s="34"/>
      <c r="Y181" s="33"/>
      <c r="Z181" s="34"/>
      <c r="AA181" s="33"/>
      <c r="AB181" s="33"/>
      <c r="AC181" s="33"/>
      <c r="AD181" s="35"/>
      <c r="AE181" s="33"/>
    </row>
    <row r="182" ht="15.75" customHeight="1">
      <c r="A182" s="33"/>
      <c r="H182" s="33"/>
      <c r="L182" s="33"/>
      <c r="N182" s="33"/>
      <c r="O182" s="33"/>
      <c r="P182" s="33"/>
      <c r="Q182" s="33"/>
      <c r="S182" s="33"/>
      <c r="U182" s="33"/>
      <c r="W182" s="33"/>
      <c r="X182" s="34"/>
      <c r="Y182" s="33"/>
      <c r="Z182" s="34"/>
      <c r="AA182" s="33"/>
      <c r="AB182" s="33"/>
      <c r="AC182" s="33"/>
      <c r="AD182" s="35"/>
      <c r="AE182" s="33"/>
    </row>
    <row r="183" ht="15.75" customHeight="1">
      <c r="A183" s="33"/>
      <c r="H183" s="33"/>
      <c r="L183" s="33"/>
      <c r="N183" s="33"/>
      <c r="O183" s="33"/>
      <c r="P183" s="33"/>
      <c r="Q183" s="33"/>
      <c r="S183" s="33"/>
      <c r="U183" s="33"/>
      <c r="W183" s="33"/>
      <c r="X183" s="34"/>
      <c r="Y183" s="33"/>
      <c r="Z183" s="34"/>
      <c r="AA183" s="33"/>
      <c r="AB183" s="33"/>
      <c r="AC183" s="33"/>
      <c r="AD183" s="35"/>
      <c r="AE183" s="33"/>
    </row>
    <row r="184" ht="15.75" customHeight="1">
      <c r="A184" s="33"/>
      <c r="H184" s="33"/>
      <c r="L184" s="33"/>
      <c r="N184" s="33"/>
      <c r="O184" s="33"/>
      <c r="P184" s="33"/>
      <c r="Q184" s="33"/>
      <c r="S184" s="33"/>
      <c r="U184" s="33"/>
      <c r="W184" s="33"/>
      <c r="X184" s="34"/>
      <c r="Y184" s="33"/>
      <c r="Z184" s="34"/>
      <c r="AA184" s="33"/>
      <c r="AB184" s="33"/>
      <c r="AC184" s="33"/>
      <c r="AD184" s="35"/>
      <c r="AE184" s="33"/>
    </row>
    <row r="185" ht="15.75" customHeight="1">
      <c r="A185" s="33"/>
      <c r="H185" s="33"/>
      <c r="L185" s="33"/>
      <c r="N185" s="33"/>
      <c r="O185" s="33"/>
      <c r="P185" s="33"/>
      <c r="Q185" s="33"/>
      <c r="S185" s="33"/>
      <c r="U185" s="33"/>
      <c r="W185" s="33"/>
      <c r="X185" s="34"/>
      <c r="Y185" s="33"/>
      <c r="Z185" s="34"/>
      <c r="AA185" s="33"/>
      <c r="AB185" s="33"/>
      <c r="AC185" s="33"/>
      <c r="AD185" s="35"/>
      <c r="AE185" s="33"/>
    </row>
    <row r="186" ht="15.75" customHeight="1">
      <c r="A186" s="33"/>
      <c r="H186" s="33"/>
      <c r="L186" s="33"/>
      <c r="N186" s="33"/>
      <c r="O186" s="33"/>
      <c r="P186" s="33"/>
      <c r="Q186" s="33"/>
      <c r="S186" s="33"/>
      <c r="U186" s="33"/>
      <c r="W186" s="33"/>
      <c r="X186" s="34"/>
      <c r="Y186" s="33"/>
      <c r="Z186" s="34"/>
      <c r="AA186" s="33"/>
      <c r="AB186" s="33"/>
      <c r="AC186" s="33"/>
      <c r="AD186" s="35"/>
      <c r="AE186" s="33"/>
    </row>
    <row r="187" ht="15.75" customHeight="1">
      <c r="A187" s="33"/>
      <c r="H187" s="33"/>
      <c r="L187" s="33"/>
      <c r="N187" s="33"/>
      <c r="O187" s="33"/>
      <c r="P187" s="33"/>
      <c r="Q187" s="33"/>
      <c r="S187" s="33"/>
      <c r="U187" s="33"/>
      <c r="W187" s="33"/>
      <c r="X187" s="34"/>
      <c r="Y187" s="33"/>
      <c r="Z187" s="34"/>
      <c r="AA187" s="33"/>
      <c r="AB187" s="33"/>
      <c r="AC187" s="33"/>
      <c r="AD187" s="35"/>
      <c r="AE187" s="33"/>
    </row>
    <row r="188" ht="15.75" customHeight="1">
      <c r="A188" s="33"/>
      <c r="H188" s="33"/>
      <c r="L188" s="33"/>
      <c r="N188" s="33"/>
      <c r="O188" s="33"/>
      <c r="P188" s="33"/>
      <c r="Q188" s="33"/>
      <c r="S188" s="33"/>
      <c r="U188" s="33"/>
      <c r="W188" s="33"/>
      <c r="X188" s="34"/>
      <c r="Y188" s="33"/>
      <c r="Z188" s="34"/>
      <c r="AA188" s="33"/>
      <c r="AB188" s="33"/>
      <c r="AC188" s="33"/>
      <c r="AD188" s="35"/>
      <c r="AE188" s="33"/>
    </row>
    <row r="189" ht="15.75" customHeight="1">
      <c r="A189" s="33"/>
      <c r="H189" s="33"/>
      <c r="L189" s="33"/>
      <c r="N189" s="33"/>
      <c r="O189" s="33"/>
      <c r="P189" s="33"/>
      <c r="Q189" s="33"/>
      <c r="S189" s="33"/>
      <c r="U189" s="33"/>
      <c r="W189" s="33"/>
      <c r="X189" s="34"/>
      <c r="Y189" s="33"/>
      <c r="Z189" s="34"/>
      <c r="AA189" s="33"/>
      <c r="AB189" s="33"/>
      <c r="AC189" s="33"/>
      <c r="AD189" s="35"/>
      <c r="AE189" s="33"/>
    </row>
    <row r="190" ht="15.75" customHeight="1">
      <c r="A190" s="33"/>
      <c r="H190" s="33"/>
      <c r="L190" s="33"/>
      <c r="N190" s="33"/>
      <c r="O190" s="33"/>
      <c r="P190" s="33"/>
      <c r="Q190" s="33"/>
      <c r="S190" s="33"/>
      <c r="U190" s="33"/>
      <c r="W190" s="33"/>
      <c r="X190" s="34"/>
      <c r="Y190" s="33"/>
      <c r="Z190" s="34"/>
      <c r="AA190" s="33"/>
      <c r="AB190" s="33"/>
      <c r="AC190" s="33"/>
      <c r="AD190" s="35"/>
      <c r="AE190" s="33"/>
    </row>
    <row r="191" ht="15.75" customHeight="1">
      <c r="A191" s="33"/>
      <c r="H191" s="33"/>
      <c r="L191" s="33"/>
      <c r="N191" s="33"/>
      <c r="O191" s="33"/>
      <c r="P191" s="33"/>
      <c r="Q191" s="33"/>
      <c r="S191" s="33"/>
      <c r="U191" s="33"/>
      <c r="W191" s="33"/>
      <c r="X191" s="34"/>
      <c r="Y191" s="33"/>
      <c r="Z191" s="34"/>
      <c r="AA191" s="33"/>
      <c r="AB191" s="33"/>
      <c r="AC191" s="33"/>
      <c r="AD191" s="35"/>
      <c r="AE191" s="33"/>
    </row>
    <row r="192" ht="15.75" customHeight="1">
      <c r="A192" s="33"/>
      <c r="H192" s="33"/>
      <c r="L192" s="33"/>
      <c r="N192" s="33"/>
      <c r="O192" s="33"/>
      <c r="P192" s="33"/>
      <c r="Q192" s="33"/>
      <c r="S192" s="33"/>
      <c r="U192" s="33"/>
      <c r="W192" s="33"/>
      <c r="X192" s="34"/>
      <c r="Y192" s="33"/>
      <c r="Z192" s="34"/>
      <c r="AA192" s="33"/>
      <c r="AB192" s="33"/>
      <c r="AC192" s="33"/>
      <c r="AD192" s="35"/>
      <c r="AE192" s="33"/>
    </row>
    <row r="193" ht="15.75" customHeight="1">
      <c r="A193" s="33"/>
      <c r="H193" s="33"/>
      <c r="L193" s="33"/>
      <c r="N193" s="33"/>
      <c r="O193" s="33"/>
      <c r="P193" s="33"/>
      <c r="Q193" s="33"/>
      <c r="S193" s="33"/>
      <c r="U193" s="33"/>
      <c r="W193" s="33"/>
      <c r="X193" s="34"/>
      <c r="Y193" s="33"/>
      <c r="Z193" s="34"/>
      <c r="AA193" s="33"/>
      <c r="AB193" s="33"/>
      <c r="AC193" s="33"/>
      <c r="AD193" s="35"/>
      <c r="AE193" s="33"/>
    </row>
    <row r="194" ht="15.75" customHeight="1">
      <c r="A194" s="33"/>
      <c r="H194" s="33"/>
      <c r="L194" s="33"/>
      <c r="N194" s="33"/>
      <c r="O194" s="33"/>
      <c r="P194" s="33"/>
      <c r="Q194" s="33"/>
      <c r="S194" s="33"/>
      <c r="U194" s="33"/>
      <c r="W194" s="33"/>
      <c r="X194" s="34"/>
      <c r="Y194" s="33"/>
      <c r="Z194" s="34"/>
      <c r="AA194" s="33"/>
      <c r="AB194" s="33"/>
      <c r="AC194" s="33"/>
      <c r="AD194" s="35"/>
      <c r="AE194" s="33"/>
    </row>
    <row r="195" ht="15.75" customHeight="1">
      <c r="A195" s="33"/>
      <c r="H195" s="33"/>
      <c r="L195" s="33"/>
      <c r="N195" s="33"/>
      <c r="O195" s="33"/>
      <c r="P195" s="33"/>
      <c r="Q195" s="33"/>
      <c r="S195" s="33"/>
      <c r="U195" s="33"/>
      <c r="W195" s="33"/>
      <c r="X195" s="34"/>
      <c r="Y195" s="33"/>
      <c r="Z195" s="34"/>
      <c r="AA195" s="33"/>
      <c r="AB195" s="33"/>
      <c r="AC195" s="33"/>
      <c r="AD195" s="35"/>
      <c r="AE195" s="33"/>
    </row>
    <row r="196" ht="15.75" customHeight="1">
      <c r="A196" s="33"/>
      <c r="H196" s="33"/>
      <c r="L196" s="33"/>
      <c r="N196" s="33"/>
      <c r="O196" s="33"/>
      <c r="P196" s="33"/>
      <c r="Q196" s="33"/>
      <c r="S196" s="33"/>
      <c r="U196" s="33"/>
      <c r="W196" s="33"/>
      <c r="X196" s="34"/>
      <c r="Y196" s="33"/>
      <c r="Z196" s="34"/>
      <c r="AA196" s="33"/>
      <c r="AB196" s="33"/>
      <c r="AC196" s="33"/>
      <c r="AD196" s="35"/>
      <c r="AE196" s="33"/>
    </row>
    <row r="197" ht="15.75" customHeight="1">
      <c r="A197" s="33"/>
      <c r="H197" s="33"/>
      <c r="L197" s="33"/>
      <c r="N197" s="33"/>
      <c r="O197" s="33"/>
      <c r="P197" s="33"/>
      <c r="Q197" s="33"/>
      <c r="S197" s="33"/>
      <c r="U197" s="33"/>
      <c r="W197" s="33"/>
      <c r="X197" s="34"/>
      <c r="Y197" s="33"/>
      <c r="Z197" s="34"/>
      <c r="AA197" s="33"/>
      <c r="AB197" s="33"/>
      <c r="AC197" s="33"/>
      <c r="AD197" s="35"/>
      <c r="AE197" s="33"/>
    </row>
    <row r="198" ht="15.75" customHeight="1">
      <c r="A198" s="33"/>
      <c r="H198" s="33"/>
      <c r="L198" s="33"/>
      <c r="N198" s="33"/>
      <c r="O198" s="33"/>
      <c r="P198" s="33"/>
      <c r="Q198" s="33"/>
      <c r="S198" s="33"/>
      <c r="U198" s="33"/>
      <c r="W198" s="33"/>
      <c r="X198" s="34"/>
      <c r="Y198" s="33"/>
      <c r="Z198" s="34"/>
      <c r="AA198" s="33"/>
      <c r="AB198" s="33"/>
      <c r="AC198" s="33"/>
      <c r="AD198" s="35"/>
      <c r="AE198" s="33"/>
    </row>
    <row r="199" ht="15.75" customHeight="1">
      <c r="A199" s="33"/>
      <c r="H199" s="33"/>
      <c r="L199" s="33"/>
      <c r="N199" s="33"/>
      <c r="O199" s="33"/>
      <c r="P199" s="33"/>
      <c r="Q199" s="33"/>
      <c r="S199" s="33"/>
      <c r="U199" s="33"/>
      <c r="W199" s="33"/>
      <c r="X199" s="34"/>
      <c r="Y199" s="33"/>
      <c r="Z199" s="34"/>
      <c r="AA199" s="33"/>
      <c r="AB199" s="33"/>
      <c r="AC199" s="33"/>
      <c r="AD199" s="35"/>
      <c r="AE199" s="33"/>
    </row>
    <row r="200" ht="15.75" customHeight="1">
      <c r="A200" s="33"/>
      <c r="H200" s="33"/>
      <c r="L200" s="33"/>
      <c r="N200" s="33"/>
      <c r="O200" s="33"/>
      <c r="P200" s="33"/>
      <c r="Q200" s="33"/>
      <c r="S200" s="33"/>
      <c r="U200" s="33"/>
      <c r="W200" s="33"/>
      <c r="X200" s="34"/>
      <c r="Y200" s="33"/>
      <c r="Z200" s="34"/>
      <c r="AA200" s="33"/>
      <c r="AB200" s="33"/>
      <c r="AC200" s="33"/>
      <c r="AD200" s="35"/>
      <c r="AE200" s="33"/>
    </row>
    <row r="201" ht="15.75" customHeight="1">
      <c r="A201" s="33"/>
      <c r="H201" s="33"/>
      <c r="L201" s="33"/>
      <c r="N201" s="33"/>
      <c r="O201" s="33"/>
      <c r="P201" s="33"/>
      <c r="Q201" s="33"/>
      <c r="S201" s="33"/>
      <c r="U201" s="33"/>
      <c r="W201" s="33"/>
      <c r="X201" s="34"/>
      <c r="Y201" s="33"/>
      <c r="Z201" s="34"/>
      <c r="AA201" s="33"/>
      <c r="AB201" s="33"/>
      <c r="AC201" s="33"/>
      <c r="AD201" s="35"/>
      <c r="AE201" s="33"/>
    </row>
    <row r="202" ht="15.75" customHeight="1">
      <c r="A202" s="33"/>
      <c r="H202" s="33"/>
      <c r="L202" s="33"/>
      <c r="N202" s="33"/>
      <c r="O202" s="33"/>
      <c r="P202" s="33"/>
      <c r="Q202" s="33"/>
      <c r="S202" s="33"/>
      <c r="U202" s="33"/>
      <c r="W202" s="33"/>
      <c r="X202" s="34"/>
      <c r="Y202" s="33"/>
      <c r="Z202" s="34"/>
      <c r="AA202" s="33"/>
      <c r="AB202" s="33"/>
      <c r="AC202" s="33"/>
      <c r="AD202" s="35"/>
      <c r="AE202" s="33"/>
    </row>
    <row r="203" ht="15.75" customHeight="1">
      <c r="A203" s="33"/>
      <c r="H203" s="33"/>
      <c r="L203" s="33"/>
      <c r="N203" s="33"/>
      <c r="O203" s="33"/>
      <c r="P203" s="33"/>
      <c r="Q203" s="33"/>
      <c r="S203" s="33"/>
      <c r="U203" s="33"/>
      <c r="W203" s="33"/>
      <c r="X203" s="34"/>
      <c r="Y203" s="33"/>
      <c r="Z203" s="34"/>
      <c r="AA203" s="33"/>
      <c r="AB203" s="33"/>
      <c r="AC203" s="33"/>
      <c r="AD203" s="35"/>
      <c r="AE203" s="33"/>
    </row>
    <row r="204" ht="15.75" customHeight="1">
      <c r="A204" s="33"/>
      <c r="H204" s="33"/>
      <c r="L204" s="33"/>
      <c r="N204" s="33"/>
      <c r="O204" s="33"/>
      <c r="P204" s="33"/>
      <c r="Q204" s="33"/>
      <c r="S204" s="33"/>
      <c r="U204" s="33"/>
      <c r="W204" s="33"/>
      <c r="X204" s="34"/>
      <c r="Y204" s="33"/>
      <c r="Z204" s="34"/>
      <c r="AA204" s="33"/>
      <c r="AB204" s="33"/>
      <c r="AC204" s="33"/>
      <c r="AD204" s="35"/>
      <c r="AE204" s="33"/>
    </row>
    <row r="205" ht="15.75" customHeight="1">
      <c r="A205" s="33"/>
      <c r="H205" s="33"/>
      <c r="L205" s="33"/>
      <c r="N205" s="33"/>
      <c r="O205" s="33"/>
      <c r="P205" s="33"/>
      <c r="Q205" s="33"/>
      <c r="S205" s="33"/>
      <c r="U205" s="33"/>
      <c r="W205" s="33"/>
      <c r="X205" s="34"/>
      <c r="Y205" s="33"/>
      <c r="Z205" s="34"/>
      <c r="AA205" s="33"/>
      <c r="AB205" s="33"/>
      <c r="AC205" s="33"/>
      <c r="AD205" s="35"/>
      <c r="AE205" s="33"/>
    </row>
    <row r="206" ht="15.75" customHeight="1">
      <c r="A206" s="33"/>
      <c r="H206" s="33"/>
      <c r="L206" s="33"/>
      <c r="N206" s="33"/>
      <c r="O206" s="33"/>
      <c r="P206" s="33"/>
      <c r="Q206" s="33"/>
      <c r="S206" s="33"/>
      <c r="U206" s="33"/>
      <c r="W206" s="33"/>
      <c r="X206" s="34"/>
      <c r="Y206" s="33"/>
      <c r="Z206" s="34"/>
      <c r="AA206" s="33"/>
      <c r="AB206" s="33"/>
      <c r="AC206" s="33"/>
      <c r="AD206" s="35"/>
      <c r="AE206" s="33"/>
    </row>
    <row r="207" ht="15.75" customHeight="1">
      <c r="A207" s="33"/>
      <c r="H207" s="33"/>
      <c r="L207" s="33"/>
      <c r="N207" s="33"/>
      <c r="O207" s="33"/>
      <c r="P207" s="33"/>
      <c r="Q207" s="33"/>
      <c r="S207" s="33"/>
      <c r="U207" s="33"/>
      <c r="W207" s="33"/>
      <c r="X207" s="34"/>
      <c r="Y207" s="33"/>
      <c r="Z207" s="34"/>
      <c r="AA207" s="33"/>
      <c r="AB207" s="33"/>
      <c r="AC207" s="33"/>
      <c r="AD207" s="35"/>
      <c r="AE207" s="33"/>
    </row>
    <row r="208" ht="15.75" customHeight="1">
      <c r="A208" s="33"/>
      <c r="H208" s="33"/>
      <c r="L208" s="33"/>
      <c r="N208" s="33"/>
      <c r="O208" s="33"/>
      <c r="P208" s="33"/>
      <c r="Q208" s="33"/>
      <c r="S208" s="33"/>
      <c r="U208" s="33"/>
      <c r="W208" s="33"/>
      <c r="X208" s="34"/>
      <c r="Y208" s="33"/>
      <c r="Z208" s="34"/>
      <c r="AA208" s="33"/>
      <c r="AB208" s="33"/>
      <c r="AC208" s="33"/>
      <c r="AD208" s="35"/>
      <c r="AE208" s="33"/>
    </row>
    <row r="209" ht="15.75" customHeight="1">
      <c r="A209" s="33"/>
      <c r="H209" s="33"/>
      <c r="L209" s="33"/>
      <c r="N209" s="33"/>
      <c r="O209" s="33"/>
      <c r="P209" s="33"/>
      <c r="Q209" s="33"/>
      <c r="S209" s="33"/>
      <c r="U209" s="33"/>
      <c r="W209" s="33"/>
      <c r="X209" s="34"/>
      <c r="Y209" s="33"/>
      <c r="Z209" s="34"/>
      <c r="AA209" s="33"/>
      <c r="AB209" s="33"/>
      <c r="AC209" s="33"/>
      <c r="AD209" s="35"/>
      <c r="AE209" s="33"/>
    </row>
    <row r="210" ht="15.75" customHeight="1">
      <c r="A210" s="33"/>
      <c r="H210" s="33"/>
      <c r="L210" s="33"/>
      <c r="N210" s="33"/>
      <c r="O210" s="33"/>
      <c r="P210" s="33"/>
      <c r="Q210" s="33"/>
      <c r="S210" s="33"/>
      <c r="U210" s="33"/>
      <c r="W210" s="33"/>
      <c r="X210" s="34"/>
      <c r="Y210" s="33"/>
      <c r="Z210" s="34"/>
      <c r="AA210" s="33"/>
      <c r="AB210" s="33"/>
      <c r="AC210" s="33"/>
      <c r="AD210" s="35"/>
      <c r="AE210" s="33"/>
    </row>
    <row r="211" ht="15.75" customHeight="1">
      <c r="A211" s="33"/>
      <c r="H211" s="33"/>
      <c r="L211" s="33"/>
      <c r="N211" s="33"/>
      <c r="O211" s="33"/>
      <c r="P211" s="33"/>
      <c r="Q211" s="33"/>
      <c r="S211" s="33"/>
      <c r="U211" s="33"/>
      <c r="W211" s="33"/>
      <c r="X211" s="34"/>
      <c r="Y211" s="33"/>
      <c r="Z211" s="34"/>
      <c r="AA211" s="33"/>
      <c r="AB211" s="33"/>
      <c r="AC211" s="33"/>
      <c r="AD211" s="35"/>
      <c r="AE211" s="33"/>
    </row>
    <row r="212" ht="15.75" customHeight="1">
      <c r="A212" s="33"/>
      <c r="H212" s="33"/>
      <c r="L212" s="33"/>
      <c r="N212" s="33"/>
      <c r="O212" s="33"/>
      <c r="P212" s="33"/>
      <c r="Q212" s="33"/>
      <c r="S212" s="33"/>
      <c r="U212" s="33"/>
      <c r="W212" s="33"/>
      <c r="X212" s="34"/>
      <c r="Y212" s="33"/>
      <c r="Z212" s="34"/>
      <c r="AA212" s="33"/>
      <c r="AB212" s="33"/>
      <c r="AC212" s="33"/>
      <c r="AD212" s="35"/>
      <c r="AE212" s="33"/>
    </row>
    <row r="213" ht="15.75" customHeight="1">
      <c r="A213" s="33"/>
      <c r="H213" s="33"/>
      <c r="L213" s="33"/>
      <c r="N213" s="33"/>
      <c r="O213" s="33"/>
      <c r="P213" s="33"/>
      <c r="Q213" s="33"/>
      <c r="S213" s="33"/>
      <c r="U213" s="33"/>
      <c r="W213" s="33"/>
      <c r="X213" s="34"/>
      <c r="Y213" s="33"/>
      <c r="Z213" s="34"/>
      <c r="AA213" s="33"/>
      <c r="AB213" s="33"/>
      <c r="AC213" s="33"/>
      <c r="AD213" s="35"/>
      <c r="AE213" s="33"/>
    </row>
    <row r="214" ht="15.75" customHeight="1">
      <c r="A214" s="33"/>
      <c r="H214" s="33"/>
      <c r="L214" s="33"/>
      <c r="N214" s="33"/>
      <c r="O214" s="33"/>
      <c r="P214" s="33"/>
      <c r="Q214" s="33"/>
      <c r="S214" s="33"/>
      <c r="U214" s="33"/>
      <c r="W214" s="33"/>
      <c r="X214" s="34"/>
      <c r="Y214" s="33"/>
      <c r="Z214" s="34"/>
      <c r="AA214" s="33"/>
      <c r="AB214" s="33"/>
      <c r="AC214" s="33"/>
      <c r="AD214" s="35"/>
      <c r="AE214" s="33"/>
    </row>
    <row r="215" ht="15.75" customHeight="1">
      <c r="A215" s="33"/>
      <c r="H215" s="33"/>
      <c r="L215" s="33"/>
      <c r="N215" s="33"/>
      <c r="O215" s="33"/>
      <c r="P215" s="33"/>
      <c r="Q215" s="33"/>
      <c r="S215" s="33"/>
      <c r="U215" s="33"/>
      <c r="W215" s="33"/>
      <c r="X215" s="34"/>
      <c r="Y215" s="33"/>
      <c r="Z215" s="34"/>
      <c r="AA215" s="33"/>
      <c r="AB215" s="33"/>
      <c r="AC215" s="33"/>
      <c r="AD215" s="35"/>
      <c r="AE215" s="33"/>
    </row>
    <row r="216" ht="15.75" customHeight="1">
      <c r="A216" s="33"/>
      <c r="H216" s="33"/>
      <c r="L216" s="33"/>
      <c r="N216" s="33"/>
      <c r="O216" s="33"/>
      <c r="P216" s="33"/>
      <c r="Q216" s="33"/>
      <c r="S216" s="33"/>
      <c r="U216" s="33"/>
      <c r="W216" s="33"/>
      <c r="X216" s="34"/>
      <c r="Y216" s="33"/>
      <c r="Z216" s="34"/>
      <c r="AA216" s="33"/>
      <c r="AB216" s="33"/>
      <c r="AC216" s="33"/>
      <c r="AD216" s="35"/>
      <c r="AE216" s="33"/>
    </row>
    <row r="217" ht="15.75" customHeight="1">
      <c r="A217" s="33"/>
      <c r="H217" s="33"/>
      <c r="L217" s="33"/>
      <c r="N217" s="33"/>
      <c r="O217" s="33"/>
      <c r="P217" s="33"/>
      <c r="Q217" s="33"/>
      <c r="S217" s="33"/>
      <c r="U217" s="33"/>
      <c r="W217" s="33"/>
      <c r="X217" s="34"/>
      <c r="Y217" s="33"/>
      <c r="Z217" s="34"/>
      <c r="AA217" s="33"/>
      <c r="AB217" s="33"/>
      <c r="AC217" s="33"/>
      <c r="AD217" s="35"/>
      <c r="AE217" s="33"/>
    </row>
    <row r="218" ht="15.75" customHeight="1">
      <c r="A218" s="33"/>
      <c r="H218" s="33"/>
      <c r="L218" s="33"/>
      <c r="N218" s="33"/>
      <c r="O218" s="33"/>
      <c r="P218" s="33"/>
      <c r="Q218" s="33"/>
      <c r="S218" s="33"/>
      <c r="U218" s="33"/>
      <c r="W218" s="33"/>
      <c r="X218" s="34"/>
      <c r="Y218" s="33"/>
      <c r="Z218" s="34"/>
      <c r="AA218" s="33"/>
      <c r="AB218" s="33"/>
      <c r="AC218" s="33"/>
      <c r="AD218" s="35"/>
      <c r="AE218" s="33"/>
    </row>
    <row r="219" ht="15.75" customHeight="1">
      <c r="A219" s="33"/>
      <c r="H219" s="33"/>
      <c r="L219" s="33"/>
      <c r="N219" s="33"/>
      <c r="O219" s="33"/>
      <c r="P219" s="33"/>
      <c r="Q219" s="33"/>
      <c r="S219" s="33"/>
      <c r="U219" s="33"/>
      <c r="W219" s="33"/>
      <c r="X219" s="34"/>
      <c r="Y219" s="33"/>
      <c r="Z219" s="34"/>
      <c r="AA219" s="33"/>
      <c r="AB219" s="33"/>
      <c r="AC219" s="33"/>
      <c r="AD219" s="35"/>
      <c r="AE219" s="33"/>
    </row>
    <row r="220" ht="15.75" customHeight="1">
      <c r="A220" s="33"/>
      <c r="H220" s="33"/>
      <c r="L220" s="33"/>
      <c r="N220" s="33"/>
      <c r="O220" s="33"/>
      <c r="P220" s="33"/>
      <c r="Q220" s="33"/>
      <c r="S220" s="33"/>
      <c r="U220" s="33"/>
      <c r="W220" s="33"/>
      <c r="X220" s="34"/>
      <c r="Y220" s="33"/>
      <c r="Z220" s="34"/>
      <c r="AA220" s="33"/>
      <c r="AB220" s="33"/>
      <c r="AC220" s="33"/>
      <c r="AD220" s="35"/>
      <c r="AE220" s="33"/>
    </row>
    <row r="221" ht="15.75" customHeight="1">
      <c r="A221" s="33"/>
      <c r="H221" s="33"/>
      <c r="L221" s="33"/>
      <c r="N221" s="33"/>
      <c r="O221" s="33"/>
      <c r="P221" s="33"/>
      <c r="Q221" s="33"/>
      <c r="S221" s="33"/>
      <c r="U221" s="33"/>
      <c r="W221" s="33"/>
      <c r="X221" s="34"/>
      <c r="Y221" s="33"/>
      <c r="Z221" s="34"/>
      <c r="AA221" s="33"/>
      <c r="AB221" s="33"/>
      <c r="AC221" s="33"/>
      <c r="AD221" s="35"/>
      <c r="AE221" s="33"/>
    </row>
    <row r="222" ht="15.75" customHeight="1">
      <c r="A222" s="33"/>
      <c r="H222" s="33"/>
      <c r="L222" s="33"/>
      <c r="N222" s="33"/>
      <c r="O222" s="33"/>
      <c r="P222" s="33"/>
      <c r="Q222" s="33"/>
      <c r="S222" s="33"/>
      <c r="U222" s="33"/>
      <c r="W222" s="33"/>
      <c r="X222" s="34"/>
      <c r="Y222" s="33"/>
      <c r="Z222" s="34"/>
      <c r="AA222" s="33"/>
      <c r="AB222" s="33"/>
      <c r="AC222" s="33"/>
      <c r="AD222" s="35"/>
      <c r="AE222" s="33"/>
    </row>
    <row r="223" ht="15.75" customHeight="1">
      <c r="A223" s="33"/>
      <c r="H223" s="33"/>
      <c r="L223" s="33"/>
      <c r="N223" s="33"/>
      <c r="O223" s="33"/>
      <c r="P223" s="33"/>
      <c r="Q223" s="33"/>
      <c r="S223" s="33"/>
      <c r="U223" s="33"/>
      <c r="W223" s="33"/>
      <c r="X223" s="34"/>
      <c r="Y223" s="33"/>
      <c r="Z223" s="34"/>
      <c r="AA223" s="33"/>
      <c r="AB223" s="33"/>
      <c r="AC223" s="33"/>
      <c r="AD223" s="35"/>
      <c r="AE223" s="33"/>
    </row>
    <row r="224" ht="15.75" customHeight="1">
      <c r="A224" s="33"/>
      <c r="H224" s="33"/>
      <c r="L224" s="33"/>
      <c r="N224" s="33"/>
      <c r="O224" s="33"/>
      <c r="P224" s="33"/>
      <c r="Q224" s="33"/>
      <c r="S224" s="33"/>
      <c r="U224" s="33"/>
      <c r="W224" s="33"/>
      <c r="X224" s="34"/>
      <c r="Y224" s="33"/>
      <c r="Z224" s="34"/>
      <c r="AA224" s="33"/>
      <c r="AB224" s="33"/>
      <c r="AC224" s="33"/>
      <c r="AD224" s="35"/>
      <c r="AE224" s="33"/>
    </row>
    <row r="225" ht="15.75" customHeight="1">
      <c r="A225" s="33"/>
      <c r="H225" s="33"/>
      <c r="L225" s="33"/>
      <c r="N225" s="33"/>
      <c r="O225" s="33"/>
      <c r="P225" s="33"/>
      <c r="Q225" s="33"/>
      <c r="S225" s="33"/>
      <c r="U225" s="33"/>
      <c r="W225" s="33"/>
      <c r="X225" s="34"/>
      <c r="Y225" s="33"/>
      <c r="Z225" s="34"/>
      <c r="AA225" s="33"/>
      <c r="AB225" s="33"/>
      <c r="AC225" s="33"/>
      <c r="AD225" s="35"/>
      <c r="AE225" s="33"/>
    </row>
    <row r="226" ht="15.75" customHeight="1">
      <c r="A226" s="33"/>
      <c r="H226" s="33"/>
      <c r="L226" s="33"/>
      <c r="N226" s="33"/>
      <c r="O226" s="33"/>
      <c r="P226" s="33"/>
      <c r="Q226" s="33"/>
      <c r="S226" s="33"/>
      <c r="U226" s="33"/>
      <c r="W226" s="33"/>
      <c r="X226" s="34"/>
      <c r="Y226" s="33"/>
      <c r="Z226" s="34"/>
      <c r="AA226" s="33"/>
      <c r="AB226" s="33"/>
      <c r="AC226" s="33"/>
      <c r="AD226" s="35"/>
      <c r="AE226" s="33"/>
    </row>
    <row r="227" ht="15.75" customHeight="1">
      <c r="A227" s="33"/>
      <c r="H227" s="33"/>
      <c r="L227" s="33"/>
      <c r="N227" s="33"/>
      <c r="O227" s="33"/>
      <c r="P227" s="33"/>
      <c r="Q227" s="33"/>
      <c r="S227" s="33"/>
      <c r="U227" s="33"/>
      <c r="W227" s="33"/>
      <c r="X227" s="34"/>
      <c r="Y227" s="33"/>
      <c r="Z227" s="34"/>
      <c r="AA227" s="33"/>
      <c r="AB227" s="33"/>
      <c r="AC227" s="33"/>
      <c r="AD227" s="35"/>
      <c r="AE227" s="33"/>
    </row>
    <row r="228" ht="15.75" customHeight="1">
      <c r="A228" s="33"/>
      <c r="H228" s="33"/>
      <c r="L228" s="33"/>
      <c r="N228" s="33"/>
      <c r="O228" s="33"/>
      <c r="P228" s="33"/>
      <c r="Q228" s="33"/>
      <c r="S228" s="33"/>
      <c r="U228" s="33"/>
      <c r="W228" s="33"/>
      <c r="X228" s="34"/>
      <c r="Y228" s="33"/>
      <c r="Z228" s="34"/>
      <c r="AA228" s="33"/>
      <c r="AB228" s="33"/>
      <c r="AC228" s="33"/>
      <c r="AD228" s="35"/>
      <c r="AE228" s="33"/>
    </row>
    <row r="229" ht="15.75" customHeight="1">
      <c r="A229" s="33"/>
      <c r="H229" s="33"/>
      <c r="L229" s="33"/>
      <c r="N229" s="33"/>
      <c r="O229" s="33"/>
      <c r="P229" s="33"/>
      <c r="Q229" s="33"/>
      <c r="S229" s="33"/>
      <c r="U229" s="33"/>
      <c r="W229" s="33"/>
      <c r="X229" s="34"/>
      <c r="Y229" s="33"/>
      <c r="Z229" s="34"/>
      <c r="AA229" s="33"/>
      <c r="AB229" s="33"/>
      <c r="AC229" s="33"/>
      <c r="AD229" s="35"/>
      <c r="AE229" s="33"/>
    </row>
    <row r="230" ht="15.75" customHeight="1">
      <c r="A230" s="33"/>
      <c r="H230" s="33"/>
      <c r="L230" s="33"/>
      <c r="N230" s="33"/>
      <c r="O230" s="33"/>
      <c r="P230" s="33"/>
      <c r="Q230" s="33"/>
      <c r="S230" s="33"/>
      <c r="U230" s="33"/>
      <c r="W230" s="33"/>
      <c r="X230" s="34"/>
      <c r="Y230" s="33"/>
      <c r="Z230" s="34"/>
      <c r="AA230" s="33"/>
      <c r="AB230" s="33"/>
      <c r="AC230" s="33"/>
      <c r="AD230" s="35"/>
      <c r="AE230" s="33"/>
    </row>
    <row r="231" ht="15.75" customHeight="1">
      <c r="A231" s="33"/>
      <c r="H231" s="33"/>
      <c r="L231" s="33"/>
      <c r="N231" s="33"/>
      <c r="O231" s="33"/>
      <c r="P231" s="33"/>
      <c r="Q231" s="33"/>
      <c r="S231" s="33"/>
      <c r="U231" s="33"/>
      <c r="W231" s="33"/>
      <c r="X231" s="34"/>
      <c r="Y231" s="33"/>
      <c r="Z231" s="34"/>
      <c r="AA231" s="33"/>
      <c r="AB231" s="33"/>
      <c r="AC231" s="33"/>
      <c r="AD231" s="35"/>
      <c r="AE231" s="33"/>
    </row>
    <row r="232" ht="15.75" customHeight="1">
      <c r="A232" s="33"/>
      <c r="H232" s="33"/>
      <c r="L232" s="33"/>
      <c r="N232" s="33"/>
      <c r="O232" s="33"/>
      <c r="P232" s="33"/>
      <c r="Q232" s="33"/>
      <c r="S232" s="33"/>
      <c r="U232" s="33"/>
      <c r="W232" s="33"/>
      <c r="X232" s="34"/>
      <c r="Y232" s="33"/>
      <c r="Z232" s="34"/>
      <c r="AA232" s="33"/>
      <c r="AB232" s="33"/>
      <c r="AC232" s="33"/>
      <c r="AD232" s="35"/>
      <c r="AE232" s="33"/>
    </row>
    <row r="233" ht="15.75" customHeight="1">
      <c r="A233" s="33"/>
      <c r="H233" s="33"/>
      <c r="L233" s="33"/>
      <c r="N233" s="33"/>
      <c r="O233" s="33"/>
      <c r="P233" s="33"/>
      <c r="Q233" s="33"/>
      <c r="S233" s="33"/>
      <c r="U233" s="33"/>
      <c r="W233" s="33"/>
      <c r="X233" s="34"/>
      <c r="Y233" s="33"/>
      <c r="Z233" s="34"/>
      <c r="AA233" s="33"/>
      <c r="AB233" s="33"/>
      <c r="AC233" s="33"/>
      <c r="AD233" s="35"/>
      <c r="AE233" s="33"/>
    </row>
    <row r="234" ht="15.75" customHeight="1">
      <c r="A234" s="33"/>
      <c r="H234" s="33"/>
      <c r="L234" s="33"/>
      <c r="N234" s="33"/>
      <c r="O234" s="33"/>
      <c r="P234" s="33"/>
      <c r="Q234" s="33"/>
      <c r="S234" s="33"/>
      <c r="U234" s="33"/>
      <c r="W234" s="33"/>
      <c r="X234" s="34"/>
      <c r="Y234" s="33"/>
      <c r="Z234" s="34"/>
      <c r="AA234" s="33"/>
      <c r="AB234" s="33"/>
      <c r="AC234" s="33"/>
      <c r="AD234" s="35"/>
      <c r="AE234" s="33"/>
    </row>
    <row r="235" ht="15.75" customHeight="1">
      <c r="A235" s="33"/>
      <c r="H235" s="33"/>
      <c r="L235" s="33"/>
      <c r="N235" s="33"/>
      <c r="O235" s="33"/>
      <c r="P235" s="33"/>
      <c r="Q235" s="33"/>
      <c r="S235" s="33"/>
      <c r="U235" s="33"/>
      <c r="W235" s="33"/>
      <c r="X235" s="34"/>
      <c r="Y235" s="33"/>
      <c r="Z235" s="34"/>
      <c r="AA235" s="33"/>
      <c r="AB235" s="33"/>
      <c r="AC235" s="33"/>
      <c r="AD235" s="35"/>
      <c r="AE235" s="33"/>
    </row>
    <row r="236" ht="15.75" customHeight="1">
      <c r="A236" s="33"/>
      <c r="H236" s="33"/>
      <c r="L236" s="33"/>
      <c r="N236" s="33"/>
      <c r="O236" s="33"/>
      <c r="P236" s="33"/>
      <c r="Q236" s="33"/>
      <c r="S236" s="33"/>
      <c r="U236" s="33"/>
      <c r="W236" s="33"/>
      <c r="X236" s="34"/>
      <c r="Y236" s="33"/>
      <c r="Z236" s="34"/>
      <c r="AA236" s="33"/>
      <c r="AB236" s="33"/>
      <c r="AC236" s="33"/>
      <c r="AD236" s="35"/>
      <c r="AE236" s="33"/>
    </row>
    <row r="237" ht="15.75" customHeight="1">
      <c r="A237" s="33"/>
      <c r="H237" s="33"/>
      <c r="L237" s="33"/>
      <c r="N237" s="33"/>
      <c r="O237" s="33"/>
      <c r="P237" s="33"/>
      <c r="Q237" s="33"/>
      <c r="S237" s="33"/>
      <c r="U237" s="33"/>
      <c r="W237" s="33"/>
      <c r="X237" s="34"/>
      <c r="Y237" s="33"/>
      <c r="Z237" s="34"/>
      <c r="AA237" s="33"/>
      <c r="AB237" s="33"/>
      <c r="AC237" s="33"/>
      <c r="AD237" s="35"/>
      <c r="AE237" s="33"/>
    </row>
    <row r="238" ht="15.75" customHeight="1">
      <c r="A238" s="33"/>
      <c r="H238" s="33"/>
      <c r="L238" s="33"/>
      <c r="N238" s="33"/>
      <c r="O238" s="33"/>
      <c r="P238" s="33"/>
      <c r="Q238" s="33"/>
      <c r="S238" s="33"/>
      <c r="U238" s="33"/>
      <c r="W238" s="33"/>
      <c r="X238" s="34"/>
      <c r="Y238" s="33"/>
      <c r="Z238" s="34"/>
      <c r="AA238" s="33"/>
      <c r="AB238" s="33"/>
      <c r="AC238" s="33"/>
      <c r="AD238" s="35"/>
      <c r="AE238" s="33"/>
    </row>
    <row r="239" ht="15.75" customHeight="1">
      <c r="A239" s="33"/>
      <c r="H239" s="33"/>
      <c r="L239" s="33"/>
      <c r="N239" s="33"/>
      <c r="O239" s="33"/>
      <c r="P239" s="33"/>
      <c r="Q239" s="33"/>
      <c r="S239" s="33"/>
      <c r="U239" s="33"/>
      <c r="W239" s="33"/>
      <c r="X239" s="34"/>
      <c r="Y239" s="33"/>
      <c r="Z239" s="34"/>
      <c r="AA239" s="33"/>
      <c r="AB239" s="33"/>
      <c r="AC239" s="33"/>
      <c r="AD239" s="35"/>
      <c r="AE239" s="33"/>
    </row>
    <row r="240" ht="15.75" customHeight="1">
      <c r="A240" s="33"/>
      <c r="H240" s="33"/>
      <c r="L240" s="33"/>
      <c r="N240" s="33"/>
      <c r="O240" s="33"/>
      <c r="P240" s="33"/>
      <c r="Q240" s="33"/>
      <c r="S240" s="33"/>
      <c r="U240" s="33"/>
      <c r="W240" s="33"/>
      <c r="X240" s="34"/>
      <c r="Y240" s="33"/>
      <c r="Z240" s="34"/>
      <c r="AA240" s="33"/>
      <c r="AB240" s="33"/>
      <c r="AC240" s="33"/>
      <c r="AD240" s="35"/>
      <c r="AE240" s="33"/>
    </row>
    <row r="241" ht="15.75" customHeight="1">
      <c r="A241" s="33"/>
      <c r="H241" s="33"/>
      <c r="L241" s="33"/>
      <c r="N241" s="33"/>
      <c r="O241" s="33"/>
      <c r="P241" s="33"/>
      <c r="Q241" s="33"/>
      <c r="S241" s="33"/>
      <c r="U241" s="33"/>
      <c r="W241" s="33"/>
      <c r="X241" s="34"/>
      <c r="Y241" s="33"/>
      <c r="Z241" s="34"/>
      <c r="AA241" s="33"/>
      <c r="AB241" s="33"/>
      <c r="AC241" s="33"/>
      <c r="AD241" s="35"/>
      <c r="AE241" s="33"/>
    </row>
    <row r="242" ht="15.75" customHeight="1">
      <c r="A242" s="33"/>
      <c r="H242" s="33"/>
      <c r="L242" s="33"/>
      <c r="N242" s="33"/>
      <c r="O242" s="33"/>
      <c r="P242" s="33"/>
      <c r="Q242" s="33"/>
      <c r="S242" s="33"/>
      <c r="U242" s="33"/>
      <c r="W242" s="33"/>
      <c r="X242" s="34"/>
      <c r="Y242" s="33"/>
      <c r="Z242" s="34"/>
      <c r="AA242" s="33"/>
      <c r="AB242" s="33"/>
      <c r="AC242" s="33"/>
      <c r="AD242" s="35"/>
      <c r="AE242" s="33"/>
    </row>
    <row r="243" ht="15.75" customHeight="1">
      <c r="A243" s="33"/>
      <c r="H243" s="33"/>
      <c r="L243" s="33"/>
      <c r="N243" s="33"/>
      <c r="O243" s="33"/>
      <c r="P243" s="33"/>
      <c r="Q243" s="33"/>
      <c r="S243" s="33"/>
      <c r="U243" s="33"/>
      <c r="W243" s="33"/>
      <c r="X243" s="34"/>
      <c r="Y243" s="33"/>
      <c r="Z243" s="34"/>
      <c r="AA243" s="33"/>
      <c r="AB243" s="33"/>
      <c r="AC243" s="33"/>
      <c r="AD243" s="35"/>
      <c r="AE243" s="33"/>
    </row>
    <row r="244" ht="15.75" customHeight="1">
      <c r="A244" s="33"/>
      <c r="H244" s="33"/>
      <c r="L244" s="33"/>
      <c r="N244" s="33"/>
      <c r="O244" s="33"/>
      <c r="P244" s="33"/>
      <c r="Q244" s="33"/>
      <c r="S244" s="33"/>
      <c r="U244" s="33"/>
      <c r="W244" s="33"/>
      <c r="X244" s="34"/>
      <c r="Y244" s="33"/>
      <c r="Z244" s="34"/>
      <c r="AA244" s="33"/>
      <c r="AB244" s="33"/>
      <c r="AC244" s="33"/>
      <c r="AD244" s="35"/>
      <c r="AE244" s="33"/>
    </row>
    <row r="245" ht="15.75" customHeight="1">
      <c r="A245" s="33"/>
      <c r="H245" s="33"/>
      <c r="L245" s="33"/>
      <c r="N245" s="33"/>
      <c r="O245" s="33"/>
      <c r="P245" s="33"/>
      <c r="Q245" s="33"/>
      <c r="S245" s="33"/>
      <c r="U245" s="33"/>
      <c r="W245" s="33"/>
      <c r="X245" s="34"/>
      <c r="Y245" s="33"/>
      <c r="Z245" s="34"/>
      <c r="AA245" s="33"/>
      <c r="AB245" s="33"/>
      <c r="AC245" s="33"/>
      <c r="AD245" s="35"/>
      <c r="AE245" s="33"/>
    </row>
    <row r="246" ht="15.75" customHeight="1">
      <c r="A246" s="33"/>
      <c r="H246" s="33"/>
      <c r="L246" s="33"/>
      <c r="N246" s="33"/>
      <c r="O246" s="33"/>
      <c r="P246" s="33"/>
      <c r="Q246" s="33"/>
      <c r="S246" s="33"/>
      <c r="U246" s="33"/>
      <c r="W246" s="33"/>
      <c r="X246" s="34"/>
      <c r="Y246" s="33"/>
      <c r="Z246" s="34"/>
      <c r="AA246" s="33"/>
      <c r="AB246" s="33"/>
      <c r="AC246" s="33"/>
      <c r="AD246" s="35"/>
      <c r="AE246" s="33"/>
    </row>
    <row r="247" ht="15.75" customHeight="1">
      <c r="A247" s="33"/>
      <c r="H247" s="33"/>
      <c r="L247" s="33"/>
      <c r="N247" s="33"/>
      <c r="O247" s="33"/>
      <c r="P247" s="33"/>
      <c r="Q247" s="33"/>
      <c r="S247" s="33"/>
      <c r="U247" s="33"/>
      <c r="W247" s="33"/>
      <c r="X247" s="34"/>
      <c r="Y247" s="33"/>
      <c r="Z247" s="34"/>
      <c r="AA247" s="33"/>
      <c r="AB247" s="33"/>
      <c r="AC247" s="33"/>
      <c r="AD247" s="35"/>
      <c r="AE247" s="33"/>
    </row>
    <row r="248" ht="15.75" customHeight="1">
      <c r="A248" s="33"/>
      <c r="H248" s="33"/>
      <c r="L248" s="33"/>
      <c r="N248" s="33"/>
      <c r="O248" s="33"/>
      <c r="P248" s="33"/>
      <c r="Q248" s="33"/>
      <c r="S248" s="33"/>
      <c r="U248" s="33"/>
      <c r="W248" s="33"/>
      <c r="X248" s="34"/>
      <c r="Y248" s="33"/>
      <c r="Z248" s="34"/>
      <c r="AA248" s="33"/>
      <c r="AB248" s="33"/>
      <c r="AC248" s="33"/>
      <c r="AD248" s="35"/>
      <c r="AE248" s="33"/>
    </row>
    <row r="249" ht="15.75" customHeight="1">
      <c r="A249" s="33"/>
      <c r="H249" s="33"/>
      <c r="L249" s="33"/>
      <c r="N249" s="33"/>
      <c r="O249" s="33"/>
      <c r="P249" s="33"/>
      <c r="Q249" s="33"/>
      <c r="S249" s="33"/>
      <c r="U249" s="33"/>
      <c r="W249" s="33"/>
      <c r="X249" s="34"/>
      <c r="Y249" s="33"/>
      <c r="Z249" s="34"/>
      <c r="AA249" s="33"/>
      <c r="AB249" s="33"/>
      <c r="AC249" s="33"/>
      <c r="AD249" s="35"/>
      <c r="AE249" s="33"/>
    </row>
    <row r="250" ht="15.75" customHeight="1">
      <c r="A250" s="33"/>
      <c r="H250" s="33"/>
      <c r="L250" s="33"/>
      <c r="N250" s="33"/>
      <c r="O250" s="33"/>
      <c r="P250" s="33"/>
      <c r="Q250" s="33"/>
      <c r="S250" s="33"/>
      <c r="U250" s="33"/>
      <c r="W250" s="33"/>
      <c r="X250" s="34"/>
      <c r="Y250" s="33"/>
      <c r="Z250" s="34"/>
      <c r="AA250" s="33"/>
      <c r="AB250" s="33"/>
      <c r="AC250" s="33"/>
      <c r="AD250" s="35"/>
      <c r="AE250" s="33"/>
    </row>
    <row r="251" ht="15.75" customHeight="1">
      <c r="A251" s="33"/>
      <c r="H251" s="33"/>
      <c r="L251" s="33"/>
      <c r="N251" s="33"/>
      <c r="O251" s="33"/>
      <c r="P251" s="33"/>
      <c r="Q251" s="33"/>
      <c r="S251" s="33"/>
      <c r="U251" s="33"/>
      <c r="W251" s="33"/>
      <c r="X251" s="34"/>
      <c r="Y251" s="33"/>
      <c r="Z251" s="34"/>
      <c r="AA251" s="33"/>
      <c r="AB251" s="33"/>
      <c r="AC251" s="33"/>
      <c r="AD251" s="35"/>
      <c r="AE251" s="33"/>
    </row>
    <row r="252" ht="15.75" customHeight="1">
      <c r="A252" s="33"/>
      <c r="H252" s="33"/>
      <c r="L252" s="33"/>
      <c r="N252" s="33"/>
      <c r="O252" s="33"/>
      <c r="P252" s="33"/>
      <c r="Q252" s="33"/>
      <c r="S252" s="33"/>
      <c r="U252" s="33"/>
      <c r="W252" s="33"/>
      <c r="X252" s="34"/>
      <c r="Y252" s="33"/>
      <c r="Z252" s="34"/>
      <c r="AA252" s="33"/>
      <c r="AB252" s="33"/>
      <c r="AC252" s="33"/>
      <c r="AD252" s="35"/>
      <c r="AE252" s="33"/>
    </row>
    <row r="253" ht="15.75" customHeight="1">
      <c r="A253" s="33"/>
      <c r="H253" s="33"/>
      <c r="L253" s="33"/>
      <c r="N253" s="33"/>
      <c r="O253" s="33"/>
      <c r="P253" s="33"/>
      <c r="Q253" s="33"/>
      <c r="S253" s="33"/>
      <c r="U253" s="33"/>
      <c r="W253" s="33"/>
      <c r="X253" s="34"/>
      <c r="Y253" s="33"/>
      <c r="Z253" s="34"/>
      <c r="AA253" s="33"/>
      <c r="AB253" s="33"/>
      <c r="AC253" s="33"/>
      <c r="AD253" s="35"/>
      <c r="AE253" s="33"/>
    </row>
    <row r="254" ht="15.75" customHeight="1">
      <c r="A254" s="33"/>
      <c r="H254" s="33"/>
      <c r="L254" s="33"/>
      <c r="N254" s="33"/>
      <c r="O254" s="33"/>
      <c r="P254" s="33"/>
      <c r="Q254" s="33"/>
      <c r="S254" s="33"/>
      <c r="U254" s="33"/>
      <c r="W254" s="33"/>
      <c r="X254" s="34"/>
      <c r="Y254" s="33"/>
      <c r="Z254" s="34"/>
      <c r="AA254" s="33"/>
      <c r="AB254" s="33"/>
      <c r="AC254" s="33"/>
      <c r="AD254" s="35"/>
      <c r="AE254" s="33"/>
    </row>
    <row r="255" ht="15.75" customHeight="1">
      <c r="A255" s="33"/>
      <c r="H255" s="33"/>
      <c r="L255" s="33"/>
      <c r="N255" s="33"/>
      <c r="O255" s="33"/>
      <c r="P255" s="33"/>
      <c r="Q255" s="33"/>
      <c r="S255" s="33"/>
      <c r="U255" s="33"/>
      <c r="W255" s="33"/>
      <c r="X255" s="34"/>
      <c r="Y255" s="33"/>
      <c r="Z255" s="34"/>
      <c r="AA255" s="33"/>
      <c r="AB255" s="33"/>
      <c r="AC255" s="33"/>
      <c r="AD255" s="35"/>
      <c r="AE255" s="33"/>
    </row>
    <row r="256" ht="15.75" customHeight="1">
      <c r="A256" s="33"/>
      <c r="H256" s="33"/>
      <c r="L256" s="33"/>
      <c r="N256" s="33"/>
      <c r="O256" s="33"/>
      <c r="P256" s="33"/>
      <c r="Q256" s="33"/>
      <c r="S256" s="33"/>
      <c r="U256" s="33"/>
      <c r="W256" s="33"/>
      <c r="X256" s="34"/>
      <c r="Y256" s="33"/>
      <c r="Z256" s="34"/>
      <c r="AA256" s="33"/>
      <c r="AB256" s="33"/>
      <c r="AC256" s="33"/>
      <c r="AD256" s="35"/>
      <c r="AE256" s="33"/>
    </row>
    <row r="257" ht="15.75" customHeight="1">
      <c r="A257" s="33"/>
      <c r="H257" s="33"/>
      <c r="L257" s="33"/>
      <c r="N257" s="33"/>
      <c r="O257" s="33"/>
      <c r="P257" s="33"/>
      <c r="Q257" s="33"/>
      <c r="S257" s="33"/>
      <c r="U257" s="33"/>
      <c r="W257" s="33"/>
      <c r="X257" s="34"/>
      <c r="Y257" s="33"/>
      <c r="Z257" s="34"/>
      <c r="AA257" s="33"/>
      <c r="AB257" s="33"/>
      <c r="AC257" s="33"/>
      <c r="AD257" s="35"/>
      <c r="AE257" s="33"/>
    </row>
    <row r="258" ht="15.75" customHeight="1">
      <c r="A258" s="33"/>
      <c r="H258" s="33"/>
      <c r="L258" s="33"/>
      <c r="N258" s="33"/>
      <c r="O258" s="33"/>
      <c r="P258" s="33"/>
      <c r="Q258" s="33"/>
      <c r="S258" s="33"/>
      <c r="U258" s="33"/>
      <c r="W258" s="33"/>
      <c r="X258" s="34"/>
      <c r="Y258" s="33"/>
      <c r="Z258" s="34"/>
      <c r="AA258" s="33"/>
      <c r="AB258" s="33"/>
      <c r="AC258" s="33"/>
      <c r="AD258" s="35"/>
      <c r="AE258" s="33"/>
    </row>
    <row r="259" ht="15.75" customHeight="1">
      <c r="A259" s="33"/>
      <c r="H259" s="33"/>
      <c r="L259" s="33"/>
      <c r="N259" s="33"/>
      <c r="O259" s="33"/>
      <c r="P259" s="33"/>
      <c r="Q259" s="33"/>
      <c r="S259" s="33"/>
      <c r="U259" s="33"/>
      <c r="W259" s="33"/>
      <c r="X259" s="34"/>
      <c r="Y259" s="33"/>
      <c r="Z259" s="34"/>
      <c r="AA259" s="33"/>
      <c r="AB259" s="33"/>
      <c r="AC259" s="33"/>
      <c r="AD259" s="35"/>
      <c r="AE259" s="33"/>
    </row>
    <row r="260" ht="15.75" customHeight="1">
      <c r="A260" s="33"/>
      <c r="H260" s="33"/>
      <c r="L260" s="33"/>
      <c r="N260" s="33"/>
      <c r="O260" s="33"/>
      <c r="P260" s="33"/>
      <c r="Q260" s="33"/>
      <c r="S260" s="33"/>
      <c r="U260" s="33"/>
      <c r="W260" s="33"/>
      <c r="X260" s="34"/>
      <c r="Y260" s="33"/>
      <c r="Z260" s="34"/>
      <c r="AA260" s="33"/>
      <c r="AB260" s="33"/>
      <c r="AC260" s="33"/>
      <c r="AD260" s="35"/>
      <c r="AE260" s="33"/>
    </row>
    <row r="261" ht="15.75" customHeight="1">
      <c r="A261" s="33"/>
      <c r="H261" s="33"/>
      <c r="L261" s="33"/>
      <c r="N261" s="33"/>
      <c r="O261" s="33"/>
      <c r="P261" s="33"/>
      <c r="Q261" s="33"/>
      <c r="S261" s="33"/>
      <c r="U261" s="33"/>
      <c r="W261" s="33"/>
      <c r="X261" s="34"/>
      <c r="Y261" s="33"/>
      <c r="Z261" s="34"/>
      <c r="AA261" s="33"/>
      <c r="AB261" s="33"/>
      <c r="AC261" s="33"/>
      <c r="AD261" s="35"/>
      <c r="AE261" s="33"/>
    </row>
    <row r="262" ht="15.75" customHeight="1">
      <c r="A262" s="33"/>
      <c r="H262" s="33"/>
      <c r="L262" s="33"/>
      <c r="N262" s="33"/>
      <c r="O262" s="33"/>
      <c r="P262" s="33"/>
      <c r="Q262" s="33"/>
      <c r="S262" s="33"/>
      <c r="U262" s="33"/>
      <c r="W262" s="33"/>
      <c r="X262" s="34"/>
      <c r="Y262" s="33"/>
      <c r="Z262" s="34"/>
      <c r="AA262" s="33"/>
      <c r="AB262" s="33"/>
      <c r="AC262" s="33"/>
      <c r="AD262" s="35"/>
      <c r="AE262" s="33"/>
    </row>
    <row r="263" ht="15.75" customHeight="1">
      <c r="A263" s="33"/>
      <c r="H263" s="33"/>
      <c r="L263" s="33"/>
      <c r="N263" s="33"/>
      <c r="O263" s="33"/>
      <c r="P263" s="33"/>
      <c r="Q263" s="33"/>
      <c r="S263" s="33"/>
      <c r="U263" s="33"/>
      <c r="W263" s="33"/>
      <c r="X263" s="34"/>
      <c r="Y263" s="33"/>
      <c r="Z263" s="34"/>
      <c r="AA263" s="33"/>
      <c r="AB263" s="33"/>
      <c r="AC263" s="33"/>
      <c r="AD263" s="35"/>
      <c r="AE263" s="33"/>
    </row>
    <row r="264" ht="15.75" customHeight="1">
      <c r="A264" s="33"/>
      <c r="H264" s="33"/>
      <c r="L264" s="33"/>
      <c r="N264" s="33"/>
      <c r="O264" s="33"/>
      <c r="P264" s="33"/>
      <c r="Q264" s="33"/>
      <c r="S264" s="33"/>
      <c r="U264" s="33"/>
      <c r="W264" s="33"/>
      <c r="X264" s="34"/>
      <c r="Y264" s="33"/>
      <c r="Z264" s="34"/>
      <c r="AA264" s="33"/>
      <c r="AB264" s="33"/>
      <c r="AC264" s="33"/>
      <c r="AD264" s="35"/>
      <c r="AE264" s="33"/>
    </row>
    <row r="265" ht="15.75" customHeight="1">
      <c r="A265" s="33"/>
      <c r="H265" s="33"/>
      <c r="L265" s="33"/>
      <c r="N265" s="33"/>
      <c r="O265" s="33"/>
      <c r="P265" s="33"/>
      <c r="Q265" s="33"/>
      <c r="S265" s="33"/>
      <c r="U265" s="33"/>
      <c r="W265" s="33"/>
      <c r="X265" s="34"/>
      <c r="Y265" s="33"/>
      <c r="Z265" s="34"/>
      <c r="AA265" s="33"/>
      <c r="AB265" s="33"/>
      <c r="AC265" s="33"/>
      <c r="AD265" s="35"/>
      <c r="AE265" s="33"/>
    </row>
    <row r="266" ht="15.75" customHeight="1">
      <c r="A266" s="33"/>
      <c r="H266" s="33"/>
      <c r="L266" s="33"/>
      <c r="N266" s="33"/>
      <c r="O266" s="33"/>
      <c r="P266" s="33"/>
      <c r="Q266" s="33"/>
      <c r="S266" s="33"/>
      <c r="U266" s="33"/>
      <c r="W266" s="33"/>
      <c r="X266" s="34"/>
      <c r="Y266" s="33"/>
      <c r="Z266" s="34"/>
      <c r="AA266" s="33"/>
      <c r="AB266" s="33"/>
      <c r="AC266" s="33"/>
      <c r="AD266" s="35"/>
      <c r="AE266" s="33"/>
    </row>
    <row r="267" ht="15.75" customHeight="1">
      <c r="A267" s="33"/>
      <c r="H267" s="33"/>
      <c r="L267" s="33"/>
      <c r="N267" s="33"/>
      <c r="O267" s="33"/>
      <c r="P267" s="33"/>
      <c r="Q267" s="33"/>
      <c r="S267" s="33"/>
      <c r="U267" s="33"/>
      <c r="W267" s="33"/>
      <c r="X267" s="34"/>
      <c r="Y267" s="33"/>
      <c r="Z267" s="34"/>
      <c r="AA267" s="33"/>
      <c r="AB267" s="33"/>
      <c r="AC267" s="33"/>
      <c r="AD267" s="35"/>
      <c r="AE267" s="33"/>
    </row>
    <row r="268" ht="15.75" customHeight="1">
      <c r="A268" s="33"/>
      <c r="H268" s="33"/>
      <c r="L268" s="33"/>
      <c r="N268" s="33"/>
      <c r="O268" s="33"/>
      <c r="P268" s="33"/>
      <c r="Q268" s="33"/>
      <c r="S268" s="33"/>
      <c r="U268" s="33"/>
      <c r="W268" s="33"/>
      <c r="X268" s="34"/>
      <c r="Y268" s="33"/>
      <c r="Z268" s="34"/>
      <c r="AA268" s="33"/>
      <c r="AB268" s="33"/>
      <c r="AC268" s="33"/>
      <c r="AD268" s="35"/>
      <c r="AE268" s="33"/>
    </row>
    <row r="269" ht="15.75" customHeight="1">
      <c r="A269" s="33"/>
      <c r="H269" s="33"/>
      <c r="L269" s="33"/>
      <c r="N269" s="33"/>
      <c r="O269" s="33"/>
      <c r="P269" s="33"/>
      <c r="Q269" s="33"/>
      <c r="S269" s="33"/>
      <c r="U269" s="33"/>
      <c r="W269" s="33"/>
      <c r="X269" s="34"/>
      <c r="Y269" s="33"/>
      <c r="Z269" s="34"/>
      <c r="AA269" s="33"/>
      <c r="AB269" s="33"/>
      <c r="AC269" s="33"/>
      <c r="AD269" s="35"/>
      <c r="AE269" s="33"/>
    </row>
    <row r="270" ht="15.75" customHeight="1">
      <c r="A270" s="33"/>
      <c r="H270" s="33"/>
      <c r="L270" s="33"/>
      <c r="N270" s="33"/>
      <c r="O270" s="33"/>
      <c r="P270" s="33"/>
      <c r="Q270" s="33"/>
      <c r="S270" s="33"/>
      <c r="U270" s="33"/>
      <c r="W270" s="33"/>
      <c r="X270" s="34"/>
      <c r="Y270" s="33"/>
      <c r="Z270" s="34"/>
      <c r="AA270" s="33"/>
      <c r="AB270" s="33"/>
      <c r="AC270" s="33"/>
      <c r="AD270" s="35"/>
      <c r="AE270" s="33"/>
    </row>
    <row r="271" ht="15.75" customHeight="1">
      <c r="A271" s="33"/>
      <c r="H271" s="33"/>
      <c r="L271" s="33"/>
      <c r="N271" s="33"/>
      <c r="O271" s="33"/>
      <c r="P271" s="33"/>
      <c r="Q271" s="33"/>
      <c r="S271" s="33"/>
      <c r="U271" s="33"/>
      <c r="W271" s="33"/>
      <c r="X271" s="34"/>
      <c r="Y271" s="33"/>
      <c r="Z271" s="34"/>
      <c r="AA271" s="33"/>
      <c r="AB271" s="33"/>
      <c r="AC271" s="33"/>
      <c r="AD271" s="35"/>
      <c r="AE271" s="33"/>
    </row>
    <row r="272" ht="15.75" customHeight="1">
      <c r="A272" s="33"/>
      <c r="H272" s="33"/>
      <c r="L272" s="33"/>
      <c r="N272" s="33"/>
      <c r="O272" s="33"/>
      <c r="P272" s="33"/>
      <c r="Q272" s="33"/>
      <c r="S272" s="33"/>
      <c r="U272" s="33"/>
      <c r="W272" s="33"/>
      <c r="X272" s="34"/>
      <c r="Y272" s="33"/>
      <c r="Z272" s="34"/>
      <c r="AA272" s="33"/>
      <c r="AB272" s="33"/>
      <c r="AC272" s="33"/>
      <c r="AD272" s="35"/>
      <c r="AE272" s="33"/>
    </row>
    <row r="273" ht="15.75" customHeight="1">
      <c r="A273" s="33"/>
      <c r="H273" s="33"/>
      <c r="L273" s="33"/>
      <c r="N273" s="33"/>
      <c r="O273" s="33"/>
      <c r="P273" s="33"/>
      <c r="Q273" s="33"/>
      <c r="S273" s="33"/>
      <c r="U273" s="33"/>
      <c r="W273" s="33"/>
      <c r="X273" s="34"/>
      <c r="Y273" s="33"/>
      <c r="Z273" s="34"/>
      <c r="AA273" s="33"/>
      <c r="AB273" s="33"/>
      <c r="AC273" s="33"/>
      <c r="AD273" s="35"/>
      <c r="AE273" s="33"/>
    </row>
    <row r="274" ht="15.75" customHeight="1">
      <c r="A274" s="33"/>
      <c r="H274" s="33"/>
      <c r="L274" s="33"/>
      <c r="N274" s="33"/>
      <c r="O274" s="33"/>
      <c r="P274" s="33"/>
      <c r="Q274" s="33"/>
      <c r="S274" s="33"/>
      <c r="U274" s="33"/>
      <c r="W274" s="33"/>
      <c r="X274" s="34"/>
      <c r="Y274" s="33"/>
      <c r="Z274" s="34"/>
      <c r="AA274" s="33"/>
      <c r="AB274" s="33"/>
      <c r="AC274" s="33"/>
      <c r="AD274" s="35"/>
      <c r="AE274" s="33"/>
    </row>
    <row r="275" ht="15.75" customHeight="1">
      <c r="A275" s="33"/>
      <c r="H275" s="33"/>
      <c r="L275" s="33"/>
      <c r="N275" s="33"/>
      <c r="O275" s="33"/>
      <c r="P275" s="33"/>
      <c r="Q275" s="33"/>
      <c r="S275" s="33"/>
      <c r="U275" s="33"/>
      <c r="W275" s="33"/>
      <c r="X275" s="34"/>
      <c r="Y275" s="33"/>
      <c r="Z275" s="34"/>
      <c r="AA275" s="33"/>
      <c r="AB275" s="33"/>
      <c r="AC275" s="33"/>
      <c r="AD275" s="35"/>
      <c r="AE275" s="33"/>
    </row>
    <row r="276" ht="15.75" customHeight="1">
      <c r="A276" s="33"/>
      <c r="H276" s="33"/>
      <c r="L276" s="33"/>
      <c r="N276" s="33"/>
      <c r="O276" s="33"/>
      <c r="P276" s="33"/>
      <c r="Q276" s="33"/>
      <c r="S276" s="33"/>
      <c r="U276" s="33"/>
      <c r="W276" s="33"/>
      <c r="X276" s="34"/>
      <c r="Y276" s="33"/>
      <c r="Z276" s="34"/>
      <c r="AA276" s="33"/>
      <c r="AB276" s="33"/>
      <c r="AC276" s="33"/>
      <c r="AD276" s="35"/>
      <c r="AE276" s="33"/>
    </row>
    <row r="277" ht="15.75" customHeight="1">
      <c r="A277" s="33"/>
      <c r="H277" s="33"/>
      <c r="L277" s="33"/>
      <c r="N277" s="33"/>
      <c r="O277" s="33"/>
      <c r="P277" s="33"/>
      <c r="Q277" s="33"/>
      <c r="S277" s="33"/>
      <c r="U277" s="33"/>
      <c r="W277" s="33"/>
      <c r="X277" s="34"/>
      <c r="Y277" s="33"/>
      <c r="Z277" s="34"/>
      <c r="AA277" s="33"/>
      <c r="AB277" s="33"/>
      <c r="AC277" s="33"/>
      <c r="AD277" s="35"/>
      <c r="AE277" s="33"/>
    </row>
    <row r="278" ht="15.75" customHeight="1">
      <c r="A278" s="33"/>
      <c r="H278" s="33"/>
      <c r="L278" s="33"/>
      <c r="N278" s="33"/>
      <c r="O278" s="33"/>
      <c r="P278" s="33"/>
      <c r="Q278" s="33"/>
      <c r="S278" s="33"/>
      <c r="U278" s="33"/>
      <c r="W278" s="33"/>
      <c r="X278" s="34"/>
      <c r="Y278" s="33"/>
      <c r="Z278" s="34"/>
      <c r="AA278" s="33"/>
      <c r="AB278" s="33"/>
      <c r="AC278" s="33"/>
      <c r="AD278" s="35"/>
      <c r="AE278" s="33"/>
    </row>
    <row r="279" ht="15.75" customHeight="1">
      <c r="A279" s="33"/>
      <c r="H279" s="33"/>
      <c r="L279" s="33"/>
      <c r="N279" s="33"/>
      <c r="O279" s="33"/>
      <c r="P279" s="33"/>
      <c r="Q279" s="33"/>
      <c r="S279" s="33"/>
      <c r="U279" s="33"/>
      <c r="W279" s="33"/>
      <c r="X279" s="34"/>
      <c r="Y279" s="33"/>
      <c r="Z279" s="34"/>
      <c r="AA279" s="33"/>
      <c r="AB279" s="33"/>
      <c r="AC279" s="33"/>
      <c r="AD279" s="35"/>
      <c r="AE279" s="33"/>
    </row>
    <row r="280" ht="15.75" customHeight="1">
      <c r="A280" s="33"/>
      <c r="H280" s="33"/>
      <c r="L280" s="33"/>
      <c r="N280" s="33"/>
      <c r="O280" s="33"/>
      <c r="P280" s="33"/>
      <c r="Q280" s="33"/>
      <c r="S280" s="33"/>
      <c r="U280" s="33"/>
      <c r="W280" s="33"/>
      <c r="X280" s="34"/>
      <c r="Y280" s="33"/>
      <c r="Z280" s="34"/>
      <c r="AA280" s="33"/>
      <c r="AB280" s="33"/>
      <c r="AC280" s="33"/>
      <c r="AD280" s="35"/>
      <c r="AE280" s="33"/>
    </row>
    <row r="281" ht="15.75" customHeight="1">
      <c r="A281" s="33"/>
      <c r="H281" s="33"/>
      <c r="L281" s="33"/>
      <c r="N281" s="33"/>
      <c r="O281" s="33"/>
      <c r="P281" s="33"/>
      <c r="Q281" s="33"/>
      <c r="S281" s="33"/>
      <c r="U281" s="33"/>
      <c r="W281" s="33"/>
      <c r="X281" s="34"/>
      <c r="Y281" s="33"/>
      <c r="Z281" s="34"/>
      <c r="AA281" s="33"/>
      <c r="AB281" s="33"/>
      <c r="AC281" s="33"/>
      <c r="AD281" s="35"/>
      <c r="AE281" s="33"/>
    </row>
    <row r="282" ht="15.75" customHeight="1">
      <c r="A282" s="33"/>
      <c r="H282" s="33"/>
      <c r="L282" s="33"/>
      <c r="N282" s="33"/>
      <c r="O282" s="33"/>
      <c r="P282" s="33"/>
      <c r="Q282" s="33"/>
      <c r="S282" s="33"/>
      <c r="U282" s="33"/>
      <c r="W282" s="33"/>
      <c r="X282" s="34"/>
      <c r="Y282" s="33"/>
      <c r="Z282" s="34"/>
      <c r="AA282" s="33"/>
      <c r="AB282" s="33"/>
      <c r="AC282" s="33"/>
      <c r="AD282" s="35"/>
      <c r="AE282" s="33"/>
    </row>
    <row r="283" ht="15.75" customHeight="1">
      <c r="A283" s="33"/>
      <c r="H283" s="33"/>
      <c r="L283" s="33"/>
      <c r="N283" s="33"/>
      <c r="O283" s="33"/>
      <c r="P283" s="33"/>
      <c r="Q283" s="33"/>
      <c r="S283" s="33"/>
      <c r="U283" s="33"/>
      <c r="W283" s="33"/>
      <c r="X283" s="34"/>
      <c r="Y283" s="33"/>
      <c r="Z283" s="34"/>
      <c r="AA283" s="33"/>
      <c r="AB283" s="33"/>
      <c r="AC283" s="33"/>
      <c r="AD283" s="35"/>
      <c r="AE283" s="33"/>
    </row>
    <row r="284" ht="15.75" customHeight="1">
      <c r="A284" s="33"/>
      <c r="H284" s="33"/>
      <c r="L284" s="33"/>
      <c r="N284" s="33"/>
      <c r="O284" s="33"/>
      <c r="P284" s="33"/>
      <c r="Q284" s="33"/>
      <c r="S284" s="33"/>
      <c r="U284" s="33"/>
      <c r="W284" s="33"/>
      <c r="X284" s="34"/>
      <c r="Y284" s="33"/>
      <c r="Z284" s="34"/>
      <c r="AA284" s="33"/>
      <c r="AB284" s="33"/>
      <c r="AC284" s="33"/>
      <c r="AD284" s="35"/>
      <c r="AE284" s="33"/>
    </row>
    <row r="285" ht="15.75" customHeight="1">
      <c r="A285" s="33"/>
      <c r="H285" s="33"/>
      <c r="L285" s="33"/>
      <c r="N285" s="33"/>
      <c r="O285" s="33"/>
      <c r="P285" s="33"/>
      <c r="Q285" s="33"/>
      <c r="S285" s="33"/>
      <c r="U285" s="33"/>
      <c r="W285" s="33"/>
      <c r="X285" s="34"/>
      <c r="Y285" s="33"/>
      <c r="Z285" s="34"/>
      <c r="AA285" s="33"/>
      <c r="AB285" s="33"/>
      <c r="AC285" s="33"/>
      <c r="AD285" s="35"/>
      <c r="AE285" s="33"/>
    </row>
    <row r="286" ht="15.75" customHeight="1">
      <c r="A286" s="33"/>
      <c r="H286" s="33"/>
      <c r="L286" s="33"/>
      <c r="N286" s="33"/>
      <c r="O286" s="33"/>
      <c r="P286" s="33"/>
      <c r="Q286" s="33"/>
      <c r="S286" s="33"/>
      <c r="U286" s="33"/>
      <c r="W286" s="33"/>
      <c r="X286" s="34"/>
      <c r="Y286" s="33"/>
      <c r="Z286" s="34"/>
      <c r="AA286" s="33"/>
      <c r="AB286" s="33"/>
      <c r="AC286" s="33"/>
      <c r="AD286" s="35"/>
      <c r="AE286" s="33"/>
    </row>
    <row r="287" ht="15.75" customHeight="1">
      <c r="A287" s="33"/>
      <c r="H287" s="33"/>
      <c r="L287" s="33"/>
      <c r="N287" s="33"/>
      <c r="O287" s="33"/>
      <c r="P287" s="33"/>
      <c r="Q287" s="33"/>
      <c r="S287" s="33"/>
      <c r="U287" s="33"/>
      <c r="W287" s="33"/>
      <c r="X287" s="34"/>
      <c r="Y287" s="33"/>
      <c r="Z287" s="34"/>
      <c r="AA287" s="33"/>
      <c r="AB287" s="33"/>
      <c r="AC287" s="33"/>
      <c r="AD287" s="35"/>
      <c r="AE287" s="33"/>
    </row>
    <row r="288" ht="15.75" customHeight="1">
      <c r="A288" s="33"/>
      <c r="H288" s="33"/>
      <c r="L288" s="33"/>
      <c r="N288" s="33"/>
      <c r="O288" s="33"/>
      <c r="P288" s="33"/>
      <c r="Q288" s="33"/>
      <c r="S288" s="33"/>
      <c r="U288" s="33"/>
      <c r="W288" s="33"/>
      <c r="X288" s="34"/>
      <c r="Y288" s="33"/>
      <c r="Z288" s="34"/>
      <c r="AA288" s="33"/>
      <c r="AB288" s="33"/>
      <c r="AC288" s="33"/>
      <c r="AD288" s="35"/>
      <c r="AE288" s="33"/>
    </row>
    <row r="289" ht="15.75" customHeight="1">
      <c r="A289" s="33"/>
      <c r="H289" s="33"/>
      <c r="L289" s="33"/>
      <c r="N289" s="33"/>
      <c r="O289" s="33"/>
      <c r="P289" s="33"/>
      <c r="Q289" s="33"/>
      <c r="S289" s="33"/>
      <c r="U289" s="33"/>
      <c r="W289" s="33"/>
      <c r="X289" s="34"/>
      <c r="Y289" s="33"/>
      <c r="Z289" s="34"/>
      <c r="AA289" s="33"/>
      <c r="AB289" s="33"/>
      <c r="AC289" s="33"/>
      <c r="AD289" s="35"/>
      <c r="AE289" s="33"/>
    </row>
    <row r="290" ht="15.75" customHeight="1">
      <c r="A290" s="33"/>
      <c r="H290" s="33"/>
      <c r="L290" s="33"/>
      <c r="N290" s="33"/>
      <c r="O290" s="33"/>
      <c r="P290" s="33"/>
      <c r="Q290" s="33"/>
      <c r="S290" s="33"/>
      <c r="U290" s="33"/>
      <c r="W290" s="33"/>
      <c r="X290" s="34"/>
      <c r="Y290" s="33"/>
      <c r="Z290" s="34"/>
      <c r="AA290" s="33"/>
      <c r="AB290" s="33"/>
      <c r="AC290" s="33"/>
      <c r="AD290" s="35"/>
      <c r="AE290" s="33"/>
    </row>
    <row r="291" ht="15.75" customHeight="1">
      <c r="A291" s="33"/>
      <c r="H291" s="33"/>
      <c r="L291" s="33"/>
      <c r="N291" s="33"/>
      <c r="O291" s="33"/>
      <c r="P291" s="33"/>
      <c r="Q291" s="33"/>
      <c r="S291" s="33"/>
      <c r="U291" s="33"/>
      <c r="W291" s="33"/>
      <c r="X291" s="34"/>
      <c r="Y291" s="33"/>
      <c r="Z291" s="34"/>
      <c r="AA291" s="33"/>
      <c r="AB291" s="33"/>
      <c r="AC291" s="33"/>
      <c r="AD291" s="35"/>
      <c r="AE291" s="33"/>
    </row>
    <row r="292" ht="15.75" customHeight="1">
      <c r="A292" s="33"/>
      <c r="H292" s="33"/>
      <c r="L292" s="33"/>
      <c r="N292" s="33"/>
      <c r="O292" s="33"/>
      <c r="P292" s="33"/>
      <c r="Q292" s="33"/>
      <c r="S292" s="33"/>
      <c r="U292" s="33"/>
      <c r="W292" s="33"/>
      <c r="X292" s="34"/>
      <c r="Y292" s="33"/>
      <c r="Z292" s="34"/>
      <c r="AA292" s="33"/>
      <c r="AB292" s="33"/>
      <c r="AC292" s="33"/>
      <c r="AD292" s="35"/>
      <c r="AE292" s="33"/>
    </row>
    <row r="293" ht="15.75" customHeight="1">
      <c r="A293" s="33"/>
      <c r="H293" s="33"/>
      <c r="L293" s="33"/>
      <c r="N293" s="33"/>
      <c r="O293" s="33"/>
      <c r="P293" s="33"/>
      <c r="Q293" s="33"/>
      <c r="S293" s="33"/>
      <c r="U293" s="33"/>
      <c r="W293" s="33"/>
      <c r="X293" s="34"/>
      <c r="Y293" s="33"/>
      <c r="Z293" s="34"/>
      <c r="AA293" s="33"/>
      <c r="AB293" s="33"/>
      <c r="AC293" s="33"/>
      <c r="AD293" s="35"/>
      <c r="AE293" s="33"/>
    </row>
    <row r="294" ht="15.75" customHeight="1">
      <c r="A294" s="33"/>
      <c r="H294" s="33"/>
      <c r="L294" s="33"/>
      <c r="N294" s="33"/>
      <c r="O294" s="33"/>
      <c r="P294" s="33"/>
      <c r="Q294" s="33"/>
      <c r="S294" s="33"/>
      <c r="U294" s="33"/>
      <c r="W294" s="33"/>
      <c r="X294" s="34"/>
      <c r="Y294" s="33"/>
      <c r="Z294" s="34"/>
      <c r="AA294" s="33"/>
      <c r="AB294" s="33"/>
      <c r="AC294" s="33"/>
      <c r="AD294" s="35"/>
      <c r="AE294" s="33"/>
    </row>
    <row r="295" ht="15.75" customHeight="1">
      <c r="A295" s="33"/>
      <c r="H295" s="33"/>
      <c r="L295" s="33"/>
      <c r="N295" s="33"/>
      <c r="O295" s="33"/>
      <c r="P295" s="33"/>
      <c r="Q295" s="33"/>
      <c r="S295" s="33"/>
      <c r="U295" s="33"/>
      <c r="W295" s="33"/>
      <c r="X295" s="34"/>
      <c r="Y295" s="33"/>
      <c r="Z295" s="34"/>
      <c r="AA295" s="33"/>
      <c r="AB295" s="33"/>
      <c r="AC295" s="33"/>
      <c r="AD295" s="35"/>
      <c r="AE295" s="33"/>
    </row>
    <row r="296" ht="15.75" customHeight="1">
      <c r="A296" s="33"/>
      <c r="H296" s="33"/>
      <c r="L296" s="33"/>
      <c r="N296" s="33"/>
      <c r="O296" s="33"/>
      <c r="P296" s="33"/>
      <c r="Q296" s="33"/>
      <c r="S296" s="33"/>
      <c r="U296" s="33"/>
      <c r="W296" s="33"/>
      <c r="X296" s="34"/>
      <c r="Y296" s="33"/>
      <c r="Z296" s="34"/>
      <c r="AA296" s="33"/>
      <c r="AB296" s="33"/>
      <c r="AC296" s="33"/>
      <c r="AD296" s="35"/>
      <c r="AE296" s="33"/>
    </row>
    <row r="297" ht="15.75" customHeight="1">
      <c r="A297" s="33"/>
      <c r="H297" s="33"/>
      <c r="L297" s="33"/>
      <c r="N297" s="33"/>
      <c r="O297" s="33"/>
      <c r="P297" s="33"/>
      <c r="Q297" s="33"/>
      <c r="S297" s="33"/>
      <c r="U297" s="33"/>
      <c r="W297" s="33"/>
      <c r="X297" s="34"/>
      <c r="Y297" s="33"/>
      <c r="Z297" s="34"/>
      <c r="AA297" s="33"/>
      <c r="AB297" s="33"/>
      <c r="AC297" s="33"/>
      <c r="AD297" s="35"/>
      <c r="AE297" s="33"/>
    </row>
    <row r="298" ht="15.75" customHeight="1">
      <c r="A298" s="33"/>
      <c r="H298" s="33"/>
      <c r="L298" s="33"/>
      <c r="N298" s="33"/>
      <c r="O298" s="33"/>
      <c r="P298" s="33"/>
      <c r="Q298" s="33"/>
      <c r="S298" s="33"/>
      <c r="U298" s="33"/>
      <c r="W298" s="33"/>
      <c r="X298" s="34"/>
      <c r="Y298" s="33"/>
      <c r="Z298" s="34"/>
      <c r="AA298" s="33"/>
      <c r="AB298" s="33"/>
      <c r="AC298" s="33"/>
      <c r="AD298" s="35"/>
      <c r="AE298" s="33"/>
    </row>
    <row r="299" ht="15.75" customHeight="1">
      <c r="A299" s="33"/>
      <c r="H299" s="33"/>
      <c r="L299" s="33"/>
      <c r="N299" s="33"/>
      <c r="O299" s="33"/>
      <c r="P299" s="33"/>
      <c r="Q299" s="33"/>
      <c r="S299" s="33"/>
      <c r="U299" s="33"/>
      <c r="W299" s="33"/>
      <c r="X299" s="34"/>
      <c r="Y299" s="33"/>
      <c r="Z299" s="34"/>
      <c r="AA299" s="33"/>
      <c r="AB299" s="33"/>
      <c r="AC299" s="33"/>
      <c r="AD299" s="35"/>
      <c r="AE299" s="33"/>
    </row>
    <row r="300" ht="15.75" customHeight="1">
      <c r="A300" s="33"/>
      <c r="H300" s="33"/>
      <c r="L300" s="33"/>
      <c r="N300" s="33"/>
      <c r="O300" s="33"/>
      <c r="P300" s="33"/>
      <c r="Q300" s="33"/>
      <c r="S300" s="33"/>
      <c r="U300" s="33"/>
      <c r="W300" s="33"/>
      <c r="X300" s="34"/>
      <c r="Y300" s="33"/>
      <c r="Z300" s="34"/>
      <c r="AA300" s="33"/>
      <c r="AB300" s="33"/>
      <c r="AC300" s="33"/>
      <c r="AD300" s="35"/>
      <c r="AE300" s="33"/>
    </row>
    <row r="301" ht="15.75" customHeight="1">
      <c r="A301" s="33"/>
      <c r="H301" s="33"/>
      <c r="L301" s="33"/>
      <c r="N301" s="33"/>
      <c r="O301" s="33"/>
      <c r="P301" s="33"/>
      <c r="Q301" s="33"/>
      <c r="S301" s="33"/>
      <c r="U301" s="33"/>
      <c r="W301" s="33"/>
      <c r="X301" s="34"/>
      <c r="Y301" s="33"/>
      <c r="Z301" s="34"/>
      <c r="AA301" s="33"/>
      <c r="AB301" s="33"/>
      <c r="AC301" s="33"/>
      <c r="AD301" s="35"/>
      <c r="AE301" s="33"/>
    </row>
    <row r="302" ht="15.75" customHeight="1">
      <c r="A302" s="33"/>
      <c r="H302" s="33"/>
      <c r="L302" s="33"/>
      <c r="N302" s="33"/>
      <c r="O302" s="33"/>
      <c r="P302" s="33"/>
      <c r="Q302" s="33"/>
      <c r="S302" s="33"/>
      <c r="U302" s="33"/>
      <c r="W302" s="33"/>
      <c r="X302" s="34"/>
      <c r="Y302" s="33"/>
      <c r="Z302" s="34"/>
      <c r="AA302" s="33"/>
      <c r="AB302" s="33"/>
      <c r="AC302" s="33"/>
      <c r="AD302" s="35"/>
      <c r="AE302" s="33"/>
    </row>
    <row r="303" ht="15.75" customHeight="1">
      <c r="A303" s="33"/>
      <c r="H303" s="33"/>
      <c r="L303" s="33"/>
      <c r="N303" s="33"/>
      <c r="O303" s="33"/>
      <c r="P303" s="33"/>
      <c r="Q303" s="33"/>
      <c r="S303" s="33"/>
      <c r="U303" s="33"/>
      <c r="W303" s="33"/>
      <c r="X303" s="34"/>
      <c r="Y303" s="33"/>
      <c r="Z303" s="34"/>
      <c r="AA303" s="33"/>
      <c r="AB303" s="33"/>
      <c r="AC303" s="33"/>
      <c r="AD303" s="35"/>
      <c r="AE303" s="33"/>
    </row>
    <row r="304" ht="15.75" customHeight="1">
      <c r="A304" s="33"/>
      <c r="H304" s="33"/>
      <c r="L304" s="33"/>
      <c r="N304" s="33"/>
      <c r="O304" s="33"/>
      <c r="P304" s="33"/>
      <c r="Q304" s="33"/>
      <c r="S304" s="33"/>
      <c r="U304" s="33"/>
      <c r="W304" s="33"/>
      <c r="X304" s="34"/>
      <c r="Y304" s="33"/>
      <c r="Z304" s="34"/>
      <c r="AA304" s="33"/>
      <c r="AB304" s="33"/>
      <c r="AC304" s="33"/>
      <c r="AD304" s="35"/>
      <c r="AE304" s="33"/>
    </row>
    <row r="305" ht="15.75" customHeight="1">
      <c r="A305" s="33"/>
      <c r="H305" s="33"/>
      <c r="L305" s="33"/>
      <c r="N305" s="33"/>
      <c r="O305" s="33"/>
      <c r="P305" s="33"/>
      <c r="Q305" s="33"/>
      <c r="S305" s="33"/>
      <c r="U305" s="33"/>
      <c r="W305" s="33"/>
      <c r="X305" s="34"/>
      <c r="Y305" s="33"/>
      <c r="Z305" s="34"/>
      <c r="AA305" s="33"/>
      <c r="AB305" s="33"/>
      <c r="AC305" s="33"/>
      <c r="AD305" s="35"/>
      <c r="AE305" s="33"/>
    </row>
    <row r="306" ht="15.75" customHeight="1">
      <c r="A306" s="33"/>
      <c r="H306" s="33"/>
      <c r="L306" s="33"/>
      <c r="N306" s="33"/>
      <c r="O306" s="33"/>
      <c r="P306" s="33"/>
      <c r="Q306" s="33"/>
      <c r="S306" s="33"/>
      <c r="U306" s="33"/>
      <c r="W306" s="33"/>
      <c r="X306" s="34"/>
      <c r="Y306" s="33"/>
      <c r="Z306" s="34"/>
      <c r="AA306" s="33"/>
      <c r="AB306" s="33"/>
      <c r="AC306" s="33"/>
      <c r="AD306" s="35"/>
      <c r="AE306" s="33"/>
    </row>
    <row r="307" ht="15.75" customHeight="1">
      <c r="A307" s="33"/>
      <c r="H307" s="33"/>
      <c r="L307" s="33"/>
      <c r="N307" s="33"/>
      <c r="O307" s="33"/>
      <c r="P307" s="33"/>
      <c r="Q307" s="33"/>
      <c r="S307" s="33"/>
      <c r="U307" s="33"/>
      <c r="W307" s="33"/>
      <c r="X307" s="34"/>
      <c r="Y307" s="33"/>
      <c r="Z307" s="34"/>
      <c r="AA307" s="33"/>
      <c r="AB307" s="33"/>
      <c r="AC307" s="33"/>
      <c r="AD307" s="35"/>
      <c r="AE307" s="33"/>
    </row>
    <row r="308" ht="15.75" customHeight="1">
      <c r="A308" s="33"/>
      <c r="H308" s="33"/>
      <c r="L308" s="33"/>
      <c r="N308" s="33"/>
      <c r="O308" s="33"/>
      <c r="P308" s="33"/>
      <c r="Q308" s="33"/>
      <c r="S308" s="33"/>
      <c r="U308" s="33"/>
      <c r="W308" s="33"/>
      <c r="X308" s="34"/>
      <c r="Y308" s="33"/>
      <c r="Z308" s="34"/>
      <c r="AA308" s="33"/>
      <c r="AB308" s="33"/>
      <c r="AC308" s="33"/>
      <c r="AD308" s="35"/>
      <c r="AE308" s="33"/>
    </row>
    <row r="309" ht="15.75" customHeight="1">
      <c r="A309" s="33"/>
      <c r="H309" s="33"/>
      <c r="L309" s="33"/>
      <c r="N309" s="33"/>
      <c r="O309" s="33"/>
      <c r="P309" s="33"/>
      <c r="Q309" s="33"/>
      <c r="S309" s="33"/>
      <c r="U309" s="33"/>
      <c r="W309" s="33"/>
      <c r="X309" s="34"/>
      <c r="Y309" s="33"/>
      <c r="Z309" s="34"/>
      <c r="AA309" s="33"/>
      <c r="AB309" s="33"/>
      <c r="AC309" s="33"/>
      <c r="AD309" s="35"/>
      <c r="AE309" s="33"/>
    </row>
    <row r="310" ht="15.75" customHeight="1">
      <c r="A310" s="33"/>
      <c r="H310" s="33"/>
      <c r="L310" s="33"/>
      <c r="N310" s="33"/>
      <c r="O310" s="33"/>
      <c r="P310" s="33"/>
      <c r="Q310" s="33"/>
      <c r="S310" s="33"/>
      <c r="U310" s="33"/>
      <c r="W310" s="33"/>
      <c r="X310" s="34"/>
      <c r="Y310" s="33"/>
      <c r="Z310" s="34"/>
      <c r="AA310" s="33"/>
      <c r="AB310" s="33"/>
      <c r="AC310" s="33"/>
      <c r="AD310" s="35"/>
      <c r="AE310" s="33"/>
    </row>
    <row r="311" ht="15.75" customHeight="1">
      <c r="A311" s="33"/>
      <c r="H311" s="33"/>
      <c r="L311" s="33"/>
      <c r="N311" s="33"/>
      <c r="O311" s="33"/>
      <c r="P311" s="33"/>
      <c r="Q311" s="33"/>
      <c r="S311" s="33"/>
      <c r="U311" s="33"/>
      <c r="W311" s="33"/>
      <c r="X311" s="34"/>
      <c r="Y311" s="33"/>
      <c r="Z311" s="34"/>
      <c r="AA311" s="33"/>
      <c r="AB311" s="33"/>
      <c r="AC311" s="33"/>
      <c r="AD311" s="35"/>
      <c r="AE311" s="33"/>
    </row>
    <row r="312" ht="15.75" customHeight="1">
      <c r="A312" s="33"/>
      <c r="H312" s="33"/>
      <c r="L312" s="33"/>
      <c r="N312" s="33"/>
      <c r="O312" s="33"/>
      <c r="P312" s="33"/>
      <c r="Q312" s="33"/>
      <c r="S312" s="33"/>
      <c r="U312" s="33"/>
      <c r="W312" s="33"/>
      <c r="X312" s="34"/>
      <c r="Y312" s="33"/>
      <c r="Z312" s="34"/>
      <c r="AA312" s="33"/>
      <c r="AB312" s="33"/>
      <c r="AC312" s="33"/>
      <c r="AD312" s="35"/>
      <c r="AE312" s="33"/>
    </row>
    <row r="313" ht="15.75" customHeight="1">
      <c r="A313" s="33"/>
      <c r="H313" s="33"/>
      <c r="L313" s="33"/>
      <c r="N313" s="33"/>
      <c r="O313" s="33"/>
      <c r="P313" s="33"/>
      <c r="Q313" s="33"/>
      <c r="S313" s="33"/>
      <c r="U313" s="33"/>
      <c r="W313" s="33"/>
      <c r="X313" s="34"/>
      <c r="Y313" s="33"/>
      <c r="Z313" s="34"/>
      <c r="AA313" s="33"/>
      <c r="AB313" s="33"/>
      <c r="AC313" s="33"/>
      <c r="AD313" s="35"/>
      <c r="AE313" s="33"/>
    </row>
    <row r="314" ht="15.75" customHeight="1">
      <c r="A314" s="33"/>
      <c r="H314" s="33"/>
      <c r="L314" s="33"/>
      <c r="N314" s="33"/>
      <c r="O314" s="33"/>
      <c r="P314" s="33"/>
      <c r="Q314" s="33"/>
      <c r="S314" s="33"/>
      <c r="U314" s="33"/>
      <c r="W314" s="33"/>
      <c r="X314" s="34"/>
      <c r="Y314" s="33"/>
      <c r="Z314" s="34"/>
      <c r="AA314" s="33"/>
      <c r="AB314" s="33"/>
      <c r="AC314" s="33"/>
      <c r="AD314" s="35"/>
      <c r="AE314" s="33"/>
    </row>
    <row r="315" ht="15.75" customHeight="1">
      <c r="A315" s="33"/>
      <c r="H315" s="33"/>
      <c r="L315" s="33"/>
      <c r="N315" s="33"/>
      <c r="O315" s="33"/>
      <c r="P315" s="33"/>
      <c r="Q315" s="33"/>
      <c r="S315" s="33"/>
      <c r="U315" s="33"/>
      <c r="W315" s="33"/>
      <c r="X315" s="34"/>
      <c r="Y315" s="33"/>
      <c r="Z315" s="34"/>
      <c r="AA315" s="33"/>
      <c r="AB315" s="33"/>
      <c r="AC315" s="33"/>
      <c r="AD315" s="35"/>
      <c r="AE315" s="33"/>
    </row>
    <row r="316" ht="15.75" customHeight="1">
      <c r="A316" s="33"/>
      <c r="H316" s="33"/>
      <c r="L316" s="33"/>
      <c r="N316" s="33"/>
      <c r="O316" s="33"/>
      <c r="P316" s="33"/>
      <c r="Q316" s="33"/>
      <c r="S316" s="33"/>
      <c r="U316" s="33"/>
      <c r="W316" s="33"/>
      <c r="X316" s="34"/>
      <c r="Y316" s="33"/>
      <c r="Z316" s="34"/>
      <c r="AA316" s="33"/>
      <c r="AB316" s="33"/>
      <c r="AC316" s="33"/>
      <c r="AD316" s="35"/>
      <c r="AE316" s="33"/>
    </row>
    <row r="317" ht="15.75" customHeight="1">
      <c r="A317" s="33"/>
      <c r="H317" s="33"/>
      <c r="L317" s="33"/>
      <c r="N317" s="33"/>
      <c r="O317" s="33"/>
      <c r="P317" s="33"/>
      <c r="Q317" s="33"/>
      <c r="S317" s="33"/>
      <c r="U317" s="33"/>
      <c r="W317" s="33"/>
      <c r="X317" s="34"/>
      <c r="Y317" s="33"/>
      <c r="Z317" s="34"/>
      <c r="AA317" s="33"/>
      <c r="AB317" s="33"/>
      <c r="AC317" s="33"/>
      <c r="AD317" s="35"/>
      <c r="AE317" s="33"/>
    </row>
    <row r="318" ht="15.75" customHeight="1">
      <c r="A318" s="33"/>
      <c r="H318" s="33"/>
      <c r="L318" s="33"/>
      <c r="N318" s="33"/>
      <c r="O318" s="33"/>
      <c r="P318" s="33"/>
      <c r="Q318" s="33"/>
      <c r="S318" s="33"/>
      <c r="U318" s="33"/>
      <c r="W318" s="33"/>
      <c r="X318" s="34"/>
      <c r="Y318" s="33"/>
      <c r="Z318" s="34"/>
      <c r="AA318" s="33"/>
      <c r="AB318" s="33"/>
      <c r="AC318" s="33"/>
      <c r="AD318" s="35"/>
      <c r="AE318" s="33"/>
    </row>
    <row r="319" ht="15.75" customHeight="1">
      <c r="A319" s="33"/>
      <c r="H319" s="33"/>
      <c r="L319" s="33"/>
      <c r="N319" s="33"/>
      <c r="O319" s="33"/>
      <c r="P319" s="33"/>
      <c r="Q319" s="33"/>
      <c r="S319" s="33"/>
      <c r="U319" s="33"/>
      <c r="W319" s="33"/>
      <c r="X319" s="34"/>
      <c r="Y319" s="33"/>
      <c r="Z319" s="34"/>
      <c r="AA319" s="33"/>
      <c r="AB319" s="33"/>
      <c r="AC319" s="33"/>
      <c r="AD319" s="35"/>
      <c r="AE319" s="33"/>
    </row>
    <row r="320" ht="15.75" customHeight="1">
      <c r="A320" s="33"/>
      <c r="H320" s="33"/>
      <c r="L320" s="33"/>
      <c r="N320" s="33"/>
      <c r="O320" s="33"/>
      <c r="P320" s="33"/>
      <c r="Q320" s="33"/>
      <c r="S320" s="33"/>
      <c r="U320" s="33"/>
      <c r="W320" s="33"/>
      <c r="X320" s="34"/>
      <c r="Y320" s="33"/>
      <c r="Z320" s="34"/>
      <c r="AA320" s="33"/>
      <c r="AB320" s="33"/>
      <c r="AC320" s="33"/>
      <c r="AD320" s="35"/>
      <c r="AE320" s="33"/>
    </row>
    <row r="321" ht="15.75" customHeight="1">
      <c r="A321" s="33"/>
      <c r="H321" s="33"/>
      <c r="L321" s="33"/>
      <c r="N321" s="33"/>
      <c r="O321" s="33"/>
      <c r="P321" s="33"/>
      <c r="Q321" s="33"/>
      <c r="S321" s="33"/>
      <c r="U321" s="33"/>
      <c r="W321" s="33"/>
      <c r="X321" s="34"/>
      <c r="Y321" s="33"/>
      <c r="Z321" s="34"/>
      <c r="AA321" s="33"/>
      <c r="AB321" s="33"/>
      <c r="AC321" s="33"/>
      <c r="AD321" s="35"/>
      <c r="AE321" s="33"/>
    </row>
    <row r="322" ht="15.75" customHeight="1">
      <c r="A322" s="33"/>
      <c r="H322" s="33"/>
      <c r="L322" s="33"/>
      <c r="N322" s="33"/>
      <c r="O322" s="33"/>
      <c r="P322" s="33"/>
      <c r="Q322" s="33"/>
      <c r="S322" s="33"/>
      <c r="U322" s="33"/>
      <c r="W322" s="33"/>
      <c r="X322" s="34"/>
      <c r="Y322" s="33"/>
      <c r="Z322" s="34"/>
      <c r="AA322" s="33"/>
      <c r="AB322" s="33"/>
      <c r="AC322" s="33"/>
      <c r="AD322" s="35"/>
      <c r="AE322" s="33"/>
    </row>
    <row r="323" ht="15.75" customHeight="1">
      <c r="A323" s="33"/>
      <c r="H323" s="33"/>
      <c r="L323" s="33"/>
      <c r="N323" s="33"/>
      <c r="O323" s="33"/>
      <c r="P323" s="33"/>
      <c r="Q323" s="33"/>
      <c r="S323" s="33"/>
      <c r="U323" s="33"/>
      <c r="W323" s="33"/>
      <c r="X323" s="34"/>
      <c r="Y323" s="33"/>
      <c r="Z323" s="34"/>
      <c r="AA323" s="33"/>
      <c r="AB323" s="33"/>
      <c r="AC323" s="33"/>
      <c r="AD323" s="35"/>
      <c r="AE323" s="33"/>
    </row>
    <row r="324" ht="15.75" customHeight="1">
      <c r="A324" s="33"/>
      <c r="H324" s="33"/>
      <c r="L324" s="33"/>
      <c r="N324" s="33"/>
      <c r="O324" s="33"/>
      <c r="P324" s="33"/>
      <c r="Q324" s="33"/>
      <c r="S324" s="33"/>
      <c r="U324" s="33"/>
      <c r="W324" s="33"/>
      <c r="X324" s="34"/>
      <c r="Y324" s="33"/>
      <c r="Z324" s="34"/>
      <c r="AA324" s="33"/>
      <c r="AB324" s="33"/>
      <c r="AC324" s="33"/>
      <c r="AD324" s="35"/>
      <c r="AE324" s="33"/>
    </row>
    <row r="325" ht="15.75" customHeight="1">
      <c r="A325" s="33"/>
      <c r="H325" s="33"/>
      <c r="L325" s="33"/>
      <c r="N325" s="33"/>
      <c r="O325" s="33"/>
      <c r="P325" s="33"/>
      <c r="Q325" s="33"/>
      <c r="S325" s="33"/>
      <c r="U325" s="33"/>
      <c r="W325" s="33"/>
      <c r="X325" s="34"/>
      <c r="Y325" s="33"/>
      <c r="Z325" s="34"/>
      <c r="AA325" s="33"/>
      <c r="AB325" s="33"/>
      <c r="AC325" s="33"/>
      <c r="AD325" s="35"/>
      <c r="AE325" s="33"/>
    </row>
    <row r="326" ht="15.75" customHeight="1">
      <c r="A326" s="33"/>
      <c r="H326" s="33"/>
      <c r="L326" s="33"/>
      <c r="N326" s="33"/>
      <c r="O326" s="33"/>
      <c r="P326" s="33"/>
      <c r="Q326" s="33"/>
      <c r="S326" s="33"/>
      <c r="U326" s="33"/>
      <c r="W326" s="33"/>
      <c r="X326" s="34"/>
      <c r="Y326" s="33"/>
      <c r="Z326" s="34"/>
      <c r="AA326" s="33"/>
      <c r="AB326" s="33"/>
      <c r="AC326" s="33"/>
      <c r="AD326" s="35"/>
      <c r="AE326" s="33"/>
    </row>
    <row r="327" ht="15.75" customHeight="1">
      <c r="A327" s="33"/>
      <c r="H327" s="33"/>
      <c r="L327" s="33"/>
      <c r="N327" s="33"/>
      <c r="O327" s="33"/>
      <c r="P327" s="33"/>
      <c r="Q327" s="33"/>
      <c r="S327" s="33"/>
      <c r="U327" s="33"/>
      <c r="W327" s="33"/>
      <c r="X327" s="34"/>
      <c r="Y327" s="33"/>
      <c r="Z327" s="34"/>
      <c r="AA327" s="33"/>
      <c r="AB327" s="33"/>
      <c r="AC327" s="33"/>
      <c r="AD327" s="35"/>
      <c r="AE327" s="33"/>
    </row>
    <row r="328" ht="15.75" customHeight="1">
      <c r="A328" s="33"/>
      <c r="H328" s="33"/>
      <c r="L328" s="33"/>
      <c r="N328" s="33"/>
      <c r="O328" s="33"/>
      <c r="P328" s="33"/>
      <c r="Q328" s="33"/>
      <c r="S328" s="33"/>
      <c r="U328" s="33"/>
      <c r="W328" s="33"/>
      <c r="X328" s="34"/>
      <c r="Y328" s="33"/>
      <c r="Z328" s="34"/>
      <c r="AA328" s="33"/>
      <c r="AB328" s="33"/>
      <c r="AC328" s="33"/>
      <c r="AD328" s="35"/>
      <c r="AE328" s="33"/>
    </row>
    <row r="329" ht="15.75" customHeight="1">
      <c r="A329" s="33"/>
      <c r="H329" s="33"/>
      <c r="L329" s="33"/>
      <c r="N329" s="33"/>
      <c r="O329" s="33"/>
      <c r="P329" s="33"/>
      <c r="Q329" s="33"/>
      <c r="S329" s="33"/>
      <c r="U329" s="33"/>
      <c r="W329" s="33"/>
      <c r="X329" s="34"/>
      <c r="Y329" s="33"/>
      <c r="Z329" s="34"/>
      <c r="AA329" s="33"/>
      <c r="AB329" s="33"/>
      <c r="AC329" s="33"/>
      <c r="AD329" s="35"/>
      <c r="AE329" s="33"/>
    </row>
    <row r="330" ht="15.75" customHeight="1">
      <c r="A330" s="33"/>
      <c r="H330" s="33"/>
      <c r="L330" s="33"/>
      <c r="N330" s="33"/>
      <c r="O330" s="33"/>
      <c r="P330" s="33"/>
      <c r="Q330" s="33"/>
      <c r="S330" s="33"/>
      <c r="U330" s="33"/>
      <c r="W330" s="33"/>
      <c r="X330" s="34"/>
      <c r="Y330" s="33"/>
      <c r="Z330" s="34"/>
      <c r="AA330" s="33"/>
      <c r="AB330" s="33"/>
      <c r="AC330" s="33"/>
      <c r="AD330" s="35"/>
      <c r="AE330" s="33"/>
    </row>
    <row r="331" ht="15.75" customHeight="1">
      <c r="A331" s="33"/>
      <c r="H331" s="33"/>
      <c r="L331" s="33"/>
      <c r="N331" s="33"/>
      <c r="O331" s="33"/>
      <c r="P331" s="33"/>
      <c r="Q331" s="33"/>
      <c r="S331" s="33"/>
      <c r="U331" s="33"/>
      <c r="W331" s="33"/>
      <c r="X331" s="34"/>
      <c r="Y331" s="33"/>
      <c r="Z331" s="34"/>
      <c r="AA331" s="33"/>
      <c r="AB331" s="33"/>
      <c r="AC331" s="33"/>
      <c r="AD331" s="35"/>
      <c r="AE331" s="33"/>
    </row>
    <row r="332" ht="15.75" customHeight="1">
      <c r="A332" s="33"/>
      <c r="H332" s="33"/>
      <c r="L332" s="33"/>
      <c r="N332" s="33"/>
      <c r="O332" s="33"/>
      <c r="P332" s="33"/>
      <c r="Q332" s="33"/>
      <c r="S332" s="33"/>
      <c r="U332" s="33"/>
      <c r="W332" s="33"/>
      <c r="X332" s="34"/>
      <c r="Y332" s="33"/>
      <c r="Z332" s="34"/>
      <c r="AA332" s="33"/>
      <c r="AB332" s="33"/>
      <c r="AC332" s="33"/>
      <c r="AD332" s="35"/>
      <c r="AE332" s="33"/>
    </row>
    <row r="333" ht="15.75" customHeight="1">
      <c r="A333" s="33"/>
      <c r="H333" s="33"/>
      <c r="L333" s="33"/>
      <c r="N333" s="33"/>
      <c r="O333" s="33"/>
      <c r="P333" s="33"/>
      <c r="Q333" s="33"/>
      <c r="S333" s="33"/>
      <c r="U333" s="33"/>
      <c r="W333" s="33"/>
      <c r="X333" s="34"/>
      <c r="Y333" s="33"/>
      <c r="Z333" s="34"/>
      <c r="AA333" s="33"/>
      <c r="AB333" s="33"/>
      <c r="AC333" s="33"/>
      <c r="AD333" s="35"/>
      <c r="AE333" s="33"/>
    </row>
    <row r="334" ht="15.75" customHeight="1">
      <c r="A334" s="33"/>
      <c r="H334" s="33"/>
      <c r="L334" s="33"/>
      <c r="N334" s="33"/>
      <c r="O334" s="33"/>
      <c r="P334" s="33"/>
      <c r="Q334" s="33"/>
      <c r="S334" s="33"/>
      <c r="U334" s="33"/>
      <c r="W334" s="33"/>
      <c r="X334" s="34"/>
      <c r="Y334" s="33"/>
      <c r="Z334" s="34"/>
      <c r="AA334" s="33"/>
      <c r="AB334" s="33"/>
      <c r="AC334" s="33"/>
      <c r="AD334" s="35"/>
      <c r="AE334" s="33"/>
    </row>
    <row r="335" ht="15.75" customHeight="1">
      <c r="A335" s="33"/>
      <c r="H335" s="33"/>
      <c r="L335" s="33"/>
      <c r="N335" s="33"/>
      <c r="O335" s="33"/>
      <c r="P335" s="33"/>
      <c r="Q335" s="33"/>
      <c r="S335" s="33"/>
      <c r="U335" s="33"/>
      <c r="W335" s="33"/>
      <c r="X335" s="34"/>
      <c r="Y335" s="33"/>
      <c r="Z335" s="34"/>
      <c r="AA335" s="33"/>
      <c r="AB335" s="33"/>
      <c r="AC335" s="33"/>
      <c r="AD335" s="35"/>
      <c r="AE335" s="33"/>
    </row>
    <row r="336" ht="15.75" customHeight="1">
      <c r="A336" s="33"/>
      <c r="H336" s="33"/>
      <c r="L336" s="33"/>
      <c r="N336" s="33"/>
      <c r="O336" s="33"/>
      <c r="P336" s="33"/>
      <c r="Q336" s="33"/>
      <c r="S336" s="33"/>
      <c r="U336" s="33"/>
      <c r="W336" s="33"/>
      <c r="X336" s="34"/>
      <c r="Y336" s="33"/>
      <c r="Z336" s="34"/>
      <c r="AA336" s="33"/>
      <c r="AB336" s="33"/>
      <c r="AC336" s="33"/>
      <c r="AD336" s="35"/>
      <c r="AE336" s="33"/>
    </row>
    <row r="337" ht="15.75" customHeight="1">
      <c r="A337" s="33"/>
      <c r="H337" s="33"/>
      <c r="L337" s="33"/>
      <c r="N337" s="33"/>
      <c r="O337" s="33"/>
      <c r="P337" s="33"/>
      <c r="Q337" s="33"/>
      <c r="S337" s="33"/>
      <c r="U337" s="33"/>
      <c r="W337" s="33"/>
      <c r="X337" s="34"/>
      <c r="Y337" s="33"/>
      <c r="Z337" s="34"/>
      <c r="AA337" s="33"/>
      <c r="AB337" s="33"/>
      <c r="AC337" s="33"/>
      <c r="AD337" s="35"/>
      <c r="AE337" s="33"/>
    </row>
    <row r="338" ht="15.75" customHeight="1">
      <c r="A338" s="33"/>
      <c r="H338" s="33"/>
      <c r="L338" s="33"/>
      <c r="N338" s="33"/>
      <c r="O338" s="33"/>
      <c r="P338" s="33"/>
      <c r="Q338" s="33"/>
      <c r="S338" s="33"/>
      <c r="U338" s="33"/>
      <c r="W338" s="33"/>
      <c r="X338" s="34"/>
      <c r="Y338" s="33"/>
      <c r="Z338" s="34"/>
      <c r="AA338" s="33"/>
      <c r="AB338" s="33"/>
      <c r="AC338" s="33"/>
      <c r="AD338" s="35"/>
      <c r="AE338" s="33"/>
    </row>
    <row r="339" ht="15.75" customHeight="1">
      <c r="A339" s="33"/>
      <c r="H339" s="33"/>
      <c r="L339" s="33"/>
      <c r="N339" s="33"/>
      <c r="O339" s="33"/>
      <c r="P339" s="33"/>
      <c r="Q339" s="33"/>
      <c r="S339" s="33"/>
      <c r="U339" s="33"/>
      <c r="W339" s="33"/>
      <c r="X339" s="34"/>
      <c r="Y339" s="33"/>
      <c r="Z339" s="34"/>
      <c r="AA339" s="33"/>
      <c r="AB339" s="33"/>
      <c r="AC339" s="33"/>
      <c r="AD339" s="35"/>
      <c r="AE339" s="33"/>
    </row>
    <row r="340" ht="15.75" customHeight="1">
      <c r="A340" s="33"/>
      <c r="H340" s="33"/>
      <c r="L340" s="33"/>
      <c r="N340" s="33"/>
      <c r="O340" s="33"/>
      <c r="P340" s="33"/>
      <c r="Q340" s="33"/>
      <c r="S340" s="33"/>
      <c r="U340" s="33"/>
      <c r="W340" s="33"/>
      <c r="X340" s="34"/>
      <c r="Y340" s="33"/>
      <c r="Z340" s="34"/>
      <c r="AA340" s="33"/>
      <c r="AB340" s="33"/>
      <c r="AC340" s="33"/>
      <c r="AD340" s="35"/>
      <c r="AE340" s="33"/>
    </row>
    <row r="341" ht="15.75" customHeight="1">
      <c r="A341" s="33"/>
      <c r="H341" s="33"/>
      <c r="L341" s="33"/>
      <c r="N341" s="33"/>
      <c r="O341" s="33"/>
      <c r="P341" s="33"/>
      <c r="Q341" s="33"/>
      <c r="S341" s="33"/>
      <c r="U341" s="33"/>
      <c r="W341" s="33"/>
      <c r="X341" s="34"/>
      <c r="Y341" s="33"/>
      <c r="Z341" s="34"/>
      <c r="AA341" s="33"/>
      <c r="AB341" s="33"/>
      <c r="AC341" s="33"/>
      <c r="AD341" s="35"/>
      <c r="AE341" s="33"/>
    </row>
    <row r="342" ht="15.75" customHeight="1">
      <c r="A342" s="33"/>
      <c r="H342" s="33"/>
      <c r="L342" s="33"/>
      <c r="N342" s="33"/>
      <c r="O342" s="33"/>
      <c r="P342" s="33"/>
      <c r="Q342" s="33"/>
      <c r="S342" s="33"/>
      <c r="U342" s="33"/>
      <c r="W342" s="33"/>
      <c r="X342" s="34"/>
      <c r="Y342" s="33"/>
      <c r="Z342" s="34"/>
      <c r="AA342" s="33"/>
      <c r="AB342" s="33"/>
      <c r="AC342" s="33"/>
      <c r="AD342" s="35"/>
      <c r="AE342" s="33"/>
    </row>
    <row r="343" ht="15.75" customHeight="1">
      <c r="A343" s="33"/>
      <c r="H343" s="33"/>
      <c r="L343" s="33"/>
      <c r="N343" s="33"/>
      <c r="O343" s="33"/>
      <c r="P343" s="33"/>
      <c r="Q343" s="33"/>
      <c r="S343" s="33"/>
      <c r="U343" s="33"/>
      <c r="W343" s="33"/>
      <c r="X343" s="34"/>
      <c r="Y343" s="33"/>
      <c r="Z343" s="34"/>
      <c r="AA343" s="33"/>
      <c r="AB343" s="33"/>
      <c r="AC343" s="33"/>
      <c r="AD343" s="35"/>
      <c r="AE343" s="33"/>
    </row>
    <row r="344" ht="15.75" customHeight="1">
      <c r="A344" s="33"/>
      <c r="H344" s="33"/>
      <c r="L344" s="33"/>
      <c r="N344" s="33"/>
      <c r="O344" s="33"/>
      <c r="P344" s="33"/>
      <c r="Q344" s="33"/>
      <c r="S344" s="33"/>
      <c r="U344" s="33"/>
      <c r="W344" s="33"/>
      <c r="X344" s="34"/>
      <c r="Y344" s="33"/>
      <c r="Z344" s="34"/>
      <c r="AA344" s="33"/>
      <c r="AB344" s="33"/>
      <c r="AC344" s="33"/>
      <c r="AD344" s="35"/>
      <c r="AE344" s="33"/>
    </row>
    <row r="345" ht="15.75" customHeight="1">
      <c r="A345" s="33"/>
      <c r="H345" s="33"/>
      <c r="L345" s="33"/>
      <c r="N345" s="33"/>
      <c r="O345" s="33"/>
      <c r="P345" s="33"/>
      <c r="Q345" s="33"/>
      <c r="S345" s="33"/>
      <c r="U345" s="33"/>
      <c r="W345" s="33"/>
      <c r="X345" s="34"/>
      <c r="Y345" s="33"/>
      <c r="Z345" s="34"/>
      <c r="AA345" s="33"/>
      <c r="AB345" s="33"/>
      <c r="AC345" s="33"/>
      <c r="AD345" s="35"/>
      <c r="AE345" s="33"/>
    </row>
    <row r="346" ht="15.75" customHeight="1">
      <c r="A346" s="33"/>
      <c r="H346" s="33"/>
      <c r="L346" s="33"/>
      <c r="N346" s="33"/>
      <c r="O346" s="33"/>
      <c r="P346" s="33"/>
      <c r="Q346" s="33"/>
      <c r="S346" s="33"/>
      <c r="U346" s="33"/>
      <c r="W346" s="33"/>
      <c r="X346" s="34"/>
      <c r="Y346" s="33"/>
      <c r="Z346" s="34"/>
      <c r="AA346" s="33"/>
      <c r="AB346" s="33"/>
      <c r="AC346" s="33"/>
      <c r="AD346" s="35"/>
      <c r="AE346" s="33"/>
    </row>
    <row r="347" ht="15.75" customHeight="1">
      <c r="A347" s="33"/>
      <c r="H347" s="33"/>
      <c r="L347" s="33"/>
      <c r="N347" s="33"/>
      <c r="O347" s="33"/>
      <c r="P347" s="33"/>
      <c r="Q347" s="33"/>
      <c r="S347" s="33"/>
      <c r="U347" s="33"/>
      <c r="W347" s="33"/>
      <c r="X347" s="34"/>
      <c r="Y347" s="33"/>
      <c r="Z347" s="34"/>
      <c r="AA347" s="33"/>
      <c r="AB347" s="33"/>
      <c r="AC347" s="33"/>
      <c r="AD347" s="35"/>
      <c r="AE347" s="33"/>
    </row>
    <row r="348" ht="15.75" customHeight="1">
      <c r="A348" s="33"/>
      <c r="H348" s="33"/>
      <c r="L348" s="33"/>
      <c r="N348" s="33"/>
      <c r="O348" s="33"/>
      <c r="P348" s="33"/>
      <c r="Q348" s="33"/>
      <c r="S348" s="33"/>
      <c r="U348" s="33"/>
      <c r="W348" s="33"/>
      <c r="X348" s="34"/>
      <c r="Y348" s="33"/>
      <c r="Z348" s="34"/>
      <c r="AA348" s="33"/>
      <c r="AB348" s="33"/>
      <c r="AC348" s="33"/>
      <c r="AD348" s="35"/>
      <c r="AE348" s="33"/>
    </row>
    <row r="349" ht="15.75" customHeight="1">
      <c r="A349" s="33"/>
      <c r="H349" s="33"/>
      <c r="L349" s="33"/>
      <c r="N349" s="33"/>
      <c r="O349" s="33"/>
      <c r="P349" s="33"/>
      <c r="Q349" s="33"/>
      <c r="S349" s="33"/>
      <c r="U349" s="33"/>
      <c r="W349" s="33"/>
      <c r="X349" s="34"/>
      <c r="Y349" s="33"/>
      <c r="Z349" s="34"/>
      <c r="AA349" s="33"/>
      <c r="AB349" s="33"/>
      <c r="AC349" s="33"/>
      <c r="AD349" s="35"/>
      <c r="AE349" s="33"/>
    </row>
    <row r="350" ht="15.75" customHeight="1">
      <c r="A350" s="33"/>
      <c r="H350" s="33"/>
      <c r="L350" s="33"/>
      <c r="N350" s="33"/>
      <c r="O350" s="33"/>
      <c r="P350" s="33"/>
      <c r="Q350" s="33"/>
      <c r="S350" s="33"/>
      <c r="U350" s="33"/>
      <c r="W350" s="33"/>
      <c r="X350" s="34"/>
      <c r="Y350" s="33"/>
      <c r="Z350" s="34"/>
      <c r="AA350" s="33"/>
      <c r="AB350" s="33"/>
      <c r="AC350" s="33"/>
      <c r="AD350" s="35"/>
      <c r="AE350" s="33"/>
    </row>
    <row r="351" ht="15.75" customHeight="1">
      <c r="A351" s="33"/>
      <c r="H351" s="33"/>
      <c r="L351" s="33"/>
      <c r="N351" s="33"/>
      <c r="O351" s="33"/>
      <c r="P351" s="33"/>
      <c r="Q351" s="33"/>
      <c r="S351" s="33"/>
      <c r="U351" s="33"/>
      <c r="W351" s="33"/>
      <c r="X351" s="34"/>
      <c r="Y351" s="33"/>
      <c r="Z351" s="34"/>
      <c r="AA351" s="33"/>
      <c r="AB351" s="33"/>
      <c r="AC351" s="33"/>
      <c r="AD351" s="35"/>
      <c r="AE351" s="33"/>
    </row>
    <row r="352" ht="15.75" customHeight="1">
      <c r="A352" s="33"/>
      <c r="H352" s="33"/>
      <c r="L352" s="33"/>
      <c r="N352" s="33"/>
      <c r="O352" s="33"/>
      <c r="P352" s="33"/>
      <c r="Q352" s="33"/>
      <c r="S352" s="33"/>
      <c r="U352" s="33"/>
      <c r="W352" s="33"/>
      <c r="X352" s="34"/>
      <c r="Y352" s="33"/>
      <c r="Z352" s="34"/>
      <c r="AA352" s="33"/>
      <c r="AB352" s="33"/>
      <c r="AC352" s="33"/>
      <c r="AD352" s="35"/>
      <c r="AE352" s="33"/>
    </row>
    <row r="353" ht="15.75" customHeight="1">
      <c r="A353" s="33"/>
      <c r="H353" s="33"/>
      <c r="L353" s="33"/>
      <c r="N353" s="33"/>
      <c r="O353" s="33"/>
      <c r="P353" s="33"/>
      <c r="Q353" s="33"/>
      <c r="S353" s="33"/>
      <c r="U353" s="33"/>
      <c r="W353" s="33"/>
      <c r="X353" s="34"/>
      <c r="Y353" s="33"/>
      <c r="Z353" s="34"/>
      <c r="AA353" s="33"/>
      <c r="AB353" s="33"/>
      <c r="AC353" s="33"/>
      <c r="AD353" s="35"/>
      <c r="AE353" s="33"/>
    </row>
    <row r="354" ht="15.75" customHeight="1">
      <c r="A354" s="33"/>
      <c r="H354" s="33"/>
      <c r="L354" s="33"/>
      <c r="N354" s="33"/>
      <c r="O354" s="33"/>
      <c r="P354" s="33"/>
      <c r="Q354" s="33"/>
      <c r="S354" s="33"/>
      <c r="U354" s="33"/>
      <c r="W354" s="33"/>
      <c r="X354" s="34"/>
      <c r="Y354" s="33"/>
      <c r="Z354" s="34"/>
      <c r="AA354" s="33"/>
      <c r="AB354" s="33"/>
      <c r="AC354" s="33"/>
      <c r="AD354" s="35"/>
      <c r="AE354" s="33"/>
    </row>
    <row r="355" ht="15.75" customHeight="1">
      <c r="A355" s="33"/>
      <c r="H355" s="33"/>
      <c r="L355" s="33"/>
      <c r="N355" s="33"/>
      <c r="O355" s="33"/>
      <c r="P355" s="33"/>
      <c r="Q355" s="33"/>
      <c r="S355" s="33"/>
      <c r="U355" s="33"/>
      <c r="W355" s="33"/>
      <c r="X355" s="34"/>
      <c r="Y355" s="33"/>
      <c r="Z355" s="34"/>
      <c r="AA355" s="33"/>
      <c r="AB355" s="33"/>
      <c r="AC355" s="33"/>
      <c r="AD355" s="35"/>
      <c r="AE355" s="33"/>
    </row>
    <row r="356" ht="15.75" customHeight="1">
      <c r="A356" s="33"/>
      <c r="H356" s="33"/>
      <c r="L356" s="33"/>
      <c r="N356" s="33"/>
      <c r="O356" s="33"/>
      <c r="P356" s="33"/>
      <c r="Q356" s="33"/>
      <c r="S356" s="33"/>
      <c r="U356" s="33"/>
      <c r="W356" s="33"/>
      <c r="X356" s="34"/>
      <c r="Y356" s="33"/>
      <c r="Z356" s="34"/>
      <c r="AA356" s="33"/>
      <c r="AB356" s="33"/>
      <c r="AC356" s="33"/>
      <c r="AD356" s="35"/>
      <c r="AE356" s="33"/>
    </row>
    <row r="357" ht="15.75" customHeight="1">
      <c r="A357" s="33"/>
      <c r="H357" s="33"/>
      <c r="L357" s="33"/>
      <c r="N357" s="33"/>
      <c r="O357" s="33"/>
      <c r="P357" s="33"/>
      <c r="Q357" s="33"/>
      <c r="S357" s="33"/>
      <c r="U357" s="33"/>
      <c r="W357" s="33"/>
      <c r="X357" s="34"/>
      <c r="Y357" s="33"/>
      <c r="Z357" s="34"/>
      <c r="AA357" s="33"/>
      <c r="AB357" s="33"/>
      <c r="AC357" s="33"/>
      <c r="AD357" s="35"/>
      <c r="AE357" s="33"/>
    </row>
    <row r="358" ht="15.75" customHeight="1">
      <c r="A358" s="33"/>
      <c r="H358" s="33"/>
      <c r="L358" s="33"/>
      <c r="N358" s="33"/>
      <c r="O358" s="33"/>
      <c r="P358" s="33"/>
      <c r="Q358" s="33"/>
      <c r="S358" s="33"/>
      <c r="U358" s="33"/>
      <c r="W358" s="33"/>
      <c r="X358" s="34"/>
      <c r="Y358" s="33"/>
      <c r="Z358" s="34"/>
      <c r="AA358" s="33"/>
      <c r="AB358" s="33"/>
      <c r="AC358" s="33"/>
      <c r="AD358" s="35"/>
      <c r="AE358" s="33"/>
    </row>
    <row r="359" ht="15.75" customHeight="1">
      <c r="A359" s="33"/>
      <c r="H359" s="33"/>
      <c r="L359" s="33"/>
      <c r="N359" s="33"/>
      <c r="O359" s="33"/>
      <c r="P359" s="33"/>
      <c r="Q359" s="33"/>
      <c r="S359" s="33"/>
      <c r="U359" s="33"/>
      <c r="W359" s="33"/>
      <c r="X359" s="34"/>
      <c r="Y359" s="33"/>
      <c r="Z359" s="34"/>
      <c r="AA359" s="33"/>
      <c r="AB359" s="33"/>
      <c r="AC359" s="33"/>
      <c r="AD359" s="35"/>
      <c r="AE359" s="33"/>
    </row>
    <row r="360" ht="15.75" customHeight="1">
      <c r="A360" s="33"/>
      <c r="H360" s="33"/>
      <c r="L360" s="33"/>
      <c r="N360" s="33"/>
      <c r="O360" s="33"/>
      <c r="P360" s="33"/>
      <c r="Q360" s="33"/>
      <c r="S360" s="33"/>
      <c r="U360" s="33"/>
      <c r="W360" s="33"/>
      <c r="X360" s="34"/>
      <c r="Y360" s="33"/>
      <c r="Z360" s="34"/>
      <c r="AA360" s="33"/>
      <c r="AB360" s="33"/>
      <c r="AC360" s="33"/>
      <c r="AD360" s="35"/>
      <c r="AE360" s="33"/>
    </row>
    <row r="361" ht="15.75" customHeight="1">
      <c r="A361" s="33"/>
      <c r="H361" s="33"/>
      <c r="L361" s="33"/>
      <c r="N361" s="33"/>
      <c r="O361" s="33"/>
      <c r="P361" s="33"/>
      <c r="Q361" s="33"/>
      <c r="S361" s="33"/>
      <c r="U361" s="33"/>
      <c r="W361" s="33"/>
      <c r="X361" s="34"/>
      <c r="Y361" s="33"/>
      <c r="Z361" s="34"/>
      <c r="AA361" s="33"/>
      <c r="AB361" s="33"/>
      <c r="AC361" s="33"/>
      <c r="AD361" s="35"/>
      <c r="AE361" s="33"/>
    </row>
    <row r="362" ht="15.75" customHeight="1">
      <c r="A362" s="33"/>
      <c r="H362" s="33"/>
      <c r="L362" s="33"/>
      <c r="N362" s="33"/>
      <c r="O362" s="33"/>
      <c r="P362" s="33"/>
      <c r="Q362" s="33"/>
      <c r="S362" s="33"/>
      <c r="U362" s="33"/>
      <c r="W362" s="33"/>
      <c r="X362" s="34"/>
      <c r="Y362" s="33"/>
      <c r="Z362" s="34"/>
      <c r="AA362" s="33"/>
      <c r="AB362" s="33"/>
      <c r="AC362" s="33"/>
      <c r="AD362" s="35"/>
      <c r="AE362" s="33"/>
    </row>
    <row r="363" ht="15.75" customHeight="1">
      <c r="A363" s="33"/>
      <c r="H363" s="33"/>
      <c r="L363" s="33"/>
      <c r="N363" s="33"/>
      <c r="O363" s="33"/>
      <c r="P363" s="33"/>
      <c r="Q363" s="33"/>
      <c r="S363" s="33"/>
      <c r="U363" s="33"/>
      <c r="W363" s="33"/>
      <c r="X363" s="34"/>
      <c r="Y363" s="33"/>
      <c r="Z363" s="34"/>
      <c r="AA363" s="33"/>
      <c r="AB363" s="33"/>
      <c r="AC363" s="33"/>
      <c r="AD363" s="35"/>
      <c r="AE363" s="33"/>
    </row>
    <row r="364" ht="15.75" customHeight="1">
      <c r="A364" s="33"/>
      <c r="H364" s="33"/>
      <c r="L364" s="33"/>
      <c r="N364" s="33"/>
      <c r="O364" s="33"/>
      <c r="P364" s="33"/>
      <c r="Q364" s="33"/>
      <c r="S364" s="33"/>
      <c r="U364" s="33"/>
      <c r="W364" s="33"/>
      <c r="X364" s="34"/>
      <c r="Y364" s="33"/>
      <c r="Z364" s="34"/>
      <c r="AA364" s="33"/>
      <c r="AB364" s="33"/>
      <c r="AC364" s="33"/>
      <c r="AD364" s="35"/>
      <c r="AE364" s="33"/>
    </row>
    <row r="365" ht="15.75" customHeight="1">
      <c r="A365" s="33"/>
      <c r="H365" s="33"/>
      <c r="L365" s="33"/>
      <c r="N365" s="33"/>
      <c r="O365" s="33"/>
      <c r="P365" s="33"/>
      <c r="Q365" s="33"/>
      <c r="S365" s="33"/>
      <c r="U365" s="33"/>
      <c r="W365" s="33"/>
      <c r="X365" s="34"/>
      <c r="Y365" s="33"/>
      <c r="Z365" s="34"/>
      <c r="AA365" s="33"/>
      <c r="AB365" s="33"/>
      <c r="AC365" s="33"/>
      <c r="AD365" s="35"/>
      <c r="AE365" s="33"/>
    </row>
    <row r="366" ht="15.75" customHeight="1">
      <c r="A366" s="33"/>
      <c r="H366" s="33"/>
      <c r="L366" s="33"/>
      <c r="N366" s="33"/>
      <c r="O366" s="33"/>
      <c r="P366" s="33"/>
      <c r="Q366" s="33"/>
      <c r="S366" s="33"/>
      <c r="U366" s="33"/>
      <c r="W366" s="33"/>
      <c r="X366" s="34"/>
      <c r="Y366" s="33"/>
      <c r="Z366" s="34"/>
      <c r="AA366" s="33"/>
      <c r="AB366" s="33"/>
      <c r="AC366" s="33"/>
      <c r="AD366" s="35"/>
      <c r="AE366" s="33"/>
    </row>
    <row r="367" ht="15.75" customHeight="1">
      <c r="A367" s="33"/>
      <c r="H367" s="33"/>
      <c r="L367" s="33"/>
      <c r="N367" s="33"/>
      <c r="O367" s="33"/>
      <c r="P367" s="33"/>
      <c r="Q367" s="33"/>
      <c r="S367" s="33"/>
      <c r="U367" s="33"/>
      <c r="W367" s="33"/>
      <c r="X367" s="34"/>
      <c r="Y367" s="33"/>
      <c r="Z367" s="34"/>
      <c r="AA367" s="33"/>
      <c r="AB367" s="33"/>
      <c r="AC367" s="33"/>
      <c r="AD367" s="35"/>
      <c r="AE367" s="33"/>
    </row>
    <row r="368" ht="15.75" customHeight="1">
      <c r="A368" s="33"/>
      <c r="H368" s="33"/>
      <c r="L368" s="33"/>
      <c r="N368" s="33"/>
      <c r="O368" s="33"/>
      <c r="P368" s="33"/>
      <c r="Q368" s="33"/>
      <c r="S368" s="33"/>
      <c r="U368" s="33"/>
      <c r="W368" s="33"/>
      <c r="X368" s="34"/>
      <c r="Y368" s="33"/>
      <c r="Z368" s="34"/>
      <c r="AA368" s="33"/>
      <c r="AB368" s="33"/>
      <c r="AC368" s="33"/>
      <c r="AD368" s="35"/>
      <c r="AE368" s="33"/>
    </row>
    <row r="369" ht="15.75" customHeight="1">
      <c r="A369" s="33"/>
      <c r="H369" s="33"/>
      <c r="L369" s="33"/>
      <c r="N369" s="33"/>
      <c r="O369" s="33"/>
      <c r="P369" s="33"/>
      <c r="Q369" s="33"/>
      <c r="S369" s="33"/>
      <c r="U369" s="33"/>
      <c r="W369" s="33"/>
      <c r="X369" s="34"/>
      <c r="Y369" s="33"/>
      <c r="Z369" s="34"/>
      <c r="AA369" s="33"/>
      <c r="AB369" s="33"/>
      <c r="AC369" s="33"/>
      <c r="AD369" s="35"/>
      <c r="AE369" s="33"/>
    </row>
    <row r="370" ht="15.75" customHeight="1">
      <c r="A370" s="33"/>
      <c r="H370" s="33"/>
      <c r="L370" s="33"/>
      <c r="N370" s="33"/>
      <c r="O370" s="33"/>
      <c r="P370" s="33"/>
      <c r="Q370" s="33"/>
      <c r="S370" s="33"/>
      <c r="U370" s="33"/>
      <c r="W370" s="33"/>
      <c r="X370" s="34"/>
      <c r="Y370" s="33"/>
      <c r="Z370" s="34"/>
      <c r="AA370" s="33"/>
      <c r="AB370" s="33"/>
      <c r="AC370" s="33"/>
      <c r="AD370" s="35"/>
      <c r="AE370" s="33"/>
    </row>
    <row r="371" ht="15.75" customHeight="1">
      <c r="A371" s="33"/>
      <c r="H371" s="33"/>
      <c r="L371" s="33"/>
      <c r="N371" s="33"/>
      <c r="O371" s="33"/>
      <c r="P371" s="33"/>
      <c r="Q371" s="33"/>
      <c r="S371" s="33"/>
      <c r="U371" s="33"/>
      <c r="W371" s="33"/>
      <c r="X371" s="34"/>
      <c r="Y371" s="33"/>
      <c r="Z371" s="34"/>
      <c r="AA371" s="33"/>
      <c r="AB371" s="33"/>
      <c r="AC371" s="33"/>
      <c r="AD371" s="35"/>
      <c r="AE371" s="33"/>
    </row>
    <row r="372" ht="15.75" customHeight="1">
      <c r="A372" s="33"/>
      <c r="H372" s="33"/>
      <c r="L372" s="33"/>
      <c r="N372" s="33"/>
      <c r="O372" s="33"/>
      <c r="P372" s="33"/>
      <c r="Q372" s="33"/>
      <c r="S372" s="33"/>
      <c r="U372" s="33"/>
      <c r="W372" s="33"/>
      <c r="X372" s="34"/>
      <c r="Y372" s="33"/>
      <c r="Z372" s="34"/>
      <c r="AA372" s="33"/>
      <c r="AB372" s="33"/>
      <c r="AC372" s="33"/>
      <c r="AD372" s="35"/>
      <c r="AE372" s="33"/>
    </row>
    <row r="373" ht="15.75" customHeight="1">
      <c r="A373" s="33"/>
      <c r="H373" s="33"/>
      <c r="L373" s="33"/>
      <c r="N373" s="33"/>
      <c r="O373" s="33"/>
      <c r="P373" s="33"/>
      <c r="Q373" s="33"/>
      <c r="S373" s="33"/>
      <c r="U373" s="33"/>
      <c r="W373" s="33"/>
      <c r="X373" s="34"/>
      <c r="Y373" s="33"/>
      <c r="Z373" s="34"/>
      <c r="AA373" s="33"/>
      <c r="AB373" s="33"/>
      <c r="AC373" s="33"/>
      <c r="AD373" s="35"/>
      <c r="AE373" s="33"/>
    </row>
    <row r="374" ht="15.75" customHeight="1">
      <c r="A374" s="33"/>
      <c r="H374" s="33"/>
      <c r="L374" s="33"/>
      <c r="N374" s="33"/>
      <c r="O374" s="33"/>
      <c r="P374" s="33"/>
      <c r="Q374" s="33"/>
      <c r="S374" s="33"/>
      <c r="U374" s="33"/>
      <c r="W374" s="33"/>
      <c r="X374" s="34"/>
      <c r="Y374" s="33"/>
      <c r="Z374" s="34"/>
      <c r="AA374" s="33"/>
      <c r="AB374" s="33"/>
      <c r="AC374" s="33"/>
      <c r="AD374" s="35"/>
      <c r="AE374" s="33"/>
    </row>
    <row r="375" ht="15.75" customHeight="1">
      <c r="A375" s="33"/>
      <c r="H375" s="33"/>
      <c r="L375" s="33"/>
      <c r="N375" s="33"/>
      <c r="O375" s="33"/>
      <c r="P375" s="33"/>
      <c r="Q375" s="33"/>
      <c r="S375" s="33"/>
      <c r="U375" s="33"/>
      <c r="W375" s="33"/>
      <c r="X375" s="34"/>
      <c r="Y375" s="33"/>
      <c r="Z375" s="34"/>
      <c r="AA375" s="33"/>
      <c r="AB375" s="33"/>
      <c r="AC375" s="33"/>
      <c r="AD375" s="35"/>
      <c r="AE375" s="33"/>
    </row>
    <row r="376" ht="15.75" customHeight="1">
      <c r="A376" s="33"/>
      <c r="H376" s="33"/>
      <c r="L376" s="33"/>
      <c r="N376" s="33"/>
      <c r="O376" s="33"/>
      <c r="P376" s="33"/>
      <c r="Q376" s="33"/>
      <c r="S376" s="33"/>
      <c r="U376" s="33"/>
      <c r="W376" s="33"/>
      <c r="X376" s="34"/>
      <c r="Y376" s="33"/>
      <c r="Z376" s="34"/>
      <c r="AA376" s="33"/>
      <c r="AB376" s="33"/>
      <c r="AC376" s="33"/>
      <c r="AD376" s="35"/>
      <c r="AE376" s="33"/>
    </row>
    <row r="377" ht="15.75" customHeight="1">
      <c r="A377" s="33"/>
      <c r="H377" s="33"/>
      <c r="L377" s="33"/>
      <c r="N377" s="33"/>
      <c r="O377" s="33"/>
      <c r="P377" s="33"/>
      <c r="Q377" s="33"/>
      <c r="S377" s="33"/>
      <c r="U377" s="33"/>
      <c r="W377" s="33"/>
      <c r="X377" s="34"/>
      <c r="Y377" s="33"/>
      <c r="Z377" s="34"/>
      <c r="AA377" s="33"/>
      <c r="AB377" s="33"/>
      <c r="AC377" s="33"/>
      <c r="AD377" s="35"/>
      <c r="AE377" s="33"/>
    </row>
    <row r="378" ht="15.75" customHeight="1">
      <c r="A378" s="33"/>
      <c r="H378" s="33"/>
      <c r="L378" s="33"/>
      <c r="N378" s="33"/>
      <c r="O378" s="33"/>
      <c r="P378" s="33"/>
      <c r="Q378" s="33"/>
      <c r="S378" s="33"/>
      <c r="U378" s="33"/>
      <c r="W378" s="33"/>
      <c r="X378" s="34"/>
      <c r="Y378" s="33"/>
      <c r="Z378" s="34"/>
      <c r="AA378" s="33"/>
      <c r="AB378" s="33"/>
      <c r="AC378" s="33"/>
      <c r="AD378" s="35"/>
      <c r="AE378" s="33"/>
    </row>
    <row r="379" ht="15.75" customHeight="1">
      <c r="A379" s="33"/>
      <c r="H379" s="33"/>
      <c r="L379" s="33"/>
      <c r="N379" s="33"/>
      <c r="O379" s="33"/>
      <c r="P379" s="33"/>
      <c r="Q379" s="33"/>
      <c r="S379" s="33"/>
      <c r="U379" s="33"/>
      <c r="W379" s="33"/>
      <c r="X379" s="34"/>
      <c r="Y379" s="33"/>
      <c r="Z379" s="34"/>
      <c r="AA379" s="33"/>
      <c r="AB379" s="33"/>
      <c r="AC379" s="33"/>
      <c r="AD379" s="35"/>
      <c r="AE379" s="33"/>
    </row>
    <row r="380" ht="15.75" customHeight="1">
      <c r="A380" s="33"/>
      <c r="H380" s="33"/>
      <c r="L380" s="33"/>
      <c r="N380" s="33"/>
      <c r="O380" s="33"/>
      <c r="P380" s="33"/>
      <c r="Q380" s="33"/>
      <c r="S380" s="33"/>
      <c r="U380" s="33"/>
      <c r="W380" s="33"/>
      <c r="X380" s="34"/>
      <c r="Y380" s="33"/>
      <c r="Z380" s="34"/>
      <c r="AA380" s="33"/>
      <c r="AB380" s="33"/>
      <c r="AC380" s="33"/>
      <c r="AD380" s="35"/>
      <c r="AE380" s="33"/>
    </row>
    <row r="381" ht="15.75" customHeight="1">
      <c r="A381" s="33"/>
      <c r="H381" s="33"/>
      <c r="L381" s="33"/>
      <c r="N381" s="33"/>
      <c r="O381" s="33"/>
      <c r="P381" s="33"/>
      <c r="Q381" s="33"/>
      <c r="S381" s="33"/>
      <c r="U381" s="33"/>
      <c r="W381" s="33"/>
      <c r="X381" s="34"/>
      <c r="Y381" s="33"/>
      <c r="Z381" s="34"/>
      <c r="AA381" s="33"/>
      <c r="AB381" s="33"/>
      <c r="AC381" s="33"/>
      <c r="AD381" s="35"/>
      <c r="AE381" s="33"/>
    </row>
    <row r="382" ht="15.75" customHeight="1">
      <c r="A382" s="33"/>
      <c r="H382" s="33"/>
      <c r="L382" s="33"/>
      <c r="N382" s="33"/>
      <c r="O382" s="33"/>
      <c r="P382" s="33"/>
      <c r="Q382" s="33"/>
      <c r="S382" s="33"/>
      <c r="U382" s="33"/>
      <c r="W382" s="33"/>
      <c r="X382" s="34"/>
      <c r="Y382" s="33"/>
      <c r="Z382" s="34"/>
      <c r="AA382" s="33"/>
      <c r="AB382" s="33"/>
      <c r="AC382" s="33"/>
      <c r="AD382" s="35"/>
      <c r="AE382" s="33"/>
    </row>
    <row r="383" ht="15.75" customHeight="1">
      <c r="A383" s="33"/>
      <c r="H383" s="33"/>
      <c r="L383" s="33"/>
      <c r="N383" s="33"/>
      <c r="O383" s="33"/>
      <c r="P383" s="33"/>
      <c r="Q383" s="33"/>
      <c r="S383" s="33"/>
      <c r="U383" s="33"/>
      <c r="W383" s="33"/>
      <c r="X383" s="34"/>
      <c r="Y383" s="33"/>
      <c r="Z383" s="34"/>
      <c r="AA383" s="33"/>
      <c r="AB383" s="33"/>
      <c r="AC383" s="33"/>
      <c r="AD383" s="35"/>
      <c r="AE383" s="33"/>
    </row>
    <row r="384" ht="15.75" customHeight="1">
      <c r="A384" s="33"/>
      <c r="H384" s="33"/>
      <c r="L384" s="33"/>
      <c r="N384" s="33"/>
      <c r="O384" s="33"/>
      <c r="P384" s="33"/>
      <c r="Q384" s="33"/>
      <c r="S384" s="33"/>
      <c r="U384" s="33"/>
      <c r="W384" s="33"/>
      <c r="X384" s="34"/>
      <c r="Y384" s="33"/>
      <c r="Z384" s="34"/>
      <c r="AA384" s="33"/>
      <c r="AB384" s="33"/>
      <c r="AC384" s="33"/>
      <c r="AD384" s="35"/>
      <c r="AE384" s="33"/>
    </row>
    <row r="385" ht="15.75" customHeight="1">
      <c r="A385" s="33"/>
      <c r="H385" s="33"/>
      <c r="L385" s="33"/>
      <c r="N385" s="33"/>
      <c r="O385" s="33"/>
      <c r="P385" s="33"/>
      <c r="Q385" s="33"/>
      <c r="S385" s="33"/>
      <c r="U385" s="33"/>
      <c r="W385" s="33"/>
      <c r="X385" s="34"/>
      <c r="Y385" s="33"/>
      <c r="Z385" s="34"/>
      <c r="AA385" s="33"/>
      <c r="AB385" s="33"/>
      <c r="AC385" s="33"/>
      <c r="AD385" s="35"/>
      <c r="AE385" s="33"/>
    </row>
    <row r="386" ht="15.75" customHeight="1">
      <c r="A386" s="33"/>
      <c r="H386" s="33"/>
      <c r="L386" s="33"/>
      <c r="N386" s="33"/>
      <c r="O386" s="33"/>
      <c r="P386" s="33"/>
      <c r="Q386" s="33"/>
      <c r="S386" s="33"/>
      <c r="U386" s="33"/>
      <c r="W386" s="33"/>
      <c r="X386" s="34"/>
      <c r="Y386" s="33"/>
      <c r="Z386" s="34"/>
      <c r="AA386" s="33"/>
      <c r="AB386" s="33"/>
      <c r="AC386" s="33"/>
      <c r="AD386" s="35"/>
      <c r="AE386" s="33"/>
    </row>
    <row r="387" ht="15.75" customHeight="1">
      <c r="A387" s="33"/>
      <c r="H387" s="33"/>
      <c r="L387" s="33"/>
      <c r="N387" s="33"/>
      <c r="O387" s="33"/>
      <c r="P387" s="33"/>
      <c r="Q387" s="33"/>
      <c r="S387" s="33"/>
      <c r="U387" s="33"/>
      <c r="W387" s="33"/>
      <c r="X387" s="34"/>
      <c r="Y387" s="33"/>
      <c r="Z387" s="34"/>
      <c r="AA387" s="33"/>
      <c r="AB387" s="33"/>
      <c r="AC387" s="33"/>
      <c r="AD387" s="35"/>
      <c r="AE387" s="33"/>
    </row>
    <row r="388" ht="15.75" customHeight="1">
      <c r="A388" s="33"/>
      <c r="H388" s="33"/>
      <c r="L388" s="33"/>
      <c r="N388" s="33"/>
      <c r="O388" s="33"/>
      <c r="P388" s="33"/>
      <c r="Q388" s="33"/>
      <c r="S388" s="33"/>
      <c r="U388" s="33"/>
      <c r="W388" s="33"/>
      <c r="X388" s="34"/>
      <c r="Y388" s="33"/>
      <c r="Z388" s="34"/>
      <c r="AA388" s="33"/>
      <c r="AB388" s="33"/>
      <c r="AC388" s="33"/>
      <c r="AD388" s="35"/>
      <c r="AE388" s="33"/>
    </row>
    <row r="389" ht="15.75" customHeight="1">
      <c r="A389" s="33"/>
      <c r="H389" s="33"/>
      <c r="L389" s="33"/>
      <c r="N389" s="33"/>
      <c r="O389" s="33"/>
      <c r="P389" s="33"/>
      <c r="Q389" s="33"/>
      <c r="S389" s="33"/>
      <c r="U389" s="33"/>
      <c r="W389" s="33"/>
      <c r="X389" s="34"/>
      <c r="Y389" s="33"/>
      <c r="Z389" s="34"/>
      <c r="AA389" s="33"/>
      <c r="AB389" s="33"/>
      <c r="AC389" s="33"/>
      <c r="AD389" s="35"/>
      <c r="AE389" s="33"/>
    </row>
    <row r="390" ht="15.75" customHeight="1">
      <c r="A390" s="33"/>
      <c r="H390" s="33"/>
      <c r="L390" s="33"/>
      <c r="N390" s="33"/>
      <c r="O390" s="33"/>
      <c r="P390" s="33"/>
      <c r="Q390" s="33"/>
      <c r="S390" s="33"/>
      <c r="U390" s="33"/>
      <c r="W390" s="33"/>
      <c r="X390" s="34"/>
      <c r="Y390" s="33"/>
      <c r="Z390" s="34"/>
      <c r="AA390" s="33"/>
      <c r="AB390" s="33"/>
      <c r="AC390" s="33"/>
      <c r="AD390" s="35"/>
      <c r="AE390" s="33"/>
    </row>
    <row r="391" ht="15.75" customHeight="1">
      <c r="A391" s="33"/>
      <c r="H391" s="33"/>
      <c r="L391" s="33"/>
      <c r="N391" s="33"/>
      <c r="O391" s="33"/>
      <c r="P391" s="33"/>
      <c r="Q391" s="33"/>
      <c r="S391" s="33"/>
      <c r="U391" s="33"/>
      <c r="W391" s="33"/>
      <c r="X391" s="34"/>
      <c r="Y391" s="33"/>
      <c r="Z391" s="34"/>
      <c r="AA391" s="33"/>
      <c r="AB391" s="33"/>
      <c r="AC391" s="33"/>
      <c r="AD391" s="35"/>
      <c r="AE391" s="33"/>
    </row>
    <row r="392" ht="15.75" customHeight="1">
      <c r="A392" s="33"/>
      <c r="H392" s="33"/>
      <c r="L392" s="33"/>
      <c r="N392" s="33"/>
      <c r="O392" s="33"/>
      <c r="P392" s="33"/>
      <c r="Q392" s="33"/>
      <c r="S392" s="33"/>
      <c r="U392" s="33"/>
      <c r="W392" s="33"/>
      <c r="X392" s="34"/>
      <c r="Y392" s="33"/>
      <c r="Z392" s="34"/>
      <c r="AA392" s="33"/>
      <c r="AB392" s="33"/>
      <c r="AC392" s="33"/>
      <c r="AD392" s="35"/>
      <c r="AE392" s="33"/>
    </row>
    <row r="393" ht="15.75" customHeight="1">
      <c r="A393" s="33"/>
      <c r="H393" s="33"/>
      <c r="L393" s="33"/>
      <c r="N393" s="33"/>
      <c r="O393" s="33"/>
      <c r="P393" s="33"/>
      <c r="Q393" s="33"/>
      <c r="S393" s="33"/>
      <c r="U393" s="33"/>
      <c r="W393" s="33"/>
      <c r="X393" s="34"/>
      <c r="Y393" s="33"/>
      <c r="Z393" s="34"/>
      <c r="AA393" s="33"/>
      <c r="AB393" s="33"/>
      <c r="AC393" s="33"/>
      <c r="AD393" s="35"/>
      <c r="AE393" s="33"/>
    </row>
    <row r="394" ht="15.75" customHeight="1">
      <c r="A394" s="33"/>
      <c r="H394" s="33"/>
      <c r="L394" s="33"/>
      <c r="N394" s="33"/>
      <c r="O394" s="33"/>
      <c r="P394" s="33"/>
      <c r="Q394" s="33"/>
      <c r="S394" s="33"/>
      <c r="U394" s="33"/>
      <c r="W394" s="33"/>
      <c r="X394" s="34"/>
      <c r="Y394" s="33"/>
      <c r="Z394" s="34"/>
      <c r="AA394" s="33"/>
      <c r="AB394" s="33"/>
      <c r="AC394" s="33"/>
      <c r="AD394" s="35"/>
      <c r="AE394" s="33"/>
    </row>
    <row r="395" ht="15.75" customHeight="1">
      <c r="A395" s="33"/>
      <c r="H395" s="33"/>
      <c r="L395" s="33"/>
      <c r="N395" s="33"/>
      <c r="O395" s="33"/>
      <c r="P395" s="33"/>
      <c r="Q395" s="33"/>
      <c r="S395" s="33"/>
      <c r="U395" s="33"/>
      <c r="W395" s="33"/>
      <c r="X395" s="34"/>
      <c r="Y395" s="33"/>
      <c r="Z395" s="34"/>
      <c r="AA395" s="33"/>
      <c r="AB395" s="33"/>
      <c r="AC395" s="33"/>
      <c r="AD395" s="35"/>
      <c r="AE395" s="33"/>
    </row>
    <row r="396" ht="15.75" customHeight="1">
      <c r="A396" s="33"/>
      <c r="H396" s="33"/>
      <c r="L396" s="33"/>
      <c r="N396" s="33"/>
      <c r="O396" s="33"/>
      <c r="P396" s="33"/>
      <c r="Q396" s="33"/>
      <c r="S396" s="33"/>
      <c r="U396" s="33"/>
      <c r="W396" s="33"/>
      <c r="X396" s="34"/>
      <c r="Y396" s="33"/>
      <c r="Z396" s="34"/>
      <c r="AA396" s="33"/>
      <c r="AB396" s="33"/>
      <c r="AC396" s="33"/>
      <c r="AD396" s="35"/>
      <c r="AE396" s="33"/>
    </row>
    <row r="397" ht="15.75" customHeight="1">
      <c r="A397" s="33"/>
      <c r="H397" s="33"/>
      <c r="L397" s="33"/>
      <c r="N397" s="33"/>
      <c r="O397" s="33"/>
      <c r="P397" s="33"/>
      <c r="Q397" s="33"/>
      <c r="S397" s="33"/>
      <c r="U397" s="33"/>
      <c r="W397" s="33"/>
      <c r="X397" s="34"/>
      <c r="Y397" s="33"/>
      <c r="Z397" s="34"/>
      <c r="AA397" s="33"/>
      <c r="AB397" s="33"/>
      <c r="AC397" s="33"/>
      <c r="AD397" s="35"/>
      <c r="AE397" s="33"/>
    </row>
    <row r="398" ht="15.75" customHeight="1">
      <c r="A398" s="33"/>
      <c r="H398" s="33"/>
      <c r="L398" s="33"/>
      <c r="N398" s="33"/>
      <c r="O398" s="33"/>
      <c r="P398" s="33"/>
      <c r="Q398" s="33"/>
      <c r="S398" s="33"/>
      <c r="U398" s="33"/>
      <c r="W398" s="33"/>
      <c r="X398" s="34"/>
      <c r="Y398" s="33"/>
      <c r="Z398" s="34"/>
      <c r="AA398" s="33"/>
      <c r="AB398" s="33"/>
      <c r="AC398" s="33"/>
      <c r="AD398" s="35"/>
      <c r="AE398" s="33"/>
    </row>
    <row r="399" ht="15.75" customHeight="1">
      <c r="A399" s="33"/>
      <c r="H399" s="33"/>
      <c r="L399" s="33"/>
      <c r="N399" s="33"/>
      <c r="O399" s="33"/>
      <c r="P399" s="33"/>
      <c r="Q399" s="33"/>
      <c r="S399" s="33"/>
      <c r="U399" s="33"/>
      <c r="W399" s="33"/>
      <c r="X399" s="34"/>
      <c r="Y399" s="33"/>
      <c r="Z399" s="34"/>
      <c r="AA399" s="33"/>
      <c r="AB399" s="33"/>
      <c r="AC399" s="33"/>
      <c r="AD399" s="35"/>
      <c r="AE399" s="33"/>
    </row>
    <row r="400" ht="15.75" customHeight="1">
      <c r="A400" s="33"/>
      <c r="H400" s="33"/>
      <c r="L400" s="33"/>
      <c r="N400" s="33"/>
      <c r="O400" s="33"/>
      <c r="P400" s="33"/>
      <c r="Q400" s="33"/>
      <c r="S400" s="33"/>
      <c r="U400" s="33"/>
      <c r="W400" s="33"/>
      <c r="X400" s="34"/>
      <c r="Y400" s="33"/>
      <c r="Z400" s="34"/>
      <c r="AA400" s="33"/>
      <c r="AB400" s="33"/>
      <c r="AC400" s="33"/>
      <c r="AD400" s="35"/>
      <c r="AE400" s="33"/>
    </row>
    <row r="401" ht="15.75" customHeight="1">
      <c r="A401" s="33"/>
      <c r="H401" s="33"/>
      <c r="L401" s="33"/>
      <c r="N401" s="33"/>
      <c r="O401" s="33"/>
      <c r="P401" s="33"/>
      <c r="Q401" s="33"/>
      <c r="S401" s="33"/>
      <c r="U401" s="33"/>
      <c r="W401" s="33"/>
      <c r="X401" s="34"/>
      <c r="Y401" s="33"/>
      <c r="Z401" s="34"/>
      <c r="AA401" s="33"/>
      <c r="AB401" s="33"/>
      <c r="AC401" s="33"/>
      <c r="AD401" s="35"/>
      <c r="AE401" s="33"/>
    </row>
    <row r="402" ht="15.75" customHeight="1">
      <c r="A402" s="33"/>
      <c r="H402" s="33"/>
      <c r="L402" s="33"/>
      <c r="N402" s="33"/>
      <c r="O402" s="33"/>
      <c r="P402" s="33"/>
      <c r="Q402" s="33"/>
      <c r="S402" s="33"/>
      <c r="U402" s="33"/>
      <c r="W402" s="33"/>
      <c r="X402" s="34"/>
      <c r="Y402" s="33"/>
      <c r="Z402" s="34"/>
      <c r="AA402" s="33"/>
      <c r="AB402" s="33"/>
      <c r="AC402" s="33"/>
      <c r="AD402" s="35"/>
      <c r="AE402" s="33"/>
    </row>
    <row r="403" ht="15.75" customHeight="1">
      <c r="A403" s="33"/>
      <c r="H403" s="33"/>
      <c r="L403" s="33"/>
      <c r="N403" s="33"/>
      <c r="O403" s="33"/>
      <c r="P403" s="33"/>
      <c r="Q403" s="33"/>
      <c r="S403" s="33"/>
      <c r="U403" s="33"/>
      <c r="W403" s="33"/>
      <c r="X403" s="34"/>
      <c r="Y403" s="33"/>
      <c r="Z403" s="34"/>
      <c r="AA403" s="33"/>
      <c r="AB403" s="33"/>
      <c r="AC403" s="33"/>
      <c r="AD403" s="35"/>
      <c r="AE403" s="33"/>
    </row>
    <row r="404" ht="15.75" customHeight="1">
      <c r="A404" s="33"/>
      <c r="H404" s="33"/>
      <c r="L404" s="33"/>
      <c r="N404" s="33"/>
      <c r="O404" s="33"/>
      <c r="P404" s="33"/>
      <c r="Q404" s="33"/>
      <c r="S404" s="33"/>
      <c r="U404" s="33"/>
      <c r="W404" s="33"/>
      <c r="X404" s="34"/>
      <c r="Y404" s="33"/>
      <c r="Z404" s="34"/>
      <c r="AA404" s="33"/>
      <c r="AB404" s="33"/>
      <c r="AC404" s="33"/>
      <c r="AD404" s="35"/>
      <c r="AE404" s="33"/>
    </row>
    <row r="405" ht="15.75" customHeight="1">
      <c r="A405" s="33"/>
      <c r="H405" s="33"/>
      <c r="L405" s="33"/>
      <c r="N405" s="33"/>
      <c r="O405" s="33"/>
      <c r="P405" s="33"/>
      <c r="Q405" s="33"/>
      <c r="S405" s="33"/>
      <c r="U405" s="33"/>
      <c r="W405" s="33"/>
      <c r="X405" s="34"/>
      <c r="Y405" s="33"/>
      <c r="Z405" s="34"/>
      <c r="AA405" s="33"/>
      <c r="AB405" s="33"/>
      <c r="AC405" s="33"/>
      <c r="AD405" s="35"/>
      <c r="AE405" s="33"/>
    </row>
    <row r="406" ht="15.75" customHeight="1">
      <c r="A406" s="33"/>
      <c r="H406" s="33"/>
      <c r="L406" s="33"/>
      <c r="N406" s="33"/>
      <c r="O406" s="33"/>
      <c r="P406" s="33"/>
      <c r="Q406" s="33"/>
      <c r="S406" s="33"/>
      <c r="U406" s="33"/>
      <c r="W406" s="33"/>
      <c r="X406" s="34"/>
      <c r="Y406" s="33"/>
      <c r="Z406" s="34"/>
      <c r="AA406" s="33"/>
      <c r="AB406" s="33"/>
      <c r="AC406" s="33"/>
      <c r="AD406" s="35"/>
      <c r="AE406" s="33"/>
    </row>
    <row r="407" ht="15.75" customHeight="1">
      <c r="A407" s="33"/>
      <c r="H407" s="33"/>
      <c r="L407" s="33"/>
      <c r="N407" s="33"/>
      <c r="O407" s="33"/>
      <c r="P407" s="33"/>
      <c r="Q407" s="33"/>
      <c r="S407" s="33"/>
      <c r="U407" s="33"/>
      <c r="W407" s="33"/>
      <c r="X407" s="34"/>
      <c r="Y407" s="33"/>
      <c r="Z407" s="34"/>
      <c r="AA407" s="33"/>
      <c r="AB407" s="33"/>
      <c r="AC407" s="33"/>
      <c r="AD407" s="35"/>
      <c r="AE407" s="33"/>
    </row>
    <row r="408" ht="15.75" customHeight="1">
      <c r="A408" s="33"/>
      <c r="H408" s="33"/>
      <c r="L408" s="33"/>
      <c r="N408" s="33"/>
      <c r="O408" s="33"/>
      <c r="P408" s="33"/>
      <c r="Q408" s="33"/>
      <c r="S408" s="33"/>
      <c r="U408" s="33"/>
      <c r="W408" s="33"/>
      <c r="X408" s="34"/>
      <c r="Y408" s="33"/>
      <c r="Z408" s="34"/>
      <c r="AA408" s="33"/>
      <c r="AB408" s="33"/>
      <c r="AC408" s="33"/>
      <c r="AD408" s="35"/>
      <c r="AE408" s="33"/>
    </row>
    <row r="409" ht="15.75" customHeight="1">
      <c r="A409" s="33"/>
      <c r="H409" s="33"/>
      <c r="L409" s="33"/>
      <c r="N409" s="33"/>
      <c r="O409" s="33"/>
      <c r="P409" s="33"/>
      <c r="Q409" s="33"/>
      <c r="S409" s="33"/>
      <c r="U409" s="33"/>
      <c r="W409" s="33"/>
      <c r="X409" s="34"/>
      <c r="Y409" s="33"/>
      <c r="Z409" s="34"/>
      <c r="AA409" s="33"/>
      <c r="AB409" s="33"/>
      <c r="AC409" s="33"/>
      <c r="AD409" s="35"/>
      <c r="AE409" s="33"/>
    </row>
    <row r="410" ht="15.75" customHeight="1">
      <c r="A410" s="33"/>
      <c r="H410" s="33"/>
      <c r="L410" s="33"/>
      <c r="N410" s="33"/>
      <c r="O410" s="33"/>
      <c r="P410" s="33"/>
      <c r="Q410" s="33"/>
      <c r="S410" s="33"/>
      <c r="U410" s="33"/>
      <c r="W410" s="33"/>
      <c r="X410" s="34"/>
      <c r="Y410" s="33"/>
      <c r="Z410" s="34"/>
      <c r="AA410" s="33"/>
      <c r="AB410" s="33"/>
      <c r="AC410" s="33"/>
      <c r="AD410" s="35"/>
      <c r="AE410" s="33"/>
    </row>
    <row r="411" ht="15.75" customHeight="1">
      <c r="A411" s="33"/>
      <c r="H411" s="33"/>
      <c r="L411" s="33"/>
      <c r="N411" s="33"/>
      <c r="O411" s="33"/>
      <c r="P411" s="33"/>
      <c r="Q411" s="33"/>
      <c r="S411" s="33"/>
      <c r="U411" s="33"/>
      <c r="W411" s="33"/>
      <c r="X411" s="34"/>
      <c r="Y411" s="33"/>
      <c r="Z411" s="34"/>
      <c r="AA411" s="33"/>
      <c r="AB411" s="33"/>
      <c r="AC411" s="33"/>
      <c r="AD411" s="35"/>
      <c r="AE411" s="33"/>
    </row>
    <row r="412" ht="15.75" customHeight="1">
      <c r="A412" s="33"/>
      <c r="H412" s="33"/>
      <c r="L412" s="33"/>
      <c r="N412" s="33"/>
      <c r="O412" s="33"/>
      <c r="P412" s="33"/>
      <c r="Q412" s="33"/>
      <c r="S412" s="33"/>
      <c r="U412" s="33"/>
      <c r="W412" s="33"/>
      <c r="X412" s="34"/>
      <c r="Y412" s="33"/>
      <c r="Z412" s="34"/>
      <c r="AA412" s="33"/>
      <c r="AB412" s="33"/>
      <c r="AC412" s="33"/>
      <c r="AD412" s="35"/>
      <c r="AE412" s="33"/>
    </row>
    <row r="413" ht="15.75" customHeight="1">
      <c r="A413" s="33"/>
      <c r="H413" s="33"/>
      <c r="L413" s="33"/>
      <c r="N413" s="33"/>
      <c r="O413" s="33"/>
      <c r="P413" s="33"/>
      <c r="Q413" s="33"/>
      <c r="S413" s="33"/>
      <c r="U413" s="33"/>
      <c r="W413" s="33"/>
      <c r="X413" s="34"/>
      <c r="Y413" s="33"/>
      <c r="Z413" s="34"/>
      <c r="AA413" s="33"/>
      <c r="AB413" s="33"/>
      <c r="AC413" s="33"/>
      <c r="AD413" s="35"/>
      <c r="AE413" s="33"/>
    </row>
    <row r="414" ht="15.75" customHeight="1">
      <c r="A414" s="33"/>
      <c r="H414" s="33"/>
      <c r="L414" s="33"/>
      <c r="N414" s="33"/>
      <c r="O414" s="33"/>
      <c r="P414" s="33"/>
      <c r="Q414" s="33"/>
      <c r="S414" s="33"/>
      <c r="U414" s="33"/>
      <c r="W414" s="33"/>
      <c r="X414" s="34"/>
      <c r="Y414" s="33"/>
      <c r="Z414" s="34"/>
      <c r="AA414" s="33"/>
      <c r="AB414" s="33"/>
      <c r="AC414" s="33"/>
      <c r="AD414" s="35"/>
      <c r="AE414" s="33"/>
    </row>
    <row r="415" ht="15.75" customHeight="1">
      <c r="A415" s="33"/>
      <c r="H415" s="33"/>
      <c r="L415" s="33"/>
      <c r="N415" s="33"/>
      <c r="O415" s="33"/>
      <c r="P415" s="33"/>
      <c r="Q415" s="33"/>
      <c r="S415" s="33"/>
      <c r="U415" s="33"/>
      <c r="W415" s="33"/>
      <c r="X415" s="34"/>
      <c r="Y415" s="33"/>
      <c r="Z415" s="34"/>
      <c r="AA415" s="33"/>
      <c r="AB415" s="33"/>
      <c r="AC415" s="33"/>
      <c r="AD415" s="35"/>
      <c r="AE415" s="33"/>
    </row>
    <row r="416" ht="15.75" customHeight="1">
      <c r="A416" s="33"/>
      <c r="H416" s="33"/>
      <c r="L416" s="33"/>
      <c r="N416" s="33"/>
      <c r="O416" s="33"/>
      <c r="P416" s="33"/>
      <c r="Q416" s="33"/>
      <c r="S416" s="33"/>
      <c r="U416" s="33"/>
      <c r="W416" s="33"/>
      <c r="X416" s="34"/>
      <c r="Y416" s="33"/>
      <c r="Z416" s="34"/>
      <c r="AA416" s="33"/>
      <c r="AB416" s="33"/>
      <c r="AC416" s="33"/>
      <c r="AD416" s="35"/>
      <c r="AE416" s="33"/>
    </row>
    <row r="417" ht="15.75" customHeight="1">
      <c r="A417" s="33"/>
      <c r="H417" s="33"/>
      <c r="L417" s="33"/>
      <c r="N417" s="33"/>
      <c r="O417" s="33"/>
      <c r="P417" s="33"/>
      <c r="Q417" s="33"/>
      <c r="S417" s="33"/>
      <c r="U417" s="33"/>
      <c r="W417" s="33"/>
      <c r="X417" s="34"/>
      <c r="Y417" s="33"/>
      <c r="Z417" s="34"/>
      <c r="AA417" s="33"/>
      <c r="AB417" s="33"/>
      <c r="AC417" s="33"/>
      <c r="AD417" s="35"/>
      <c r="AE417" s="33"/>
    </row>
    <row r="418" ht="15.75" customHeight="1">
      <c r="A418" s="33"/>
      <c r="H418" s="33"/>
      <c r="L418" s="33"/>
      <c r="N418" s="33"/>
      <c r="O418" s="33"/>
      <c r="P418" s="33"/>
      <c r="Q418" s="33"/>
      <c r="S418" s="33"/>
      <c r="U418" s="33"/>
      <c r="W418" s="33"/>
      <c r="X418" s="34"/>
      <c r="Y418" s="33"/>
      <c r="Z418" s="34"/>
      <c r="AA418" s="33"/>
      <c r="AB418" s="33"/>
      <c r="AC418" s="33"/>
      <c r="AD418" s="35"/>
      <c r="AE418" s="33"/>
    </row>
    <row r="419" ht="15.75" customHeight="1">
      <c r="A419" s="33"/>
      <c r="H419" s="33"/>
      <c r="L419" s="33"/>
      <c r="N419" s="33"/>
      <c r="O419" s="33"/>
      <c r="P419" s="33"/>
      <c r="Q419" s="33"/>
      <c r="S419" s="33"/>
      <c r="U419" s="33"/>
      <c r="W419" s="33"/>
      <c r="X419" s="34"/>
      <c r="Y419" s="33"/>
      <c r="Z419" s="34"/>
      <c r="AA419" s="33"/>
      <c r="AB419" s="33"/>
      <c r="AC419" s="33"/>
      <c r="AD419" s="35"/>
      <c r="AE419" s="33"/>
    </row>
    <row r="420" ht="15.75" customHeight="1">
      <c r="A420" s="33"/>
      <c r="H420" s="33"/>
      <c r="L420" s="33"/>
      <c r="N420" s="33"/>
      <c r="O420" s="33"/>
      <c r="P420" s="33"/>
      <c r="Q420" s="33"/>
      <c r="S420" s="33"/>
      <c r="U420" s="33"/>
      <c r="W420" s="33"/>
      <c r="X420" s="34"/>
      <c r="Y420" s="33"/>
      <c r="Z420" s="34"/>
      <c r="AA420" s="33"/>
      <c r="AB420" s="33"/>
      <c r="AC420" s="33"/>
      <c r="AD420" s="35"/>
      <c r="AE420" s="33"/>
    </row>
    <row r="421" ht="15.75" customHeight="1">
      <c r="A421" s="33"/>
      <c r="H421" s="33"/>
      <c r="L421" s="33"/>
      <c r="N421" s="33"/>
      <c r="O421" s="33"/>
      <c r="P421" s="33"/>
      <c r="Q421" s="33"/>
      <c r="S421" s="33"/>
      <c r="U421" s="33"/>
      <c r="W421" s="33"/>
      <c r="X421" s="34"/>
      <c r="Y421" s="33"/>
      <c r="Z421" s="34"/>
      <c r="AA421" s="33"/>
      <c r="AB421" s="33"/>
      <c r="AC421" s="33"/>
      <c r="AD421" s="35"/>
      <c r="AE421" s="33"/>
    </row>
    <row r="422" ht="15.75" customHeight="1">
      <c r="A422" s="33"/>
      <c r="H422" s="33"/>
      <c r="L422" s="33"/>
      <c r="N422" s="33"/>
      <c r="O422" s="33"/>
      <c r="P422" s="33"/>
      <c r="Q422" s="33"/>
      <c r="S422" s="33"/>
      <c r="U422" s="33"/>
      <c r="W422" s="33"/>
      <c r="X422" s="34"/>
      <c r="Y422" s="33"/>
      <c r="Z422" s="34"/>
      <c r="AA422" s="33"/>
      <c r="AB422" s="33"/>
      <c r="AC422" s="33"/>
      <c r="AD422" s="35"/>
      <c r="AE422" s="33"/>
    </row>
    <row r="423" ht="15.75" customHeight="1">
      <c r="A423" s="33"/>
      <c r="H423" s="33"/>
      <c r="L423" s="33"/>
      <c r="N423" s="33"/>
      <c r="O423" s="33"/>
      <c r="P423" s="33"/>
      <c r="Q423" s="33"/>
      <c r="S423" s="33"/>
      <c r="U423" s="33"/>
      <c r="W423" s="33"/>
      <c r="X423" s="34"/>
      <c r="Y423" s="33"/>
      <c r="Z423" s="34"/>
      <c r="AA423" s="33"/>
      <c r="AB423" s="33"/>
      <c r="AC423" s="33"/>
      <c r="AD423" s="35"/>
      <c r="AE423" s="33"/>
    </row>
    <row r="424" ht="15.75" customHeight="1">
      <c r="A424" s="33"/>
      <c r="H424" s="33"/>
      <c r="L424" s="33"/>
      <c r="N424" s="33"/>
      <c r="O424" s="33"/>
      <c r="P424" s="33"/>
      <c r="Q424" s="33"/>
      <c r="S424" s="33"/>
      <c r="U424" s="33"/>
      <c r="W424" s="33"/>
      <c r="X424" s="34"/>
      <c r="Y424" s="33"/>
      <c r="Z424" s="34"/>
      <c r="AA424" s="33"/>
      <c r="AB424" s="33"/>
      <c r="AC424" s="33"/>
      <c r="AD424" s="35"/>
      <c r="AE424" s="33"/>
    </row>
    <row r="425" ht="15.75" customHeight="1">
      <c r="A425" s="33"/>
      <c r="H425" s="33"/>
      <c r="L425" s="33"/>
      <c r="N425" s="33"/>
      <c r="O425" s="33"/>
      <c r="P425" s="33"/>
      <c r="Q425" s="33"/>
      <c r="S425" s="33"/>
      <c r="U425" s="33"/>
      <c r="W425" s="33"/>
      <c r="X425" s="34"/>
      <c r="Y425" s="33"/>
      <c r="Z425" s="34"/>
      <c r="AA425" s="33"/>
      <c r="AB425" s="33"/>
      <c r="AC425" s="33"/>
      <c r="AD425" s="35"/>
      <c r="AE425" s="33"/>
    </row>
    <row r="426" ht="15.75" customHeight="1">
      <c r="A426" s="33"/>
      <c r="H426" s="33"/>
      <c r="L426" s="33"/>
      <c r="N426" s="33"/>
      <c r="O426" s="33"/>
      <c r="P426" s="33"/>
      <c r="Q426" s="33"/>
      <c r="S426" s="33"/>
      <c r="U426" s="33"/>
      <c r="W426" s="33"/>
      <c r="X426" s="34"/>
      <c r="Y426" s="33"/>
      <c r="Z426" s="34"/>
      <c r="AA426" s="33"/>
      <c r="AB426" s="33"/>
      <c r="AC426" s="33"/>
      <c r="AD426" s="35"/>
      <c r="AE426" s="33"/>
    </row>
    <row r="427" ht="15.75" customHeight="1">
      <c r="A427" s="33"/>
      <c r="H427" s="33"/>
      <c r="L427" s="33"/>
      <c r="N427" s="33"/>
      <c r="O427" s="33"/>
      <c r="P427" s="33"/>
      <c r="Q427" s="33"/>
      <c r="S427" s="33"/>
      <c r="U427" s="33"/>
      <c r="W427" s="33"/>
      <c r="X427" s="34"/>
      <c r="Y427" s="33"/>
      <c r="Z427" s="34"/>
      <c r="AA427" s="33"/>
      <c r="AB427" s="33"/>
      <c r="AC427" s="33"/>
      <c r="AD427" s="35"/>
      <c r="AE427" s="33"/>
    </row>
    <row r="428" ht="15.75" customHeight="1">
      <c r="A428" s="33"/>
      <c r="H428" s="33"/>
      <c r="L428" s="33"/>
      <c r="N428" s="33"/>
      <c r="O428" s="33"/>
      <c r="P428" s="33"/>
      <c r="Q428" s="33"/>
      <c r="S428" s="33"/>
      <c r="U428" s="33"/>
      <c r="W428" s="33"/>
      <c r="X428" s="34"/>
      <c r="Y428" s="33"/>
      <c r="Z428" s="34"/>
      <c r="AA428" s="33"/>
      <c r="AB428" s="33"/>
      <c r="AC428" s="33"/>
      <c r="AD428" s="35"/>
      <c r="AE428" s="33"/>
    </row>
    <row r="429" ht="15.75" customHeight="1">
      <c r="A429" s="33"/>
      <c r="H429" s="33"/>
      <c r="L429" s="33"/>
      <c r="N429" s="33"/>
      <c r="O429" s="33"/>
      <c r="P429" s="33"/>
      <c r="Q429" s="33"/>
      <c r="S429" s="33"/>
      <c r="U429" s="33"/>
      <c r="W429" s="33"/>
      <c r="X429" s="34"/>
      <c r="Y429" s="33"/>
      <c r="Z429" s="34"/>
      <c r="AA429" s="33"/>
      <c r="AB429" s="33"/>
      <c r="AC429" s="33"/>
      <c r="AD429" s="35"/>
      <c r="AE429" s="33"/>
    </row>
    <row r="430" ht="15.75" customHeight="1">
      <c r="A430" s="33"/>
      <c r="H430" s="33"/>
      <c r="L430" s="33"/>
      <c r="N430" s="33"/>
      <c r="O430" s="33"/>
      <c r="P430" s="33"/>
      <c r="Q430" s="33"/>
      <c r="S430" s="33"/>
      <c r="U430" s="33"/>
      <c r="W430" s="33"/>
      <c r="X430" s="34"/>
      <c r="Y430" s="33"/>
      <c r="Z430" s="34"/>
      <c r="AA430" s="33"/>
      <c r="AB430" s="33"/>
      <c r="AC430" s="33"/>
      <c r="AD430" s="35"/>
      <c r="AE430" s="33"/>
    </row>
    <row r="431" ht="15.75" customHeight="1">
      <c r="A431" s="33"/>
      <c r="H431" s="33"/>
      <c r="L431" s="33"/>
      <c r="N431" s="33"/>
      <c r="O431" s="33"/>
      <c r="P431" s="33"/>
      <c r="Q431" s="33"/>
      <c r="S431" s="33"/>
      <c r="U431" s="33"/>
      <c r="W431" s="33"/>
      <c r="X431" s="34"/>
      <c r="Y431" s="33"/>
      <c r="Z431" s="34"/>
      <c r="AA431" s="33"/>
      <c r="AB431" s="33"/>
      <c r="AC431" s="33"/>
      <c r="AD431" s="35"/>
      <c r="AE431" s="33"/>
    </row>
    <row r="432" ht="15.75" customHeight="1">
      <c r="A432" s="33"/>
      <c r="H432" s="33"/>
      <c r="L432" s="33"/>
      <c r="N432" s="33"/>
      <c r="O432" s="33"/>
      <c r="P432" s="33"/>
      <c r="Q432" s="33"/>
      <c r="S432" s="33"/>
      <c r="U432" s="33"/>
      <c r="W432" s="33"/>
      <c r="X432" s="34"/>
      <c r="Y432" s="33"/>
      <c r="Z432" s="34"/>
      <c r="AA432" s="33"/>
      <c r="AB432" s="33"/>
      <c r="AC432" s="33"/>
      <c r="AD432" s="35"/>
      <c r="AE432" s="33"/>
    </row>
    <row r="433" ht="15.75" customHeight="1">
      <c r="A433" s="33"/>
      <c r="H433" s="33"/>
      <c r="L433" s="33"/>
      <c r="N433" s="33"/>
      <c r="O433" s="33"/>
      <c r="P433" s="33"/>
      <c r="Q433" s="33"/>
      <c r="S433" s="33"/>
      <c r="U433" s="33"/>
      <c r="W433" s="33"/>
      <c r="X433" s="34"/>
      <c r="Y433" s="33"/>
      <c r="Z433" s="34"/>
      <c r="AA433" s="33"/>
      <c r="AB433" s="33"/>
      <c r="AC433" s="33"/>
      <c r="AD433" s="35"/>
      <c r="AE433" s="33"/>
    </row>
    <row r="434" ht="15.75" customHeight="1">
      <c r="A434" s="33"/>
      <c r="H434" s="33"/>
      <c r="L434" s="33"/>
      <c r="N434" s="33"/>
      <c r="O434" s="33"/>
      <c r="P434" s="33"/>
      <c r="Q434" s="33"/>
      <c r="S434" s="33"/>
      <c r="U434" s="33"/>
      <c r="W434" s="33"/>
      <c r="X434" s="34"/>
      <c r="Y434" s="33"/>
      <c r="Z434" s="34"/>
      <c r="AA434" s="33"/>
      <c r="AB434" s="33"/>
      <c r="AC434" s="33"/>
      <c r="AD434" s="35"/>
      <c r="AE434" s="33"/>
    </row>
    <row r="435" ht="15.75" customHeight="1">
      <c r="A435" s="33"/>
      <c r="H435" s="33"/>
      <c r="L435" s="33"/>
      <c r="N435" s="33"/>
      <c r="O435" s="33"/>
      <c r="P435" s="33"/>
      <c r="Q435" s="33"/>
      <c r="S435" s="33"/>
      <c r="U435" s="33"/>
      <c r="W435" s="33"/>
      <c r="X435" s="34"/>
      <c r="Y435" s="33"/>
      <c r="Z435" s="34"/>
      <c r="AA435" s="33"/>
      <c r="AB435" s="33"/>
      <c r="AC435" s="33"/>
      <c r="AD435" s="35"/>
      <c r="AE435" s="33"/>
    </row>
    <row r="436" ht="15.75" customHeight="1">
      <c r="A436" s="33"/>
      <c r="H436" s="33"/>
      <c r="L436" s="33"/>
      <c r="N436" s="33"/>
      <c r="O436" s="33"/>
      <c r="P436" s="33"/>
      <c r="Q436" s="33"/>
      <c r="S436" s="33"/>
      <c r="U436" s="33"/>
      <c r="W436" s="33"/>
      <c r="X436" s="34"/>
      <c r="Y436" s="33"/>
      <c r="Z436" s="34"/>
      <c r="AA436" s="33"/>
      <c r="AB436" s="33"/>
      <c r="AC436" s="33"/>
      <c r="AD436" s="35"/>
      <c r="AE436" s="33"/>
    </row>
    <row r="437" ht="15.75" customHeight="1">
      <c r="A437" s="33"/>
      <c r="H437" s="33"/>
      <c r="L437" s="33"/>
      <c r="N437" s="33"/>
      <c r="O437" s="33"/>
      <c r="P437" s="33"/>
      <c r="Q437" s="33"/>
      <c r="S437" s="33"/>
      <c r="U437" s="33"/>
      <c r="W437" s="33"/>
      <c r="X437" s="34"/>
      <c r="Y437" s="33"/>
      <c r="Z437" s="34"/>
      <c r="AA437" s="33"/>
      <c r="AB437" s="33"/>
      <c r="AC437" s="33"/>
      <c r="AD437" s="35"/>
      <c r="AE437" s="33"/>
    </row>
    <row r="438" ht="15.75" customHeight="1">
      <c r="A438" s="33"/>
      <c r="H438" s="33"/>
      <c r="L438" s="33"/>
      <c r="N438" s="33"/>
      <c r="O438" s="33"/>
      <c r="P438" s="33"/>
      <c r="Q438" s="33"/>
      <c r="S438" s="33"/>
      <c r="U438" s="33"/>
      <c r="W438" s="33"/>
      <c r="X438" s="34"/>
      <c r="Y438" s="33"/>
      <c r="Z438" s="34"/>
      <c r="AA438" s="33"/>
      <c r="AB438" s="33"/>
      <c r="AC438" s="33"/>
      <c r="AD438" s="35"/>
      <c r="AE438" s="33"/>
    </row>
    <row r="439" ht="15.75" customHeight="1">
      <c r="A439" s="33"/>
      <c r="H439" s="33"/>
      <c r="L439" s="33"/>
      <c r="N439" s="33"/>
      <c r="O439" s="33"/>
      <c r="P439" s="33"/>
      <c r="Q439" s="33"/>
      <c r="S439" s="33"/>
      <c r="U439" s="33"/>
      <c r="W439" s="33"/>
      <c r="X439" s="34"/>
      <c r="Y439" s="33"/>
      <c r="Z439" s="34"/>
      <c r="AA439" s="33"/>
      <c r="AB439" s="33"/>
      <c r="AC439" s="33"/>
      <c r="AD439" s="35"/>
      <c r="AE439" s="33"/>
    </row>
    <row r="440" ht="15.75" customHeight="1">
      <c r="A440" s="33"/>
      <c r="H440" s="33"/>
      <c r="L440" s="33"/>
      <c r="N440" s="33"/>
      <c r="O440" s="33"/>
      <c r="P440" s="33"/>
      <c r="Q440" s="33"/>
      <c r="S440" s="33"/>
      <c r="U440" s="33"/>
      <c r="W440" s="33"/>
      <c r="X440" s="34"/>
      <c r="Y440" s="33"/>
      <c r="Z440" s="34"/>
      <c r="AA440" s="33"/>
      <c r="AB440" s="33"/>
      <c r="AC440" s="33"/>
      <c r="AD440" s="35"/>
      <c r="AE440" s="33"/>
    </row>
    <row r="441" ht="15.75" customHeight="1">
      <c r="A441" s="33"/>
      <c r="H441" s="33"/>
      <c r="L441" s="33"/>
      <c r="N441" s="33"/>
      <c r="O441" s="33"/>
      <c r="P441" s="33"/>
      <c r="Q441" s="33"/>
      <c r="S441" s="33"/>
      <c r="U441" s="33"/>
      <c r="W441" s="33"/>
      <c r="X441" s="34"/>
      <c r="Y441" s="33"/>
      <c r="Z441" s="34"/>
      <c r="AA441" s="33"/>
      <c r="AB441" s="33"/>
      <c r="AC441" s="33"/>
      <c r="AD441" s="35"/>
      <c r="AE441" s="33"/>
    </row>
    <row r="442" ht="15.75" customHeight="1">
      <c r="A442" s="33"/>
      <c r="H442" s="33"/>
      <c r="L442" s="33"/>
      <c r="N442" s="33"/>
      <c r="O442" s="33"/>
      <c r="P442" s="33"/>
      <c r="Q442" s="33"/>
      <c r="S442" s="33"/>
      <c r="U442" s="33"/>
      <c r="W442" s="33"/>
      <c r="X442" s="34"/>
      <c r="Y442" s="33"/>
      <c r="Z442" s="34"/>
      <c r="AA442" s="33"/>
      <c r="AB442" s="33"/>
      <c r="AC442" s="33"/>
      <c r="AD442" s="35"/>
      <c r="AE442" s="33"/>
    </row>
    <row r="443" ht="15.75" customHeight="1">
      <c r="A443" s="33"/>
      <c r="H443" s="33"/>
      <c r="L443" s="33"/>
      <c r="N443" s="33"/>
      <c r="O443" s="33"/>
      <c r="P443" s="33"/>
      <c r="Q443" s="33"/>
      <c r="S443" s="33"/>
      <c r="U443" s="33"/>
      <c r="W443" s="33"/>
      <c r="X443" s="34"/>
      <c r="Y443" s="33"/>
      <c r="Z443" s="34"/>
      <c r="AA443" s="33"/>
      <c r="AB443" s="33"/>
      <c r="AC443" s="33"/>
      <c r="AD443" s="35"/>
      <c r="AE443" s="33"/>
    </row>
    <row r="444" ht="15.75" customHeight="1">
      <c r="A444" s="33"/>
      <c r="H444" s="33"/>
      <c r="L444" s="33"/>
      <c r="N444" s="33"/>
      <c r="O444" s="33"/>
      <c r="P444" s="33"/>
      <c r="Q444" s="33"/>
      <c r="S444" s="33"/>
      <c r="U444" s="33"/>
      <c r="W444" s="33"/>
      <c r="X444" s="34"/>
      <c r="Y444" s="33"/>
      <c r="Z444" s="34"/>
      <c r="AA444" s="33"/>
      <c r="AB444" s="33"/>
      <c r="AC444" s="33"/>
      <c r="AD444" s="35"/>
      <c r="AE444" s="33"/>
    </row>
    <row r="445" ht="15.75" customHeight="1">
      <c r="A445" s="33"/>
      <c r="H445" s="33"/>
      <c r="L445" s="33"/>
      <c r="N445" s="33"/>
      <c r="O445" s="33"/>
      <c r="P445" s="33"/>
      <c r="Q445" s="33"/>
      <c r="S445" s="33"/>
      <c r="U445" s="33"/>
      <c r="W445" s="33"/>
      <c r="X445" s="34"/>
      <c r="Y445" s="33"/>
      <c r="Z445" s="34"/>
      <c r="AA445" s="33"/>
      <c r="AB445" s="33"/>
      <c r="AC445" s="33"/>
      <c r="AD445" s="35"/>
      <c r="AE445" s="33"/>
    </row>
    <row r="446" ht="15.75" customHeight="1">
      <c r="A446" s="33"/>
      <c r="H446" s="33"/>
      <c r="L446" s="33"/>
      <c r="N446" s="33"/>
      <c r="O446" s="33"/>
      <c r="P446" s="33"/>
      <c r="Q446" s="33"/>
      <c r="S446" s="33"/>
      <c r="U446" s="33"/>
      <c r="W446" s="33"/>
      <c r="X446" s="34"/>
      <c r="Y446" s="33"/>
      <c r="Z446" s="34"/>
      <c r="AA446" s="33"/>
      <c r="AB446" s="33"/>
      <c r="AC446" s="33"/>
      <c r="AD446" s="35"/>
      <c r="AE446" s="33"/>
    </row>
    <row r="447" ht="15.75" customHeight="1">
      <c r="A447" s="33"/>
      <c r="H447" s="33"/>
      <c r="L447" s="33"/>
      <c r="N447" s="33"/>
      <c r="O447" s="33"/>
      <c r="P447" s="33"/>
      <c r="Q447" s="33"/>
      <c r="S447" s="33"/>
      <c r="U447" s="33"/>
      <c r="W447" s="33"/>
      <c r="X447" s="34"/>
      <c r="Y447" s="33"/>
      <c r="Z447" s="34"/>
      <c r="AA447" s="33"/>
      <c r="AB447" s="33"/>
      <c r="AC447" s="33"/>
      <c r="AD447" s="35"/>
      <c r="AE447" s="33"/>
    </row>
    <row r="448" ht="15.75" customHeight="1">
      <c r="A448" s="33"/>
      <c r="H448" s="33"/>
      <c r="L448" s="33"/>
      <c r="N448" s="33"/>
      <c r="O448" s="33"/>
      <c r="P448" s="33"/>
      <c r="Q448" s="33"/>
      <c r="S448" s="33"/>
      <c r="U448" s="33"/>
      <c r="W448" s="33"/>
      <c r="X448" s="34"/>
      <c r="Y448" s="33"/>
      <c r="Z448" s="34"/>
      <c r="AA448" s="33"/>
      <c r="AB448" s="33"/>
      <c r="AC448" s="33"/>
      <c r="AD448" s="35"/>
      <c r="AE448" s="33"/>
    </row>
    <row r="449" ht="15.75" customHeight="1">
      <c r="A449" s="33"/>
      <c r="H449" s="33"/>
      <c r="L449" s="33"/>
      <c r="N449" s="33"/>
      <c r="O449" s="33"/>
      <c r="P449" s="33"/>
      <c r="Q449" s="33"/>
      <c r="S449" s="33"/>
      <c r="U449" s="33"/>
      <c r="W449" s="33"/>
      <c r="X449" s="34"/>
      <c r="Y449" s="33"/>
      <c r="Z449" s="34"/>
      <c r="AA449" s="33"/>
      <c r="AB449" s="33"/>
      <c r="AC449" s="33"/>
      <c r="AD449" s="35"/>
      <c r="AE449" s="33"/>
    </row>
    <row r="450" ht="15.75" customHeight="1">
      <c r="A450" s="33"/>
      <c r="H450" s="33"/>
      <c r="L450" s="33"/>
      <c r="N450" s="33"/>
      <c r="O450" s="33"/>
      <c r="P450" s="33"/>
      <c r="Q450" s="33"/>
      <c r="S450" s="33"/>
      <c r="U450" s="33"/>
      <c r="W450" s="33"/>
      <c r="X450" s="34"/>
      <c r="Y450" s="33"/>
      <c r="Z450" s="34"/>
      <c r="AA450" s="33"/>
      <c r="AB450" s="33"/>
      <c r="AC450" s="33"/>
      <c r="AD450" s="35"/>
      <c r="AE450" s="33"/>
    </row>
    <row r="451" ht="15.75" customHeight="1">
      <c r="A451" s="33"/>
      <c r="H451" s="33"/>
      <c r="L451" s="33"/>
      <c r="N451" s="33"/>
      <c r="O451" s="33"/>
      <c r="P451" s="33"/>
      <c r="Q451" s="33"/>
      <c r="S451" s="33"/>
      <c r="U451" s="33"/>
      <c r="W451" s="33"/>
      <c r="X451" s="34"/>
      <c r="Y451" s="33"/>
      <c r="Z451" s="34"/>
      <c r="AA451" s="33"/>
      <c r="AB451" s="33"/>
      <c r="AC451" s="33"/>
      <c r="AD451" s="35"/>
      <c r="AE451" s="33"/>
    </row>
    <row r="452" ht="15.75" customHeight="1">
      <c r="A452" s="33"/>
      <c r="H452" s="33"/>
      <c r="L452" s="33"/>
      <c r="N452" s="33"/>
      <c r="O452" s="33"/>
      <c r="P452" s="33"/>
      <c r="Q452" s="33"/>
      <c r="S452" s="33"/>
      <c r="U452" s="33"/>
      <c r="W452" s="33"/>
      <c r="X452" s="34"/>
      <c r="Y452" s="33"/>
      <c r="Z452" s="34"/>
      <c r="AA452" s="33"/>
      <c r="AB452" s="33"/>
      <c r="AC452" s="33"/>
      <c r="AD452" s="35"/>
      <c r="AE452" s="33"/>
    </row>
    <row r="453" ht="15.75" customHeight="1">
      <c r="A453" s="33"/>
      <c r="H453" s="33"/>
      <c r="L453" s="33"/>
      <c r="N453" s="33"/>
      <c r="O453" s="33"/>
      <c r="P453" s="33"/>
      <c r="Q453" s="33"/>
      <c r="S453" s="33"/>
      <c r="U453" s="33"/>
      <c r="W453" s="33"/>
      <c r="X453" s="34"/>
      <c r="Y453" s="33"/>
      <c r="Z453" s="34"/>
      <c r="AA453" s="33"/>
      <c r="AB453" s="33"/>
      <c r="AC453" s="33"/>
      <c r="AD453" s="35"/>
      <c r="AE453" s="33"/>
    </row>
    <row r="454" ht="15.75" customHeight="1">
      <c r="A454" s="33"/>
      <c r="H454" s="33"/>
      <c r="L454" s="33"/>
      <c r="N454" s="33"/>
      <c r="O454" s="33"/>
      <c r="P454" s="33"/>
      <c r="Q454" s="33"/>
      <c r="S454" s="33"/>
      <c r="U454" s="33"/>
      <c r="W454" s="33"/>
      <c r="X454" s="34"/>
      <c r="Y454" s="33"/>
      <c r="Z454" s="34"/>
      <c r="AA454" s="33"/>
      <c r="AB454" s="33"/>
      <c r="AC454" s="33"/>
      <c r="AD454" s="35"/>
      <c r="AE454" s="33"/>
    </row>
    <row r="455" ht="15.75" customHeight="1">
      <c r="A455" s="33"/>
      <c r="H455" s="33"/>
      <c r="L455" s="33"/>
      <c r="N455" s="33"/>
      <c r="O455" s="33"/>
      <c r="P455" s="33"/>
      <c r="Q455" s="33"/>
      <c r="S455" s="33"/>
      <c r="U455" s="33"/>
      <c r="W455" s="33"/>
      <c r="X455" s="34"/>
      <c r="Y455" s="33"/>
      <c r="Z455" s="34"/>
      <c r="AA455" s="33"/>
      <c r="AB455" s="33"/>
      <c r="AC455" s="33"/>
      <c r="AD455" s="35"/>
      <c r="AE455" s="33"/>
    </row>
    <row r="456" ht="15.75" customHeight="1">
      <c r="A456" s="33"/>
      <c r="H456" s="33"/>
      <c r="L456" s="33"/>
      <c r="N456" s="33"/>
      <c r="O456" s="33"/>
      <c r="P456" s="33"/>
      <c r="Q456" s="33"/>
      <c r="S456" s="33"/>
      <c r="U456" s="33"/>
      <c r="W456" s="33"/>
      <c r="X456" s="34"/>
      <c r="Y456" s="33"/>
      <c r="Z456" s="34"/>
      <c r="AA456" s="33"/>
      <c r="AB456" s="33"/>
      <c r="AC456" s="33"/>
      <c r="AD456" s="35"/>
      <c r="AE456" s="33"/>
    </row>
    <row r="457" ht="15.75" customHeight="1">
      <c r="A457" s="33"/>
      <c r="H457" s="33"/>
      <c r="L457" s="33"/>
      <c r="N457" s="33"/>
      <c r="O457" s="33"/>
      <c r="P457" s="33"/>
      <c r="Q457" s="33"/>
      <c r="S457" s="33"/>
      <c r="U457" s="33"/>
      <c r="W457" s="33"/>
      <c r="X457" s="34"/>
      <c r="Y457" s="33"/>
      <c r="Z457" s="34"/>
      <c r="AA457" s="33"/>
      <c r="AB457" s="33"/>
      <c r="AC457" s="33"/>
      <c r="AD457" s="35"/>
      <c r="AE457" s="33"/>
    </row>
    <row r="458" ht="15.75" customHeight="1">
      <c r="A458" s="33"/>
      <c r="H458" s="33"/>
      <c r="L458" s="33"/>
      <c r="N458" s="33"/>
      <c r="O458" s="33"/>
      <c r="P458" s="33"/>
      <c r="Q458" s="33"/>
      <c r="S458" s="33"/>
      <c r="U458" s="33"/>
      <c r="W458" s="33"/>
      <c r="X458" s="34"/>
      <c r="Y458" s="33"/>
      <c r="Z458" s="34"/>
      <c r="AA458" s="33"/>
      <c r="AB458" s="33"/>
      <c r="AC458" s="33"/>
      <c r="AD458" s="35"/>
      <c r="AE458" s="33"/>
    </row>
    <row r="459" ht="15.75" customHeight="1">
      <c r="A459" s="33"/>
      <c r="H459" s="33"/>
      <c r="L459" s="33"/>
      <c r="N459" s="33"/>
      <c r="O459" s="33"/>
      <c r="P459" s="33"/>
      <c r="Q459" s="33"/>
      <c r="S459" s="33"/>
      <c r="U459" s="33"/>
      <c r="W459" s="33"/>
      <c r="X459" s="34"/>
      <c r="Y459" s="33"/>
      <c r="Z459" s="34"/>
      <c r="AA459" s="33"/>
      <c r="AB459" s="33"/>
      <c r="AC459" s="33"/>
      <c r="AD459" s="35"/>
      <c r="AE459" s="33"/>
    </row>
    <row r="460" ht="15.75" customHeight="1">
      <c r="A460" s="33"/>
      <c r="H460" s="33"/>
      <c r="L460" s="33"/>
      <c r="N460" s="33"/>
      <c r="O460" s="33"/>
      <c r="P460" s="33"/>
      <c r="Q460" s="33"/>
      <c r="S460" s="33"/>
      <c r="U460" s="33"/>
      <c r="W460" s="33"/>
      <c r="X460" s="34"/>
      <c r="Y460" s="33"/>
      <c r="Z460" s="34"/>
      <c r="AA460" s="33"/>
      <c r="AB460" s="33"/>
      <c r="AC460" s="33"/>
      <c r="AD460" s="35"/>
      <c r="AE460" s="33"/>
    </row>
    <row r="461" ht="15.75" customHeight="1">
      <c r="A461" s="33"/>
      <c r="H461" s="33"/>
      <c r="L461" s="33"/>
      <c r="N461" s="33"/>
      <c r="O461" s="33"/>
      <c r="P461" s="33"/>
      <c r="Q461" s="33"/>
      <c r="S461" s="33"/>
      <c r="U461" s="33"/>
      <c r="W461" s="33"/>
      <c r="X461" s="34"/>
      <c r="Y461" s="33"/>
      <c r="Z461" s="34"/>
      <c r="AA461" s="33"/>
      <c r="AB461" s="33"/>
      <c r="AC461" s="33"/>
      <c r="AD461" s="35"/>
      <c r="AE461" s="33"/>
    </row>
    <row r="462" ht="15.75" customHeight="1">
      <c r="A462" s="33"/>
      <c r="H462" s="33"/>
      <c r="L462" s="33"/>
      <c r="N462" s="33"/>
      <c r="O462" s="33"/>
      <c r="P462" s="33"/>
      <c r="Q462" s="33"/>
      <c r="S462" s="33"/>
      <c r="U462" s="33"/>
      <c r="W462" s="33"/>
      <c r="X462" s="34"/>
      <c r="Y462" s="33"/>
      <c r="Z462" s="34"/>
      <c r="AA462" s="33"/>
      <c r="AB462" s="33"/>
      <c r="AC462" s="33"/>
      <c r="AD462" s="35"/>
      <c r="AE462" s="33"/>
    </row>
    <row r="463" ht="15.75" customHeight="1">
      <c r="A463" s="33"/>
      <c r="H463" s="33"/>
      <c r="L463" s="33"/>
      <c r="N463" s="33"/>
      <c r="O463" s="33"/>
      <c r="P463" s="33"/>
      <c r="Q463" s="33"/>
      <c r="S463" s="33"/>
      <c r="U463" s="33"/>
      <c r="W463" s="33"/>
      <c r="X463" s="34"/>
      <c r="Y463" s="33"/>
      <c r="Z463" s="34"/>
      <c r="AA463" s="33"/>
      <c r="AB463" s="33"/>
      <c r="AC463" s="33"/>
      <c r="AD463" s="35"/>
      <c r="AE463" s="33"/>
    </row>
    <row r="464" ht="15.75" customHeight="1">
      <c r="A464" s="33"/>
      <c r="H464" s="33"/>
      <c r="L464" s="33"/>
      <c r="N464" s="33"/>
      <c r="O464" s="33"/>
      <c r="P464" s="33"/>
      <c r="Q464" s="33"/>
      <c r="S464" s="33"/>
      <c r="U464" s="33"/>
      <c r="W464" s="33"/>
      <c r="X464" s="34"/>
      <c r="Y464" s="33"/>
      <c r="Z464" s="34"/>
      <c r="AA464" s="33"/>
      <c r="AB464" s="33"/>
      <c r="AC464" s="33"/>
      <c r="AD464" s="35"/>
      <c r="AE464" s="33"/>
    </row>
    <row r="465" ht="15.75" customHeight="1">
      <c r="A465" s="33"/>
      <c r="H465" s="33"/>
      <c r="L465" s="33"/>
      <c r="N465" s="33"/>
      <c r="O465" s="33"/>
      <c r="P465" s="33"/>
      <c r="Q465" s="33"/>
      <c r="S465" s="33"/>
      <c r="U465" s="33"/>
      <c r="W465" s="33"/>
      <c r="X465" s="34"/>
      <c r="Y465" s="33"/>
      <c r="Z465" s="34"/>
      <c r="AA465" s="33"/>
      <c r="AB465" s="33"/>
      <c r="AC465" s="33"/>
      <c r="AD465" s="35"/>
      <c r="AE465" s="33"/>
    </row>
    <row r="466" ht="15.75" customHeight="1">
      <c r="A466" s="33"/>
      <c r="H466" s="33"/>
      <c r="L466" s="33"/>
      <c r="N466" s="33"/>
      <c r="O466" s="33"/>
      <c r="P466" s="33"/>
      <c r="Q466" s="33"/>
      <c r="S466" s="33"/>
      <c r="U466" s="33"/>
      <c r="W466" s="33"/>
      <c r="X466" s="34"/>
      <c r="Y466" s="33"/>
      <c r="Z466" s="34"/>
      <c r="AA466" s="33"/>
      <c r="AB466" s="33"/>
      <c r="AC466" s="33"/>
      <c r="AD466" s="35"/>
      <c r="AE466" s="33"/>
    </row>
    <row r="467" ht="15.75" customHeight="1">
      <c r="A467" s="33"/>
      <c r="H467" s="33"/>
      <c r="L467" s="33"/>
      <c r="N467" s="33"/>
      <c r="O467" s="33"/>
      <c r="P467" s="33"/>
      <c r="Q467" s="33"/>
      <c r="S467" s="33"/>
      <c r="U467" s="33"/>
      <c r="W467" s="33"/>
      <c r="X467" s="34"/>
      <c r="Y467" s="33"/>
      <c r="Z467" s="34"/>
      <c r="AA467" s="33"/>
      <c r="AB467" s="33"/>
      <c r="AC467" s="33"/>
      <c r="AD467" s="35"/>
      <c r="AE467" s="33"/>
    </row>
    <row r="468" ht="15.75" customHeight="1">
      <c r="A468" s="33"/>
      <c r="H468" s="33"/>
      <c r="L468" s="33"/>
      <c r="N468" s="33"/>
      <c r="O468" s="33"/>
      <c r="P468" s="33"/>
      <c r="Q468" s="33"/>
      <c r="S468" s="33"/>
      <c r="U468" s="33"/>
      <c r="W468" s="33"/>
      <c r="X468" s="34"/>
      <c r="Y468" s="33"/>
      <c r="Z468" s="34"/>
      <c r="AA468" s="33"/>
      <c r="AB468" s="33"/>
      <c r="AC468" s="33"/>
      <c r="AD468" s="35"/>
      <c r="AE468" s="33"/>
    </row>
    <row r="469" ht="15.75" customHeight="1">
      <c r="A469" s="33"/>
      <c r="H469" s="33"/>
      <c r="L469" s="33"/>
      <c r="N469" s="33"/>
      <c r="O469" s="33"/>
      <c r="P469" s="33"/>
      <c r="Q469" s="33"/>
      <c r="S469" s="33"/>
      <c r="U469" s="33"/>
      <c r="W469" s="33"/>
      <c r="X469" s="34"/>
      <c r="Y469" s="33"/>
      <c r="Z469" s="34"/>
      <c r="AA469" s="33"/>
      <c r="AB469" s="33"/>
      <c r="AC469" s="33"/>
      <c r="AD469" s="35"/>
      <c r="AE469" s="33"/>
    </row>
    <row r="470" ht="15.75" customHeight="1">
      <c r="A470" s="33"/>
      <c r="H470" s="33"/>
      <c r="L470" s="33"/>
      <c r="N470" s="33"/>
      <c r="O470" s="33"/>
      <c r="P470" s="33"/>
      <c r="Q470" s="33"/>
      <c r="S470" s="33"/>
      <c r="U470" s="33"/>
      <c r="W470" s="33"/>
      <c r="X470" s="34"/>
      <c r="Y470" s="33"/>
      <c r="Z470" s="34"/>
      <c r="AA470" s="33"/>
      <c r="AB470" s="33"/>
      <c r="AC470" s="33"/>
      <c r="AD470" s="35"/>
      <c r="AE470" s="33"/>
    </row>
    <row r="471" ht="15.75" customHeight="1">
      <c r="A471" s="33"/>
      <c r="H471" s="33"/>
      <c r="L471" s="33"/>
      <c r="N471" s="33"/>
      <c r="O471" s="33"/>
      <c r="P471" s="33"/>
      <c r="Q471" s="33"/>
      <c r="S471" s="33"/>
      <c r="U471" s="33"/>
      <c r="W471" s="33"/>
      <c r="X471" s="34"/>
      <c r="Y471" s="33"/>
      <c r="Z471" s="34"/>
      <c r="AA471" s="33"/>
      <c r="AB471" s="33"/>
      <c r="AC471" s="33"/>
      <c r="AD471" s="35"/>
      <c r="AE471" s="33"/>
    </row>
    <row r="472" ht="15.75" customHeight="1">
      <c r="A472" s="33"/>
      <c r="H472" s="33"/>
      <c r="L472" s="33"/>
      <c r="N472" s="33"/>
      <c r="O472" s="33"/>
      <c r="P472" s="33"/>
      <c r="Q472" s="33"/>
      <c r="S472" s="33"/>
      <c r="U472" s="33"/>
      <c r="W472" s="33"/>
      <c r="X472" s="34"/>
      <c r="Y472" s="33"/>
      <c r="Z472" s="34"/>
      <c r="AA472" s="33"/>
      <c r="AB472" s="33"/>
      <c r="AC472" s="33"/>
      <c r="AD472" s="35"/>
      <c r="AE472" s="33"/>
    </row>
    <row r="473" ht="15.75" customHeight="1">
      <c r="A473" s="33"/>
      <c r="H473" s="33"/>
      <c r="L473" s="33"/>
      <c r="N473" s="33"/>
      <c r="O473" s="33"/>
      <c r="P473" s="33"/>
      <c r="Q473" s="33"/>
      <c r="S473" s="33"/>
      <c r="U473" s="33"/>
      <c r="W473" s="33"/>
      <c r="X473" s="34"/>
      <c r="Y473" s="33"/>
      <c r="Z473" s="34"/>
      <c r="AA473" s="33"/>
      <c r="AB473" s="33"/>
      <c r="AC473" s="33"/>
      <c r="AD473" s="35"/>
      <c r="AE473" s="33"/>
    </row>
    <row r="474" ht="15.75" customHeight="1">
      <c r="A474" s="33"/>
      <c r="H474" s="33"/>
      <c r="L474" s="33"/>
      <c r="N474" s="33"/>
      <c r="O474" s="33"/>
      <c r="P474" s="33"/>
      <c r="Q474" s="33"/>
      <c r="S474" s="33"/>
      <c r="U474" s="33"/>
      <c r="W474" s="33"/>
      <c r="X474" s="34"/>
      <c r="Y474" s="33"/>
      <c r="Z474" s="34"/>
      <c r="AA474" s="33"/>
      <c r="AB474" s="33"/>
      <c r="AC474" s="33"/>
      <c r="AD474" s="35"/>
      <c r="AE474" s="33"/>
    </row>
    <row r="475" ht="15.75" customHeight="1">
      <c r="A475" s="33"/>
      <c r="H475" s="33"/>
      <c r="L475" s="33"/>
      <c r="N475" s="33"/>
      <c r="O475" s="33"/>
      <c r="P475" s="33"/>
      <c r="Q475" s="33"/>
      <c r="S475" s="33"/>
      <c r="U475" s="33"/>
      <c r="W475" s="33"/>
      <c r="X475" s="34"/>
      <c r="Y475" s="33"/>
      <c r="Z475" s="34"/>
      <c r="AA475" s="33"/>
      <c r="AB475" s="33"/>
      <c r="AC475" s="33"/>
      <c r="AD475" s="35"/>
      <c r="AE475" s="33"/>
    </row>
    <row r="476" ht="15.75" customHeight="1">
      <c r="A476" s="33"/>
      <c r="H476" s="33"/>
      <c r="L476" s="33"/>
      <c r="N476" s="33"/>
      <c r="O476" s="33"/>
      <c r="P476" s="33"/>
      <c r="Q476" s="33"/>
      <c r="S476" s="33"/>
      <c r="U476" s="33"/>
      <c r="W476" s="33"/>
      <c r="X476" s="34"/>
      <c r="Y476" s="33"/>
      <c r="Z476" s="34"/>
      <c r="AA476" s="33"/>
      <c r="AB476" s="33"/>
      <c r="AC476" s="33"/>
      <c r="AD476" s="35"/>
      <c r="AE476" s="33"/>
    </row>
    <row r="477" ht="15.75" customHeight="1">
      <c r="A477" s="33"/>
      <c r="H477" s="33"/>
      <c r="L477" s="33"/>
      <c r="N477" s="33"/>
      <c r="O477" s="33"/>
      <c r="P477" s="33"/>
      <c r="Q477" s="33"/>
      <c r="S477" s="33"/>
      <c r="U477" s="33"/>
      <c r="W477" s="33"/>
      <c r="X477" s="34"/>
      <c r="Y477" s="33"/>
      <c r="Z477" s="34"/>
      <c r="AA477" s="33"/>
      <c r="AB477" s="33"/>
      <c r="AC477" s="33"/>
      <c r="AD477" s="35"/>
      <c r="AE477" s="33"/>
    </row>
    <row r="478" ht="15.75" customHeight="1">
      <c r="A478" s="33"/>
      <c r="H478" s="33"/>
      <c r="L478" s="33"/>
      <c r="N478" s="33"/>
      <c r="O478" s="33"/>
      <c r="P478" s="33"/>
      <c r="Q478" s="33"/>
      <c r="S478" s="33"/>
      <c r="U478" s="33"/>
      <c r="W478" s="33"/>
      <c r="X478" s="34"/>
      <c r="Y478" s="33"/>
      <c r="Z478" s="34"/>
      <c r="AA478" s="33"/>
      <c r="AB478" s="33"/>
      <c r="AC478" s="33"/>
      <c r="AD478" s="35"/>
      <c r="AE478" s="33"/>
    </row>
    <row r="479" ht="15.75" customHeight="1">
      <c r="A479" s="33"/>
      <c r="H479" s="33"/>
      <c r="L479" s="33"/>
      <c r="N479" s="33"/>
      <c r="O479" s="33"/>
      <c r="P479" s="33"/>
      <c r="Q479" s="33"/>
      <c r="S479" s="33"/>
      <c r="U479" s="33"/>
      <c r="W479" s="33"/>
      <c r="X479" s="34"/>
      <c r="Y479" s="33"/>
      <c r="Z479" s="34"/>
      <c r="AA479" s="33"/>
      <c r="AB479" s="33"/>
      <c r="AC479" s="33"/>
      <c r="AD479" s="35"/>
      <c r="AE479" s="33"/>
    </row>
    <row r="480" ht="15.75" customHeight="1">
      <c r="A480" s="33"/>
      <c r="H480" s="33"/>
      <c r="L480" s="33"/>
      <c r="N480" s="33"/>
      <c r="O480" s="33"/>
      <c r="P480" s="33"/>
      <c r="Q480" s="33"/>
      <c r="S480" s="33"/>
      <c r="U480" s="33"/>
      <c r="W480" s="33"/>
      <c r="X480" s="34"/>
      <c r="Y480" s="33"/>
      <c r="Z480" s="34"/>
      <c r="AA480" s="33"/>
      <c r="AB480" s="33"/>
      <c r="AC480" s="33"/>
      <c r="AD480" s="35"/>
      <c r="AE480" s="33"/>
    </row>
    <row r="481" ht="15.75" customHeight="1">
      <c r="A481" s="33"/>
      <c r="H481" s="33"/>
      <c r="L481" s="33"/>
      <c r="N481" s="33"/>
      <c r="O481" s="33"/>
      <c r="P481" s="33"/>
      <c r="Q481" s="33"/>
      <c r="S481" s="33"/>
      <c r="U481" s="33"/>
      <c r="W481" s="33"/>
      <c r="X481" s="34"/>
      <c r="Y481" s="33"/>
      <c r="Z481" s="34"/>
      <c r="AA481" s="33"/>
      <c r="AB481" s="33"/>
      <c r="AC481" s="33"/>
      <c r="AD481" s="35"/>
      <c r="AE481" s="33"/>
    </row>
    <row r="482" ht="15.75" customHeight="1">
      <c r="A482" s="33"/>
      <c r="H482" s="33"/>
      <c r="L482" s="33"/>
      <c r="N482" s="33"/>
      <c r="O482" s="33"/>
      <c r="P482" s="33"/>
      <c r="Q482" s="33"/>
      <c r="S482" s="33"/>
      <c r="U482" s="33"/>
      <c r="W482" s="33"/>
      <c r="X482" s="34"/>
      <c r="Y482" s="33"/>
      <c r="Z482" s="34"/>
      <c r="AA482" s="33"/>
      <c r="AB482" s="33"/>
      <c r="AC482" s="33"/>
      <c r="AD482" s="35"/>
      <c r="AE482" s="33"/>
    </row>
    <row r="483" ht="15.75" customHeight="1">
      <c r="A483" s="33"/>
      <c r="H483" s="33"/>
      <c r="L483" s="33"/>
      <c r="N483" s="33"/>
      <c r="O483" s="33"/>
      <c r="P483" s="33"/>
      <c r="Q483" s="33"/>
      <c r="S483" s="33"/>
      <c r="U483" s="33"/>
      <c r="W483" s="33"/>
      <c r="X483" s="34"/>
      <c r="Y483" s="33"/>
      <c r="Z483" s="34"/>
      <c r="AA483" s="33"/>
      <c r="AB483" s="33"/>
      <c r="AC483" s="33"/>
      <c r="AD483" s="35"/>
      <c r="AE483" s="33"/>
    </row>
    <row r="484" ht="15.75" customHeight="1">
      <c r="A484" s="33"/>
      <c r="H484" s="33"/>
      <c r="L484" s="33"/>
      <c r="N484" s="33"/>
      <c r="O484" s="33"/>
      <c r="P484" s="33"/>
      <c r="Q484" s="33"/>
      <c r="S484" s="33"/>
      <c r="U484" s="33"/>
      <c r="W484" s="33"/>
      <c r="X484" s="34"/>
      <c r="Y484" s="33"/>
      <c r="Z484" s="34"/>
      <c r="AA484" s="33"/>
      <c r="AB484" s="33"/>
      <c r="AC484" s="33"/>
      <c r="AD484" s="35"/>
      <c r="AE484" s="33"/>
    </row>
    <row r="485" ht="15.75" customHeight="1">
      <c r="A485" s="33"/>
      <c r="H485" s="33"/>
      <c r="L485" s="33"/>
      <c r="N485" s="33"/>
      <c r="O485" s="33"/>
      <c r="P485" s="33"/>
      <c r="Q485" s="33"/>
      <c r="S485" s="33"/>
      <c r="U485" s="33"/>
      <c r="W485" s="33"/>
      <c r="X485" s="34"/>
      <c r="Y485" s="33"/>
      <c r="Z485" s="34"/>
      <c r="AA485" s="33"/>
      <c r="AB485" s="33"/>
      <c r="AC485" s="33"/>
      <c r="AD485" s="35"/>
      <c r="AE485" s="33"/>
    </row>
    <row r="486" ht="15.75" customHeight="1">
      <c r="A486" s="33"/>
      <c r="H486" s="33"/>
      <c r="L486" s="33"/>
      <c r="N486" s="33"/>
      <c r="O486" s="33"/>
      <c r="P486" s="33"/>
      <c r="Q486" s="33"/>
      <c r="S486" s="33"/>
      <c r="U486" s="33"/>
      <c r="W486" s="33"/>
      <c r="X486" s="34"/>
      <c r="Y486" s="33"/>
      <c r="Z486" s="34"/>
      <c r="AA486" s="33"/>
      <c r="AB486" s="33"/>
      <c r="AC486" s="33"/>
      <c r="AD486" s="35"/>
      <c r="AE486" s="33"/>
    </row>
    <row r="487" ht="15.75" customHeight="1">
      <c r="A487" s="33"/>
      <c r="H487" s="33"/>
      <c r="L487" s="33"/>
      <c r="N487" s="33"/>
      <c r="O487" s="33"/>
      <c r="P487" s="33"/>
      <c r="Q487" s="33"/>
      <c r="S487" s="33"/>
      <c r="U487" s="33"/>
      <c r="W487" s="33"/>
      <c r="X487" s="34"/>
      <c r="Y487" s="33"/>
      <c r="Z487" s="34"/>
      <c r="AA487" s="33"/>
      <c r="AB487" s="33"/>
      <c r="AC487" s="33"/>
      <c r="AD487" s="35"/>
      <c r="AE487" s="33"/>
    </row>
    <row r="488" ht="15.75" customHeight="1">
      <c r="A488" s="33"/>
      <c r="H488" s="33"/>
      <c r="L488" s="33"/>
      <c r="N488" s="33"/>
      <c r="O488" s="33"/>
      <c r="P488" s="33"/>
      <c r="Q488" s="33"/>
      <c r="S488" s="33"/>
      <c r="U488" s="33"/>
      <c r="W488" s="33"/>
      <c r="X488" s="34"/>
      <c r="Y488" s="33"/>
      <c r="Z488" s="34"/>
      <c r="AA488" s="33"/>
      <c r="AB488" s="33"/>
      <c r="AC488" s="33"/>
      <c r="AD488" s="35"/>
      <c r="AE488" s="33"/>
    </row>
    <row r="489" ht="15.75" customHeight="1">
      <c r="A489" s="33"/>
      <c r="H489" s="33"/>
      <c r="L489" s="33"/>
      <c r="N489" s="33"/>
      <c r="O489" s="33"/>
      <c r="P489" s="33"/>
      <c r="Q489" s="33"/>
      <c r="S489" s="33"/>
      <c r="U489" s="33"/>
      <c r="W489" s="33"/>
      <c r="X489" s="34"/>
      <c r="Y489" s="33"/>
      <c r="Z489" s="34"/>
      <c r="AA489" s="33"/>
      <c r="AB489" s="33"/>
      <c r="AC489" s="33"/>
      <c r="AD489" s="35"/>
      <c r="AE489" s="33"/>
    </row>
    <row r="490" ht="15.75" customHeight="1">
      <c r="A490" s="33"/>
      <c r="H490" s="33"/>
      <c r="L490" s="33"/>
      <c r="N490" s="33"/>
      <c r="O490" s="33"/>
      <c r="P490" s="33"/>
      <c r="Q490" s="33"/>
      <c r="S490" s="33"/>
      <c r="U490" s="33"/>
      <c r="W490" s="33"/>
      <c r="X490" s="34"/>
      <c r="Y490" s="33"/>
      <c r="Z490" s="34"/>
      <c r="AA490" s="33"/>
      <c r="AB490" s="33"/>
      <c r="AC490" s="33"/>
      <c r="AD490" s="35"/>
      <c r="AE490" s="33"/>
    </row>
    <row r="491" ht="15.75" customHeight="1">
      <c r="A491" s="33"/>
      <c r="H491" s="33"/>
      <c r="L491" s="33"/>
      <c r="N491" s="33"/>
      <c r="O491" s="33"/>
      <c r="P491" s="33"/>
      <c r="Q491" s="33"/>
      <c r="S491" s="33"/>
      <c r="U491" s="33"/>
      <c r="W491" s="33"/>
      <c r="X491" s="34"/>
      <c r="Y491" s="33"/>
      <c r="Z491" s="34"/>
      <c r="AA491" s="33"/>
      <c r="AB491" s="33"/>
      <c r="AC491" s="33"/>
      <c r="AD491" s="35"/>
      <c r="AE491" s="33"/>
    </row>
    <row r="492" ht="15.75" customHeight="1">
      <c r="A492" s="33"/>
      <c r="H492" s="33"/>
      <c r="L492" s="33"/>
      <c r="N492" s="33"/>
      <c r="O492" s="33"/>
      <c r="P492" s="33"/>
      <c r="Q492" s="33"/>
      <c r="S492" s="33"/>
      <c r="U492" s="33"/>
      <c r="W492" s="33"/>
      <c r="X492" s="34"/>
      <c r="Y492" s="33"/>
      <c r="Z492" s="34"/>
      <c r="AA492" s="33"/>
      <c r="AB492" s="33"/>
      <c r="AC492" s="33"/>
      <c r="AD492" s="35"/>
      <c r="AE492" s="33"/>
    </row>
    <row r="493" ht="15.75" customHeight="1">
      <c r="A493" s="33"/>
      <c r="H493" s="33"/>
      <c r="L493" s="33"/>
      <c r="N493" s="33"/>
      <c r="O493" s="33"/>
      <c r="P493" s="33"/>
      <c r="Q493" s="33"/>
      <c r="S493" s="33"/>
      <c r="U493" s="33"/>
      <c r="W493" s="33"/>
      <c r="X493" s="34"/>
      <c r="Y493" s="33"/>
      <c r="Z493" s="34"/>
      <c r="AA493" s="33"/>
      <c r="AB493" s="33"/>
      <c r="AC493" s="33"/>
      <c r="AD493" s="35"/>
      <c r="AE493" s="33"/>
    </row>
    <row r="494" ht="15.75" customHeight="1">
      <c r="A494" s="33"/>
      <c r="H494" s="33"/>
      <c r="L494" s="33"/>
      <c r="N494" s="33"/>
      <c r="O494" s="33"/>
      <c r="P494" s="33"/>
      <c r="Q494" s="33"/>
      <c r="S494" s="33"/>
      <c r="U494" s="33"/>
      <c r="W494" s="33"/>
      <c r="X494" s="34"/>
      <c r="Y494" s="33"/>
      <c r="Z494" s="34"/>
      <c r="AA494" s="33"/>
      <c r="AB494" s="33"/>
      <c r="AC494" s="33"/>
      <c r="AD494" s="35"/>
      <c r="AE494" s="33"/>
    </row>
    <row r="495" ht="15.75" customHeight="1">
      <c r="A495" s="33"/>
      <c r="H495" s="33"/>
      <c r="L495" s="33"/>
      <c r="N495" s="33"/>
      <c r="O495" s="33"/>
      <c r="P495" s="33"/>
      <c r="Q495" s="33"/>
      <c r="S495" s="33"/>
      <c r="U495" s="33"/>
      <c r="W495" s="33"/>
      <c r="X495" s="34"/>
      <c r="Y495" s="33"/>
      <c r="Z495" s="34"/>
      <c r="AA495" s="33"/>
      <c r="AB495" s="33"/>
      <c r="AC495" s="33"/>
      <c r="AD495" s="35"/>
      <c r="AE495" s="33"/>
    </row>
    <row r="496" ht="15.75" customHeight="1">
      <c r="A496" s="33"/>
      <c r="H496" s="33"/>
      <c r="L496" s="33"/>
      <c r="N496" s="33"/>
      <c r="O496" s="33"/>
      <c r="P496" s="33"/>
      <c r="Q496" s="33"/>
      <c r="S496" s="33"/>
      <c r="U496" s="33"/>
      <c r="W496" s="33"/>
      <c r="X496" s="34"/>
      <c r="Y496" s="33"/>
      <c r="Z496" s="34"/>
      <c r="AA496" s="33"/>
      <c r="AB496" s="33"/>
      <c r="AC496" s="33"/>
      <c r="AD496" s="35"/>
      <c r="AE496" s="33"/>
    </row>
    <row r="497" ht="15.75" customHeight="1">
      <c r="A497" s="33"/>
      <c r="H497" s="33"/>
      <c r="L497" s="33"/>
      <c r="N497" s="33"/>
      <c r="O497" s="33"/>
      <c r="P497" s="33"/>
      <c r="Q497" s="33"/>
      <c r="S497" s="33"/>
      <c r="U497" s="33"/>
      <c r="W497" s="33"/>
      <c r="X497" s="34"/>
      <c r="Y497" s="33"/>
      <c r="Z497" s="34"/>
      <c r="AA497" s="33"/>
      <c r="AB497" s="33"/>
      <c r="AC497" s="33"/>
      <c r="AD497" s="35"/>
      <c r="AE497" s="33"/>
    </row>
    <row r="498" ht="15.75" customHeight="1">
      <c r="A498" s="33"/>
      <c r="H498" s="33"/>
      <c r="L498" s="33"/>
      <c r="N498" s="33"/>
      <c r="O498" s="33"/>
      <c r="P498" s="33"/>
      <c r="Q498" s="33"/>
      <c r="S498" s="33"/>
      <c r="U498" s="33"/>
      <c r="W498" s="33"/>
      <c r="X498" s="34"/>
      <c r="Y498" s="33"/>
      <c r="Z498" s="34"/>
      <c r="AA498" s="33"/>
      <c r="AB498" s="33"/>
      <c r="AC498" s="33"/>
      <c r="AD498" s="35"/>
      <c r="AE498" s="33"/>
    </row>
    <row r="499" ht="15.75" customHeight="1">
      <c r="A499" s="33"/>
      <c r="H499" s="33"/>
      <c r="L499" s="33"/>
      <c r="N499" s="33"/>
      <c r="O499" s="33"/>
      <c r="P499" s="33"/>
      <c r="Q499" s="33"/>
      <c r="S499" s="33"/>
      <c r="U499" s="33"/>
      <c r="W499" s="33"/>
      <c r="X499" s="34"/>
      <c r="Y499" s="33"/>
      <c r="Z499" s="34"/>
      <c r="AA499" s="33"/>
      <c r="AB499" s="33"/>
      <c r="AC499" s="33"/>
      <c r="AD499" s="35"/>
      <c r="AE499" s="33"/>
    </row>
    <row r="500" ht="15.75" customHeight="1">
      <c r="A500" s="33"/>
      <c r="H500" s="33"/>
      <c r="L500" s="33"/>
      <c r="N500" s="33"/>
      <c r="O500" s="33"/>
      <c r="P500" s="33"/>
      <c r="Q500" s="33"/>
      <c r="S500" s="33"/>
      <c r="U500" s="33"/>
      <c r="W500" s="33"/>
      <c r="X500" s="34"/>
      <c r="Y500" s="33"/>
      <c r="Z500" s="34"/>
      <c r="AA500" s="33"/>
      <c r="AB500" s="33"/>
      <c r="AC500" s="33"/>
      <c r="AD500" s="35"/>
      <c r="AE500" s="33"/>
    </row>
    <row r="501" ht="15.75" customHeight="1">
      <c r="A501" s="33"/>
      <c r="H501" s="33"/>
      <c r="L501" s="33"/>
      <c r="N501" s="33"/>
      <c r="O501" s="33"/>
      <c r="P501" s="33"/>
      <c r="Q501" s="33"/>
      <c r="S501" s="33"/>
      <c r="U501" s="33"/>
      <c r="W501" s="33"/>
      <c r="X501" s="34"/>
      <c r="Y501" s="33"/>
      <c r="Z501" s="34"/>
      <c r="AA501" s="33"/>
      <c r="AB501" s="33"/>
      <c r="AC501" s="33"/>
      <c r="AD501" s="35"/>
      <c r="AE501" s="33"/>
    </row>
    <row r="502" ht="15.75" customHeight="1">
      <c r="A502" s="33"/>
      <c r="H502" s="33"/>
      <c r="L502" s="33"/>
      <c r="N502" s="33"/>
      <c r="O502" s="33"/>
      <c r="P502" s="33"/>
      <c r="Q502" s="33"/>
      <c r="S502" s="33"/>
      <c r="U502" s="33"/>
      <c r="W502" s="33"/>
      <c r="X502" s="34"/>
      <c r="Y502" s="33"/>
      <c r="Z502" s="34"/>
      <c r="AA502" s="33"/>
      <c r="AB502" s="33"/>
      <c r="AC502" s="33"/>
      <c r="AD502" s="35"/>
      <c r="AE502" s="33"/>
    </row>
    <row r="503" ht="15.75" customHeight="1">
      <c r="A503" s="33"/>
      <c r="H503" s="33"/>
      <c r="L503" s="33"/>
      <c r="N503" s="33"/>
      <c r="O503" s="33"/>
      <c r="P503" s="33"/>
      <c r="Q503" s="33"/>
      <c r="S503" s="33"/>
      <c r="U503" s="33"/>
      <c r="W503" s="33"/>
      <c r="X503" s="34"/>
      <c r="Y503" s="33"/>
      <c r="Z503" s="34"/>
      <c r="AA503" s="33"/>
      <c r="AB503" s="33"/>
      <c r="AC503" s="33"/>
      <c r="AD503" s="35"/>
      <c r="AE503" s="33"/>
    </row>
    <row r="504" ht="15.75" customHeight="1">
      <c r="A504" s="33"/>
      <c r="H504" s="33"/>
      <c r="L504" s="33"/>
      <c r="N504" s="33"/>
      <c r="O504" s="33"/>
      <c r="P504" s="33"/>
      <c r="Q504" s="33"/>
      <c r="S504" s="33"/>
      <c r="U504" s="33"/>
      <c r="W504" s="33"/>
      <c r="X504" s="34"/>
      <c r="Y504" s="33"/>
      <c r="Z504" s="34"/>
      <c r="AA504" s="33"/>
      <c r="AB504" s="33"/>
      <c r="AC504" s="33"/>
      <c r="AD504" s="35"/>
      <c r="AE504" s="33"/>
    </row>
    <row r="505" ht="15.75" customHeight="1">
      <c r="A505" s="33"/>
      <c r="H505" s="33"/>
      <c r="L505" s="33"/>
      <c r="N505" s="33"/>
      <c r="O505" s="33"/>
      <c r="P505" s="33"/>
      <c r="Q505" s="33"/>
      <c r="S505" s="33"/>
      <c r="U505" s="33"/>
      <c r="W505" s="33"/>
      <c r="X505" s="34"/>
      <c r="Y505" s="33"/>
      <c r="Z505" s="34"/>
      <c r="AA505" s="33"/>
      <c r="AB505" s="33"/>
      <c r="AC505" s="33"/>
      <c r="AD505" s="35"/>
      <c r="AE505" s="33"/>
    </row>
    <row r="506" ht="15.75" customHeight="1">
      <c r="A506" s="33"/>
      <c r="H506" s="33"/>
      <c r="L506" s="33"/>
      <c r="N506" s="33"/>
      <c r="O506" s="33"/>
      <c r="P506" s="33"/>
      <c r="Q506" s="33"/>
      <c r="S506" s="33"/>
      <c r="U506" s="33"/>
      <c r="W506" s="33"/>
      <c r="X506" s="34"/>
      <c r="Y506" s="33"/>
      <c r="Z506" s="34"/>
      <c r="AA506" s="33"/>
      <c r="AB506" s="33"/>
      <c r="AC506" s="33"/>
      <c r="AD506" s="35"/>
      <c r="AE506" s="33"/>
    </row>
    <row r="507" ht="15.75" customHeight="1">
      <c r="A507" s="33"/>
      <c r="H507" s="33"/>
      <c r="L507" s="33"/>
      <c r="N507" s="33"/>
      <c r="O507" s="33"/>
      <c r="P507" s="33"/>
      <c r="Q507" s="33"/>
      <c r="S507" s="33"/>
      <c r="U507" s="33"/>
      <c r="W507" s="33"/>
      <c r="X507" s="34"/>
      <c r="Y507" s="33"/>
      <c r="Z507" s="34"/>
      <c r="AA507" s="33"/>
      <c r="AB507" s="33"/>
      <c r="AC507" s="33"/>
      <c r="AD507" s="35"/>
      <c r="AE507" s="33"/>
    </row>
    <row r="508" ht="15.75" customHeight="1">
      <c r="A508" s="33"/>
      <c r="H508" s="33"/>
      <c r="L508" s="33"/>
      <c r="N508" s="33"/>
      <c r="O508" s="33"/>
      <c r="P508" s="33"/>
      <c r="Q508" s="33"/>
      <c r="S508" s="33"/>
      <c r="U508" s="33"/>
      <c r="W508" s="33"/>
      <c r="X508" s="34"/>
      <c r="Y508" s="33"/>
      <c r="Z508" s="34"/>
      <c r="AA508" s="33"/>
      <c r="AB508" s="33"/>
      <c r="AC508" s="33"/>
      <c r="AD508" s="35"/>
      <c r="AE508" s="33"/>
    </row>
    <row r="509" ht="15.75" customHeight="1">
      <c r="A509" s="33"/>
      <c r="H509" s="33"/>
      <c r="L509" s="33"/>
      <c r="N509" s="33"/>
      <c r="O509" s="33"/>
      <c r="P509" s="33"/>
      <c r="Q509" s="33"/>
      <c r="S509" s="33"/>
      <c r="U509" s="33"/>
      <c r="W509" s="33"/>
      <c r="X509" s="34"/>
      <c r="Y509" s="33"/>
      <c r="Z509" s="34"/>
      <c r="AA509" s="33"/>
      <c r="AB509" s="33"/>
      <c r="AC509" s="33"/>
      <c r="AD509" s="35"/>
      <c r="AE509" s="33"/>
    </row>
    <row r="510" ht="15.75" customHeight="1">
      <c r="A510" s="33"/>
      <c r="H510" s="33"/>
      <c r="L510" s="33"/>
      <c r="N510" s="33"/>
      <c r="O510" s="33"/>
      <c r="P510" s="33"/>
      <c r="Q510" s="33"/>
      <c r="S510" s="33"/>
      <c r="U510" s="33"/>
      <c r="W510" s="33"/>
      <c r="X510" s="34"/>
      <c r="Y510" s="33"/>
      <c r="Z510" s="34"/>
      <c r="AA510" s="33"/>
      <c r="AB510" s="33"/>
      <c r="AC510" s="33"/>
      <c r="AD510" s="35"/>
      <c r="AE510" s="33"/>
    </row>
    <row r="511" ht="15.75" customHeight="1">
      <c r="A511" s="33"/>
      <c r="H511" s="33"/>
      <c r="L511" s="33"/>
      <c r="N511" s="33"/>
      <c r="O511" s="33"/>
      <c r="P511" s="33"/>
      <c r="Q511" s="33"/>
      <c r="S511" s="33"/>
      <c r="U511" s="33"/>
      <c r="W511" s="33"/>
      <c r="X511" s="34"/>
      <c r="Y511" s="33"/>
      <c r="Z511" s="34"/>
      <c r="AA511" s="33"/>
      <c r="AB511" s="33"/>
      <c r="AC511" s="33"/>
      <c r="AD511" s="35"/>
      <c r="AE511" s="33"/>
    </row>
    <row r="512" ht="15.75" customHeight="1">
      <c r="A512" s="33"/>
      <c r="H512" s="33"/>
      <c r="L512" s="33"/>
      <c r="N512" s="33"/>
      <c r="O512" s="33"/>
      <c r="P512" s="33"/>
      <c r="Q512" s="33"/>
      <c r="S512" s="33"/>
      <c r="U512" s="33"/>
      <c r="W512" s="33"/>
      <c r="X512" s="34"/>
      <c r="Y512" s="33"/>
      <c r="Z512" s="34"/>
      <c r="AA512" s="33"/>
      <c r="AB512" s="33"/>
      <c r="AC512" s="33"/>
      <c r="AD512" s="35"/>
      <c r="AE512" s="33"/>
    </row>
    <row r="513" ht="15.75" customHeight="1">
      <c r="A513" s="33"/>
      <c r="H513" s="33"/>
      <c r="L513" s="33"/>
      <c r="N513" s="33"/>
      <c r="O513" s="33"/>
      <c r="P513" s="33"/>
      <c r="Q513" s="33"/>
      <c r="S513" s="33"/>
      <c r="U513" s="33"/>
      <c r="W513" s="33"/>
      <c r="X513" s="34"/>
      <c r="Y513" s="33"/>
      <c r="Z513" s="34"/>
      <c r="AA513" s="33"/>
      <c r="AB513" s="33"/>
      <c r="AC513" s="33"/>
      <c r="AD513" s="35"/>
      <c r="AE513" s="33"/>
    </row>
    <row r="514" ht="15.75" customHeight="1">
      <c r="A514" s="33"/>
      <c r="H514" s="33"/>
      <c r="L514" s="33"/>
      <c r="N514" s="33"/>
      <c r="O514" s="33"/>
      <c r="P514" s="33"/>
      <c r="Q514" s="33"/>
      <c r="S514" s="33"/>
      <c r="U514" s="33"/>
      <c r="W514" s="33"/>
      <c r="X514" s="34"/>
      <c r="Y514" s="33"/>
      <c r="Z514" s="34"/>
      <c r="AA514" s="33"/>
      <c r="AB514" s="33"/>
      <c r="AC514" s="33"/>
      <c r="AD514" s="35"/>
      <c r="AE514" s="33"/>
    </row>
    <row r="515" ht="15.75" customHeight="1">
      <c r="A515" s="33"/>
      <c r="H515" s="33"/>
      <c r="L515" s="33"/>
      <c r="N515" s="33"/>
      <c r="O515" s="33"/>
      <c r="P515" s="33"/>
      <c r="Q515" s="33"/>
      <c r="S515" s="33"/>
      <c r="U515" s="33"/>
      <c r="W515" s="33"/>
      <c r="X515" s="34"/>
      <c r="Y515" s="33"/>
      <c r="Z515" s="34"/>
      <c r="AA515" s="33"/>
      <c r="AB515" s="33"/>
      <c r="AC515" s="33"/>
      <c r="AD515" s="35"/>
      <c r="AE515" s="33"/>
    </row>
    <row r="516" ht="15.75" customHeight="1">
      <c r="A516" s="33"/>
      <c r="H516" s="33"/>
      <c r="L516" s="33"/>
      <c r="N516" s="33"/>
      <c r="O516" s="33"/>
      <c r="P516" s="33"/>
      <c r="Q516" s="33"/>
      <c r="S516" s="33"/>
      <c r="U516" s="33"/>
      <c r="W516" s="33"/>
      <c r="X516" s="34"/>
      <c r="Y516" s="33"/>
      <c r="Z516" s="34"/>
      <c r="AA516" s="33"/>
      <c r="AB516" s="33"/>
      <c r="AC516" s="33"/>
      <c r="AD516" s="35"/>
      <c r="AE516" s="33"/>
    </row>
    <row r="517" ht="15.75" customHeight="1">
      <c r="A517" s="33"/>
      <c r="H517" s="33"/>
      <c r="L517" s="33"/>
      <c r="N517" s="33"/>
      <c r="O517" s="33"/>
      <c r="P517" s="33"/>
      <c r="Q517" s="33"/>
      <c r="S517" s="33"/>
      <c r="U517" s="33"/>
      <c r="W517" s="33"/>
      <c r="X517" s="34"/>
      <c r="Y517" s="33"/>
      <c r="Z517" s="34"/>
      <c r="AA517" s="33"/>
      <c r="AB517" s="33"/>
      <c r="AC517" s="33"/>
      <c r="AD517" s="35"/>
      <c r="AE517" s="33"/>
    </row>
    <row r="518" ht="15.75" customHeight="1">
      <c r="A518" s="33"/>
      <c r="H518" s="33"/>
      <c r="L518" s="33"/>
      <c r="N518" s="33"/>
      <c r="O518" s="33"/>
      <c r="P518" s="33"/>
      <c r="Q518" s="33"/>
      <c r="S518" s="33"/>
      <c r="U518" s="33"/>
      <c r="W518" s="33"/>
      <c r="X518" s="34"/>
      <c r="Y518" s="33"/>
      <c r="Z518" s="34"/>
      <c r="AA518" s="33"/>
      <c r="AB518" s="33"/>
      <c r="AC518" s="33"/>
      <c r="AD518" s="35"/>
      <c r="AE518" s="33"/>
    </row>
    <row r="519" ht="15.75" customHeight="1">
      <c r="A519" s="33"/>
      <c r="H519" s="33"/>
      <c r="L519" s="33"/>
      <c r="N519" s="33"/>
      <c r="O519" s="33"/>
      <c r="P519" s="33"/>
      <c r="Q519" s="33"/>
      <c r="S519" s="33"/>
      <c r="U519" s="33"/>
      <c r="W519" s="33"/>
      <c r="X519" s="34"/>
      <c r="Y519" s="33"/>
      <c r="Z519" s="34"/>
      <c r="AA519" s="33"/>
      <c r="AB519" s="33"/>
      <c r="AC519" s="33"/>
      <c r="AD519" s="35"/>
      <c r="AE519" s="33"/>
    </row>
    <row r="520" ht="15.75" customHeight="1">
      <c r="A520" s="33"/>
      <c r="H520" s="33"/>
      <c r="L520" s="33"/>
      <c r="N520" s="33"/>
      <c r="O520" s="33"/>
      <c r="P520" s="33"/>
      <c r="Q520" s="33"/>
      <c r="S520" s="33"/>
      <c r="U520" s="33"/>
      <c r="W520" s="33"/>
      <c r="X520" s="34"/>
      <c r="Y520" s="33"/>
      <c r="Z520" s="34"/>
      <c r="AA520" s="33"/>
      <c r="AB520" s="33"/>
      <c r="AC520" s="33"/>
      <c r="AD520" s="35"/>
      <c r="AE520" s="33"/>
    </row>
    <row r="521" ht="15.75" customHeight="1">
      <c r="A521" s="33"/>
      <c r="H521" s="33"/>
      <c r="L521" s="33"/>
      <c r="N521" s="33"/>
      <c r="O521" s="33"/>
      <c r="P521" s="33"/>
      <c r="Q521" s="33"/>
      <c r="S521" s="33"/>
      <c r="U521" s="33"/>
      <c r="W521" s="33"/>
      <c r="X521" s="34"/>
      <c r="Y521" s="33"/>
      <c r="Z521" s="34"/>
      <c r="AA521" s="33"/>
      <c r="AB521" s="33"/>
      <c r="AC521" s="33"/>
      <c r="AD521" s="35"/>
      <c r="AE521" s="33"/>
    </row>
    <row r="522" ht="15.75" customHeight="1">
      <c r="A522" s="33"/>
      <c r="H522" s="33"/>
      <c r="L522" s="33"/>
      <c r="N522" s="33"/>
      <c r="O522" s="33"/>
      <c r="P522" s="33"/>
      <c r="Q522" s="33"/>
      <c r="S522" s="33"/>
      <c r="U522" s="33"/>
      <c r="W522" s="33"/>
      <c r="X522" s="34"/>
      <c r="Y522" s="33"/>
      <c r="Z522" s="34"/>
      <c r="AA522" s="33"/>
      <c r="AB522" s="33"/>
      <c r="AC522" s="33"/>
      <c r="AD522" s="35"/>
      <c r="AE522" s="33"/>
    </row>
    <row r="523" ht="15.75" customHeight="1">
      <c r="A523" s="33"/>
      <c r="H523" s="33"/>
      <c r="L523" s="33"/>
      <c r="N523" s="33"/>
      <c r="O523" s="33"/>
      <c r="P523" s="33"/>
      <c r="Q523" s="33"/>
      <c r="S523" s="33"/>
      <c r="U523" s="33"/>
      <c r="W523" s="33"/>
      <c r="X523" s="34"/>
      <c r="Y523" s="33"/>
      <c r="Z523" s="34"/>
      <c r="AA523" s="33"/>
      <c r="AB523" s="33"/>
      <c r="AC523" s="33"/>
      <c r="AD523" s="35"/>
      <c r="AE523" s="33"/>
    </row>
    <row r="524" ht="15.75" customHeight="1">
      <c r="A524" s="33"/>
      <c r="H524" s="33"/>
      <c r="L524" s="33"/>
      <c r="N524" s="33"/>
      <c r="O524" s="33"/>
      <c r="P524" s="33"/>
      <c r="Q524" s="33"/>
      <c r="S524" s="33"/>
      <c r="U524" s="33"/>
      <c r="W524" s="33"/>
      <c r="X524" s="34"/>
      <c r="Y524" s="33"/>
      <c r="Z524" s="34"/>
      <c r="AA524" s="33"/>
      <c r="AB524" s="33"/>
      <c r="AC524" s="33"/>
      <c r="AD524" s="35"/>
      <c r="AE524" s="33"/>
    </row>
    <row r="525" ht="15.75" customHeight="1">
      <c r="A525" s="33"/>
      <c r="H525" s="33"/>
      <c r="L525" s="33"/>
      <c r="N525" s="33"/>
      <c r="O525" s="33"/>
      <c r="P525" s="33"/>
      <c r="Q525" s="33"/>
      <c r="S525" s="33"/>
      <c r="U525" s="33"/>
      <c r="W525" s="33"/>
      <c r="X525" s="34"/>
      <c r="Y525" s="33"/>
      <c r="Z525" s="34"/>
      <c r="AA525" s="33"/>
      <c r="AB525" s="33"/>
      <c r="AC525" s="33"/>
      <c r="AD525" s="35"/>
      <c r="AE525" s="33"/>
    </row>
    <row r="526" ht="15.75" customHeight="1">
      <c r="A526" s="33"/>
      <c r="H526" s="33"/>
      <c r="L526" s="33"/>
      <c r="N526" s="33"/>
      <c r="O526" s="33"/>
      <c r="P526" s="33"/>
      <c r="Q526" s="33"/>
      <c r="S526" s="33"/>
      <c r="U526" s="33"/>
      <c r="W526" s="33"/>
      <c r="X526" s="34"/>
      <c r="Y526" s="33"/>
      <c r="Z526" s="34"/>
      <c r="AA526" s="33"/>
      <c r="AB526" s="33"/>
      <c r="AC526" s="33"/>
      <c r="AD526" s="35"/>
      <c r="AE526" s="33"/>
    </row>
    <row r="527" ht="15.75" customHeight="1">
      <c r="A527" s="33"/>
      <c r="H527" s="33"/>
      <c r="L527" s="33"/>
      <c r="N527" s="33"/>
      <c r="O527" s="33"/>
      <c r="P527" s="33"/>
      <c r="Q527" s="33"/>
      <c r="S527" s="33"/>
      <c r="U527" s="33"/>
      <c r="W527" s="33"/>
      <c r="X527" s="34"/>
      <c r="Y527" s="33"/>
      <c r="Z527" s="34"/>
      <c r="AA527" s="33"/>
      <c r="AB527" s="33"/>
      <c r="AC527" s="33"/>
      <c r="AD527" s="35"/>
      <c r="AE527" s="33"/>
    </row>
    <row r="528" ht="15.75" customHeight="1">
      <c r="A528" s="33"/>
      <c r="H528" s="33"/>
      <c r="L528" s="33"/>
      <c r="N528" s="33"/>
      <c r="O528" s="33"/>
      <c r="P528" s="33"/>
      <c r="Q528" s="33"/>
      <c r="S528" s="33"/>
      <c r="U528" s="33"/>
      <c r="W528" s="33"/>
      <c r="X528" s="34"/>
      <c r="Y528" s="33"/>
      <c r="Z528" s="34"/>
      <c r="AA528" s="33"/>
      <c r="AB528" s="33"/>
      <c r="AC528" s="33"/>
      <c r="AD528" s="35"/>
      <c r="AE528" s="33"/>
    </row>
    <row r="529" ht="15.75" customHeight="1">
      <c r="A529" s="33"/>
      <c r="H529" s="33"/>
      <c r="L529" s="33"/>
      <c r="N529" s="33"/>
      <c r="O529" s="33"/>
      <c r="P529" s="33"/>
      <c r="Q529" s="33"/>
      <c r="S529" s="33"/>
      <c r="U529" s="33"/>
      <c r="W529" s="33"/>
      <c r="X529" s="34"/>
      <c r="Y529" s="33"/>
      <c r="Z529" s="34"/>
      <c r="AA529" s="33"/>
      <c r="AB529" s="33"/>
      <c r="AC529" s="33"/>
      <c r="AD529" s="35"/>
      <c r="AE529" s="33"/>
    </row>
    <row r="530" ht="15.75" customHeight="1">
      <c r="A530" s="33"/>
      <c r="H530" s="33"/>
      <c r="L530" s="33"/>
      <c r="N530" s="33"/>
      <c r="O530" s="33"/>
      <c r="P530" s="33"/>
      <c r="Q530" s="33"/>
      <c r="S530" s="33"/>
      <c r="U530" s="33"/>
      <c r="W530" s="33"/>
      <c r="X530" s="34"/>
      <c r="Y530" s="33"/>
      <c r="Z530" s="34"/>
      <c r="AA530" s="33"/>
      <c r="AB530" s="33"/>
      <c r="AC530" s="33"/>
      <c r="AD530" s="35"/>
      <c r="AE530" s="33"/>
    </row>
    <row r="531" ht="15.75" customHeight="1">
      <c r="A531" s="33"/>
      <c r="H531" s="33"/>
      <c r="L531" s="33"/>
      <c r="N531" s="33"/>
      <c r="O531" s="33"/>
      <c r="P531" s="33"/>
      <c r="Q531" s="33"/>
      <c r="S531" s="33"/>
      <c r="U531" s="33"/>
      <c r="W531" s="33"/>
      <c r="X531" s="34"/>
      <c r="Y531" s="33"/>
      <c r="Z531" s="34"/>
      <c r="AA531" s="33"/>
      <c r="AB531" s="33"/>
      <c r="AC531" s="33"/>
      <c r="AD531" s="35"/>
      <c r="AE531" s="33"/>
    </row>
    <row r="532" ht="15.75" customHeight="1">
      <c r="A532" s="33"/>
      <c r="H532" s="33"/>
      <c r="L532" s="33"/>
      <c r="N532" s="33"/>
      <c r="O532" s="33"/>
      <c r="P532" s="33"/>
      <c r="Q532" s="33"/>
      <c r="S532" s="33"/>
      <c r="U532" s="33"/>
      <c r="W532" s="33"/>
      <c r="X532" s="34"/>
      <c r="Y532" s="33"/>
      <c r="Z532" s="34"/>
      <c r="AA532" s="33"/>
      <c r="AB532" s="33"/>
      <c r="AC532" s="33"/>
      <c r="AD532" s="35"/>
      <c r="AE532" s="33"/>
    </row>
    <row r="533" ht="15.75" customHeight="1">
      <c r="A533" s="33"/>
      <c r="H533" s="33"/>
      <c r="L533" s="33"/>
      <c r="N533" s="33"/>
      <c r="O533" s="33"/>
      <c r="P533" s="33"/>
      <c r="Q533" s="33"/>
      <c r="S533" s="33"/>
      <c r="U533" s="33"/>
      <c r="W533" s="33"/>
      <c r="X533" s="34"/>
      <c r="Y533" s="33"/>
      <c r="Z533" s="34"/>
      <c r="AA533" s="33"/>
      <c r="AB533" s="33"/>
      <c r="AC533" s="33"/>
      <c r="AD533" s="35"/>
      <c r="AE533" s="33"/>
    </row>
    <row r="534" ht="15.75" customHeight="1">
      <c r="A534" s="33"/>
      <c r="H534" s="33"/>
      <c r="L534" s="33"/>
      <c r="N534" s="33"/>
      <c r="O534" s="33"/>
      <c r="P534" s="33"/>
      <c r="Q534" s="33"/>
      <c r="S534" s="33"/>
      <c r="U534" s="33"/>
      <c r="W534" s="33"/>
      <c r="X534" s="34"/>
      <c r="Y534" s="33"/>
      <c r="Z534" s="34"/>
      <c r="AA534" s="33"/>
      <c r="AB534" s="33"/>
      <c r="AC534" s="33"/>
      <c r="AD534" s="35"/>
      <c r="AE534" s="33"/>
    </row>
    <row r="535" ht="15.75" customHeight="1">
      <c r="A535" s="33"/>
      <c r="H535" s="33"/>
      <c r="L535" s="33"/>
      <c r="N535" s="33"/>
      <c r="O535" s="33"/>
      <c r="P535" s="33"/>
      <c r="Q535" s="33"/>
      <c r="S535" s="33"/>
      <c r="U535" s="33"/>
      <c r="W535" s="33"/>
      <c r="X535" s="34"/>
      <c r="Y535" s="33"/>
      <c r="Z535" s="34"/>
      <c r="AA535" s="33"/>
      <c r="AB535" s="33"/>
      <c r="AC535" s="33"/>
      <c r="AD535" s="35"/>
      <c r="AE535" s="33"/>
    </row>
    <row r="536" ht="15.75" customHeight="1">
      <c r="A536" s="33"/>
      <c r="H536" s="33"/>
      <c r="L536" s="33"/>
      <c r="N536" s="33"/>
      <c r="O536" s="33"/>
      <c r="P536" s="33"/>
      <c r="Q536" s="33"/>
      <c r="S536" s="33"/>
      <c r="U536" s="33"/>
      <c r="W536" s="33"/>
      <c r="X536" s="34"/>
      <c r="Y536" s="33"/>
      <c r="Z536" s="34"/>
      <c r="AA536" s="33"/>
      <c r="AB536" s="33"/>
      <c r="AC536" s="33"/>
      <c r="AD536" s="35"/>
      <c r="AE536" s="33"/>
    </row>
    <row r="537" ht="15.75" customHeight="1">
      <c r="A537" s="33"/>
      <c r="H537" s="33"/>
      <c r="L537" s="33"/>
      <c r="N537" s="33"/>
      <c r="O537" s="33"/>
      <c r="P537" s="33"/>
      <c r="Q537" s="33"/>
      <c r="S537" s="33"/>
      <c r="U537" s="33"/>
      <c r="W537" s="33"/>
      <c r="X537" s="34"/>
      <c r="Y537" s="33"/>
      <c r="Z537" s="34"/>
      <c r="AA537" s="33"/>
      <c r="AB537" s="33"/>
      <c r="AC537" s="33"/>
      <c r="AD537" s="35"/>
      <c r="AE537" s="33"/>
    </row>
    <row r="538" ht="15.75" customHeight="1">
      <c r="A538" s="33"/>
      <c r="H538" s="33"/>
      <c r="L538" s="33"/>
      <c r="N538" s="33"/>
      <c r="O538" s="33"/>
      <c r="P538" s="33"/>
      <c r="Q538" s="33"/>
      <c r="S538" s="33"/>
      <c r="U538" s="33"/>
      <c r="W538" s="33"/>
      <c r="X538" s="34"/>
      <c r="Y538" s="33"/>
      <c r="Z538" s="34"/>
      <c r="AA538" s="33"/>
      <c r="AB538" s="33"/>
      <c r="AC538" s="33"/>
      <c r="AD538" s="35"/>
      <c r="AE538" s="33"/>
    </row>
    <row r="539" ht="15.75" customHeight="1">
      <c r="A539" s="33"/>
      <c r="H539" s="33"/>
      <c r="L539" s="33"/>
      <c r="N539" s="33"/>
      <c r="O539" s="33"/>
      <c r="P539" s="33"/>
      <c r="Q539" s="33"/>
      <c r="S539" s="33"/>
      <c r="U539" s="33"/>
      <c r="W539" s="33"/>
      <c r="X539" s="34"/>
      <c r="Y539" s="33"/>
      <c r="Z539" s="34"/>
      <c r="AA539" s="33"/>
      <c r="AB539" s="33"/>
      <c r="AC539" s="33"/>
      <c r="AD539" s="35"/>
      <c r="AE539" s="33"/>
    </row>
    <row r="540" ht="15.75" customHeight="1">
      <c r="A540" s="33"/>
      <c r="H540" s="33"/>
      <c r="L540" s="33"/>
      <c r="N540" s="33"/>
      <c r="O540" s="33"/>
      <c r="P540" s="33"/>
      <c r="Q540" s="33"/>
      <c r="S540" s="33"/>
      <c r="U540" s="33"/>
      <c r="W540" s="33"/>
      <c r="X540" s="34"/>
      <c r="Y540" s="33"/>
      <c r="Z540" s="34"/>
      <c r="AA540" s="33"/>
      <c r="AB540" s="33"/>
      <c r="AC540" s="33"/>
      <c r="AD540" s="35"/>
      <c r="AE540" s="33"/>
    </row>
    <row r="541" ht="15.75" customHeight="1">
      <c r="A541" s="33"/>
      <c r="H541" s="33"/>
      <c r="L541" s="33"/>
      <c r="N541" s="33"/>
      <c r="O541" s="33"/>
      <c r="P541" s="33"/>
      <c r="Q541" s="33"/>
      <c r="S541" s="33"/>
      <c r="U541" s="33"/>
      <c r="W541" s="33"/>
      <c r="X541" s="34"/>
      <c r="Y541" s="33"/>
      <c r="Z541" s="34"/>
      <c r="AA541" s="33"/>
      <c r="AB541" s="33"/>
      <c r="AC541" s="33"/>
      <c r="AD541" s="35"/>
      <c r="AE541" s="33"/>
    </row>
    <row r="542" ht="15.75" customHeight="1">
      <c r="A542" s="33"/>
      <c r="H542" s="33"/>
      <c r="L542" s="33"/>
      <c r="N542" s="33"/>
      <c r="O542" s="33"/>
      <c r="P542" s="33"/>
      <c r="Q542" s="33"/>
      <c r="S542" s="33"/>
      <c r="U542" s="33"/>
      <c r="W542" s="33"/>
      <c r="X542" s="34"/>
      <c r="Y542" s="33"/>
      <c r="Z542" s="34"/>
      <c r="AA542" s="33"/>
      <c r="AB542" s="33"/>
      <c r="AC542" s="33"/>
      <c r="AD542" s="35"/>
      <c r="AE542" s="33"/>
    </row>
    <row r="543" ht="15.75" customHeight="1">
      <c r="A543" s="33"/>
      <c r="H543" s="33"/>
      <c r="L543" s="33"/>
      <c r="N543" s="33"/>
      <c r="O543" s="33"/>
      <c r="P543" s="33"/>
      <c r="Q543" s="33"/>
      <c r="S543" s="33"/>
      <c r="U543" s="33"/>
      <c r="W543" s="33"/>
      <c r="X543" s="34"/>
      <c r="Y543" s="33"/>
      <c r="Z543" s="34"/>
      <c r="AA543" s="33"/>
      <c r="AB543" s="33"/>
      <c r="AC543" s="33"/>
      <c r="AD543" s="35"/>
      <c r="AE543" s="33"/>
    </row>
    <row r="544" ht="15.75" customHeight="1">
      <c r="A544" s="33"/>
      <c r="H544" s="33"/>
      <c r="L544" s="33"/>
      <c r="N544" s="33"/>
      <c r="O544" s="33"/>
      <c r="P544" s="33"/>
      <c r="Q544" s="33"/>
      <c r="S544" s="33"/>
      <c r="U544" s="33"/>
      <c r="W544" s="33"/>
      <c r="X544" s="34"/>
      <c r="Y544" s="33"/>
      <c r="Z544" s="34"/>
      <c r="AA544" s="33"/>
      <c r="AB544" s="33"/>
      <c r="AC544" s="33"/>
      <c r="AD544" s="35"/>
      <c r="AE544" s="33"/>
    </row>
    <row r="545" ht="15.75" customHeight="1">
      <c r="A545" s="33"/>
      <c r="H545" s="33"/>
      <c r="L545" s="33"/>
      <c r="N545" s="33"/>
      <c r="O545" s="33"/>
      <c r="P545" s="33"/>
      <c r="Q545" s="33"/>
      <c r="S545" s="33"/>
      <c r="U545" s="33"/>
      <c r="W545" s="33"/>
      <c r="X545" s="34"/>
      <c r="Y545" s="33"/>
      <c r="Z545" s="34"/>
      <c r="AA545" s="33"/>
      <c r="AB545" s="33"/>
      <c r="AC545" s="33"/>
      <c r="AD545" s="35"/>
      <c r="AE545" s="33"/>
    </row>
    <row r="546" ht="15.75" customHeight="1">
      <c r="A546" s="33"/>
      <c r="H546" s="33"/>
      <c r="L546" s="33"/>
      <c r="N546" s="33"/>
      <c r="O546" s="33"/>
      <c r="P546" s="33"/>
      <c r="Q546" s="33"/>
      <c r="S546" s="33"/>
      <c r="U546" s="33"/>
      <c r="W546" s="33"/>
      <c r="X546" s="34"/>
      <c r="Y546" s="33"/>
      <c r="Z546" s="34"/>
      <c r="AA546" s="33"/>
      <c r="AB546" s="33"/>
      <c r="AC546" s="33"/>
      <c r="AD546" s="35"/>
      <c r="AE546" s="33"/>
    </row>
    <row r="547" ht="15.75" customHeight="1">
      <c r="A547" s="33"/>
      <c r="H547" s="33"/>
      <c r="L547" s="33"/>
      <c r="N547" s="33"/>
      <c r="O547" s="33"/>
      <c r="P547" s="33"/>
      <c r="Q547" s="33"/>
      <c r="S547" s="33"/>
      <c r="U547" s="33"/>
      <c r="W547" s="33"/>
      <c r="X547" s="34"/>
      <c r="Y547" s="33"/>
      <c r="Z547" s="34"/>
      <c r="AA547" s="33"/>
      <c r="AB547" s="33"/>
      <c r="AC547" s="33"/>
      <c r="AD547" s="35"/>
      <c r="AE547" s="33"/>
    </row>
    <row r="548" ht="15.75" customHeight="1">
      <c r="A548" s="33"/>
      <c r="H548" s="33"/>
      <c r="L548" s="33"/>
      <c r="N548" s="33"/>
      <c r="O548" s="33"/>
      <c r="P548" s="33"/>
      <c r="Q548" s="33"/>
      <c r="S548" s="33"/>
      <c r="U548" s="33"/>
      <c r="W548" s="33"/>
      <c r="X548" s="34"/>
      <c r="Y548" s="33"/>
      <c r="Z548" s="34"/>
      <c r="AA548" s="33"/>
      <c r="AB548" s="33"/>
      <c r="AC548" s="33"/>
      <c r="AD548" s="35"/>
      <c r="AE548" s="33"/>
    </row>
    <row r="549" ht="15.75" customHeight="1">
      <c r="A549" s="33"/>
      <c r="H549" s="33"/>
      <c r="L549" s="33"/>
      <c r="N549" s="33"/>
      <c r="O549" s="33"/>
      <c r="P549" s="33"/>
      <c r="Q549" s="33"/>
      <c r="S549" s="33"/>
      <c r="U549" s="33"/>
      <c r="W549" s="33"/>
      <c r="X549" s="34"/>
      <c r="Y549" s="33"/>
      <c r="Z549" s="34"/>
      <c r="AA549" s="33"/>
      <c r="AB549" s="33"/>
      <c r="AC549" s="33"/>
      <c r="AD549" s="35"/>
      <c r="AE549" s="33"/>
    </row>
    <row r="550" ht="15.75" customHeight="1">
      <c r="A550" s="33"/>
      <c r="H550" s="33"/>
      <c r="L550" s="33"/>
      <c r="N550" s="33"/>
      <c r="O550" s="33"/>
      <c r="P550" s="33"/>
      <c r="Q550" s="33"/>
      <c r="S550" s="33"/>
      <c r="U550" s="33"/>
      <c r="W550" s="33"/>
      <c r="X550" s="34"/>
      <c r="Y550" s="33"/>
      <c r="Z550" s="34"/>
      <c r="AA550" s="33"/>
      <c r="AB550" s="33"/>
      <c r="AC550" s="33"/>
      <c r="AD550" s="35"/>
      <c r="AE550" s="33"/>
    </row>
    <row r="551" ht="15.75" customHeight="1">
      <c r="A551" s="33"/>
      <c r="H551" s="33"/>
      <c r="L551" s="33"/>
      <c r="N551" s="33"/>
      <c r="O551" s="33"/>
      <c r="P551" s="33"/>
      <c r="Q551" s="33"/>
      <c r="S551" s="33"/>
      <c r="U551" s="33"/>
      <c r="W551" s="33"/>
      <c r="X551" s="34"/>
      <c r="Y551" s="33"/>
      <c r="Z551" s="34"/>
      <c r="AA551" s="33"/>
      <c r="AB551" s="33"/>
      <c r="AC551" s="33"/>
      <c r="AD551" s="35"/>
      <c r="AE551" s="33"/>
    </row>
    <row r="552" ht="15.75" customHeight="1">
      <c r="A552" s="33"/>
      <c r="H552" s="33"/>
      <c r="L552" s="33"/>
      <c r="N552" s="33"/>
      <c r="O552" s="33"/>
      <c r="P552" s="33"/>
      <c r="Q552" s="33"/>
      <c r="S552" s="33"/>
      <c r="U552" s="33"/>
      <c r="W552" s="33"/>
      <c r="X552" s="34"/>
      <c r="Y552" s="33"/>
      <c r="Z552" s="34"/>
      <c r="AA552" s="33"/>
      <c r="AB552" s="33"/>
      <c r="AC552" s="33"/>
      <c r="AD552" s="35"/>
      <c r="AE552" s="33"/>
    </row>
    <row r="553" ht="15.75" customHeight="1">
      <c r="A553" s="33"/>
      <c r="H553" s="33"/>
      <c r="L553" s="33"/>
      <c r="N553" s="33"/>
      <c r="O553" s="33"/>
      <c r="P553" s="33"/>
      <c r="Q553" s="33"/>
      <c r="S553" s="33"/>
      <c r="U553" s="33"/>
      <c r="W553" s="33"/>
      <c r="X553" s="34"/>
      <c r="Y553" s="33"/>
      <c r="Z553" s="34"/>
      <c r="AA553" s="33"/>
      <c r="AB553" s="33"/>
      <c r="AC553" s="33"/>
      <c r="AD553" s="35"/>
      <c r="AE553" s="33"/>
    </row>
    <row r="554" ht="15.75" customHeight="1">
      <c r="A554" s="33"/>
      <c r="H554" s="33"/>
      <c r="L554" s="33"/>
      <c r="N554" s="33"/>
      <c r="O554" s="33"/>
      <c r="P554" s="33"/>
      <c r="Q554" s="33"/>
      <c r="S554" s="33"/>
      <c r="U554" s="33"/>
      <c r="W554" s="33"/>
      <c r="X554" s="34"/>
      <c r="Y554" s="33"/>
      <c r="Z554" s="34"/>
      <c r="AA554" s="33"/>
      <c r="AB554" s="33"/>
      <c r="AC554" s="33"/>
      <c r="AD554" s="35"/>
      <c r="AE554" s="33"/>
    </row>
    <row r="555" ht="15.75" customHeight="1">
      <c r="A555" s="33"/>
      <c r="H555" s="33"/>
      <c r="L555" s="33"/>
      <c r="N555" s="33"/>
      <c r="O555" s="33"/>
      <c r="P555" s="33"/>
      <c r="Q555" s="33"/>
      <c r="S555" s="33"/>
      <c r="U555" s="33"/>
      <c r="W555" s="33"/>
      <c r="X555" s="34"/>
      <c r="Y555" s="33"/>
      <c r="Z555" s="34"/>
      <c r="AA555" s="33"/>
      <c r="AB555" s="33"/>
      <c r="AC555" s="33"/>
      <c r="AD555" s="35"/>
      <c r="AE555" s="33"/>
    </row>
    <row r="556" ht="15.75" customHeight="1">
      <c r="A556" s="33"/>
      <c r="H556" s="33"/>
      <c r="L556" s="33"/>
      <c r="N556" s="33"/>
      <c r="O556" s="33"/>
      <c r="P556" s="33"/>
      <c r="Q556" s="33"/>
      <c r="S556" s="33"/>
      <c r="U556" s="33"/>
      <c r="W556" s="33"/>
      <c r="X556" s="34"/>
      <c r="Y556" s="33"/>
      <c r="Z556" s="34"/>
      <c r="AA556" s="33"/>
      <c r="AB556" s="33"/>
      <c r="AC556" s="33"/>
      <c r="AD556" s="35"/>
      <c r="AE556" s="33"/>
    </row>
    <row r="557" ht="15.75" customHeight="1">
      <c r="A557" s="33"/>
      <c r="H557" s="33"/>
      <c r="L557" s="33"/>
      <c r="N557" s="33"/>
      <c r="O557" s="33"/>
      <c r="P557" s="33"/>
      <c r="Q557" s="33"/>
      <c r="S557" s="33"/>
      <c r="U557" s="33"/>
      <c r="W557" s="33"/>
      <c r="X557" s="34"/>
      <c r="Y557" s="33"/>
      <c r="Z557" s="34"/>
      <c r="AA557" s="33"/>
      <c r="AB557" s="33"/>
      <c r="AC557" s="33"/>
      <c r="AD557" s="35"/>
      <c r="AE557" s="33"/>
    </row>
    <row r="558" ht="15.75" customHeight="1">
      <c r="A558" s="33"/>
      <c r="H558" s="33"/>
      <c r="L558" s="33"/>
      <c r="N558" s="33"/>
      <c r="O558" s="33"/>
      <c r="P558" s="33"/>
      <c r="Q558" s="33"/>
      <c r="S558" s="33"/>
      <c r="U558" s="33"/>
      <c r="W558" s="33"/>
      <c r="X558" s="34"/>
      <c r="Y558" s="33"/>
      <c r="Z558" s="34"/>
      <c r="AA558" s="33"/>
      <c r="AB558" s="33"/>
      <c r="AC558" s="33"/>
      <c r="AD558" s="35"/>
      <c r="AE558" s="33"/>
    </row>
    <row r="559" ht="15.75" customHeight="1">
      <c r="A559" s="33"/>
      <c r="H559" s="33"/>
      <c r="L559" s="33"/>
      <c r="N559" s="33"/>
      <c r="O559" s="33"/>
      <c r="P559" s="33"/>
      <c r="Q559" s="33"/>
      <c r="S559" s="33"/>
      <c r="U559" s="33"/>
      <c r="W559" s="33"/>
      <c r="X559" s="34"/>
      <c r="Y559" s="33"/>
      <c r="Z559" s="34"/>
      <c r="AA559" s="33"/>
      <c r="AB559" s="33"/>
      <c r="AC559" s="33"/>
      <c r="AD559" s="35"/>
      <c r="AE559" s="33"/>
    </row>
    <row r="560" ht="15.75" customHeight="1">
      <c r="A560" s="33"/>
      <c r="H560" s="33"/>
      <c r="L560" s="33"/>
      <c r="N560" s="33"/>
      <c r="O560" s="33"/>
      <c r="P560" s="33"/>
      <c r="Q560" s="33"/>
      <c r="S560" s="33"/>
      <c r="U560" s="33"/>
      <c r="W560" s="33"/>
      <c r="X560" s="34"/>
      <c r="Y560" s="33"/>
      <c r="Z560" s="34"/>
      <c r="AA560" s="33"/>
      <c r="AB560" s="33"/>
      <c r="AC560" s="33"/>
      <c r="AD560" s="35"/>
      <c r="AE560" s="33"/>
    </row>
    <row r="561" ht="15.75" customHeight="1">
      <c r="A561" s="33"/>
      <c r="H561" s="33"/>
      <c r="L561" s="33"/>
      <c r="N561" s="33"/>
      <c r="O561" s="33"/>
      <c r="P561" s="33"/>
      <c r="Q561" s="33"/>
      <c r="S561" s="33"/>
      <c r="U561" s="33"/>
      <c r="W561" s="33"/>
      <c r="X561" s="34"/>
      <c r="Y561" s="33"/>
      <c r="Z561" s="34"/>
      <c r="AA561" s="33"/>
      <c r="AB561" s="33"/>
      <c r="AC561" s="33"/>
      <c r="AD561" s="35"/>
      <c r="AE561" s="33"/>
    </row>
    <row r="562" ht="15.75" customHeight="1">
      <c r="A562" s="33"/>
      <c r="H562" s="33"/>
      <c r="L562" s="33"/>
      <c r="N562" s="33"/>
      <c r="O562" s="33"/>
      <c r="P562" s="33"/>
      <c r="Q562" s="33"/>
      <c r="S562" s="33"/>
      <c r="U562" s="33"/>
      <c r="W562" s="33"/>
      <c r="X562" s="34"/>
      <c r="Y562" s="33"/>
      <c r="Z562" s="34"/>
      <c r="AA562" s="33"/>
      <c r="AB562" s="33"/>
      <c r="AC562" s="33"/>
      <c r="AD562" s="35"/>
      <c r="AE562" s="33"/>
    </row>
    <row r="563" ht="15.75" customHeight="1">
      <c r="A563" s="33"/>
      <c r="H563" s="33"/>
      <c r="L563" s="33"/>
      <c r="N563" s="33"/>
      <c r="O563" s="33"/>
      <c r="P563" s="33"/>
      <c r="Q563" s="33"/>
      <c r="S563" s="33"/>
      <c r="U563" s="33"/>
      <c r="W563" s="33"/>
      <c r="X563" s="34"/>
      <c r="Y563" s="33"/>
      <c r="Z563" s="34"/>
      <c r="AA563" s="33"/>
      <c r="AB563" s="33"/>
      <c r="AC563" s="33"/>
      <c r="AD563" s="35"/>
      <c r="AE563" s="33"/>
    </row>
    <row r="564" ht="15.75" customHeight="1">
      <c r="A564" s="33"/>
      <c r="H564" s="33"/>
      <c r="L564" s="33"/>
      <c r="N564" s="33"/>
      <c r="O564" s="33"/>
      <c r="P564" s="33"/>
      <c r="Q564" s="33"/>
      <c r="S564" s="33"/>
      <c r="U564" s="33"/>
      <c r="W564" s="33"/>
      <c r="X564" s="34"/>
      <c r="Y564" s="33"/>
      <c r="Z564" s="34"/>
      <c r="AA564" s="33"/>
      <c r="AB564" s="33"/>
      <c r="AC564" s="33"/>
      <c r="AD564" s="35"/>
      <c r="AE564" s="33"/>
    </row>
    <row r="565" ht="15.75" customHeight="1">
      <c r="A565" s="33"/>
      <c r="H565" s="33"/>
      <c r="L565" s="33"/>
      <c r="N565" s="33"/>
      <c r="O565" s="33"/>
      <c r="P565" s="33"/>
      <c r="Q565" s="33"/>
      <c r="S565" s="33"/>
      <c r="U565" s="33"/>
      <c r="W565" s="33"/>
      <c r="X565" s="34"/>
      <c r="Y565" s="33"/>
      <c r="Z565" s="34"/>
      <c r="AA565" s="33"/>
      <c r="AB565" s="33"/>
      <c r="AC565" s="33"/>
      <c r="AD565" s="35"/>
      <c r="AE565" s="33"/>
    </row>
    <row r="566" ht="15.75" customHeight="1">
      <c r="A566" s="33"/>
      <c r="H566" s="33"/>
      <c r="L566" s="33"/>
      <c r="N566" s="33"/>
      <c r="O566" s="33"/>
      <c r="P566" s="33"/>
      <c r="Q566" s="33"/>
      <c r="S566" s="33"/>
      <c r="U566" s="33"/>
      <c r="W566" s="33"/>
      <c r="X566" s="34"/>
      <c r="Y566" s="33"/>
      <c r="Z566" s="34"/>
      <c r="AA566" s="33"/>
      <c r="AB566" s="33"/>
      <c r="AC566" s="33"/>
      <c r="AD566" s="35"/>
      <c r="AE566" s="33"/>
    </row>
    <row r="567" ht="15.75" customHeight="1">
      <c r="A567" s="33"/>
      <c r="H567" s="33"/>
      <c r="L567" s="33"/>
      <c r="N567" s="33"/>
      <c r="O567" s="33"/>
      <c r="P567" s="33"/>
      <c r="Q567" s="33"/>
      <c r="S567" s="33"/>
      <c r="U567" s="33"/>
      <c r="W567" s="33"/>
      <c r="X567" s="34"/>
      <c r="Y567" s="33"/>
      <c r="Z567" s="34"/>
      <c r="AA567" s="33"/>
      <c r="AB567" s="33"/>
      <c r="AC567" s="33"/>
      <c r="AD567" s="35"/>
      <c r="AE567" s="33"/>
    </row>
    <row r="568" ht="15.75" customHeight="1">
      <c r="A568" s="33"/>
      <c r="H568" s="33"/>
      <c r="L568" s="33"/>
      <c r="N568" s="33"/>
      <c r="O568" s="33"/>
      <c r="P568" s="33"/>
      <c r="Q568" s="33"/>
      <c r="S568" s="33"/>
      <c r="U568" s="33"/>
      <c r="W568" s="33"/>
      <c r="X568" s="34"/>
      <c r="Y568" s="33"/>
      <c r="Z568" s="34"/>
      <c r="AA568" s="33"/>
      <c r="AB568" s="33"/>
      <c r="AC568" s="33"/>
      <c r="AD568" s="35"/>
      <c r="AE568" s="33"/>
    </row>
    <row r="569" ht="15.75" customHeight="1">
      <c r="A569" s="33"/>
      <c r="H569" s="33"/>
      <c r="L569" s="33"/>
      <c r="N569" s="33"/>
      <c r="O569" s="33"/>
      <c r="P569" s="33"/>
      <c r="Q569" s="33"/>
      <c r="S569" s="33"/>
      <c r="U569" s="33"/>
      <c r="W569" s="33"/>
      <c r="X569" s="34"/>
      <c r="Y569" s="33"/>
      <c r="Z569" s="34"/>
      <c r="AA569" s="33"/>
      <c r="AB569" s="33"/>
      <c r="AC569" s="33"/>
      <c r="AD569" s="35"/>
      <c r="AE569" s="33"/>
    </row>
    <row r="570" ht="15.75" customHeight="1">
      <c r="A570" s="33"/>
      <c r="H570" s="33"/>
      <c r="L570" s="33"/>
      <c r="N570" s="33"/>
      <c r="O570" s="33"/>
      <c r="P570" s="33"/>
      <c r="Q570" s="33"/>
      <c r="S570" s="33"/>
      <c r="U570" s="33"/>
      <c r="W570" s="33"/>
      <c r="X570" s="34"/>
      <c r="Y570" s="33"/>
      <c r="Z570" s="34"/>
      <c r="AA570" s="33"/>
      <c r="AB570" s="33"/>
      <c r="AC570" s="33"/>
      <c r="AD570" s="35"/>
      <c r="AE570" s="33"/>
    </row>
    <row r="571" ht="15.75" customHeight="1">
      <c r="A571" s="33"/>
      <c r="H571" s="33"/>
      <c r="L571" s="33"/>
      <c r="N571" s="33"/>
      <c r="O571" s="33"/>
      <c r="P571" s="33"/>
      <c r="Q571" s="33"/>
      <c r="S571" s="33"/>
      <c r="U571" s="33"/>
      <c r="W571" s="33"/>
      <c r="X571" s="34"/>
      <c r="Y571" s="33"/>
      <c r="Z571" s="34"/>
      <c r="AA571" s="33"/>
      <c r="AB571" s="33"/>
      <c r="AC571" s="33"/>
      <c r="AD571" s="35"/>
      <c r="AE571" s="33"/>
    </row>
    <row r="572" ht="15.75" customHeight="1">
      <c r="A572" s="33"/>
      <c r="H572" s="33"/>
      <c r="L572" s="33"/>
      <c r="N572" s="33"/>
      <c r="O572" s="33"/>
      <c r="P572" s="33"/>
      <c r="Q572" s="33"/>
      <c r="S572" s="33"/>
      <c r="U572" s="33"/>
      <c r="W572" s="33"/>
      <c r="X572" s="34"/>
      <c r="Y572" s="33"/>
      <c r="Z572" s="34"/>
      <c r="AA572" s="33"/>
      <c r="AB572" s="33"/>
      <c r="AC572" s="33"/>
      <c r="AD572" s="35"/>
      <c r="AE572" s="33"/>
    </row>
    <row r="573" ht="15.75" customHeight="1">
      <c r="A573" s="33"/>
      <c r="H573" s="33"/>
      <c r="L573" s="33"/>
      <c r="N573" s="33"/>
      <c r="O573" s="33"/>
      <c r="P573" s="33"/>
      <c r="Q573" s="33"/>
      <c r="S573" s="33"/>
      <c r="U573" s="33"/>
      <c r="W573" s="33"/>
      <c r="X573" s="34"/>
      <c r="Y573" s="33"/>
      <c r="Z573" s="34"/>
      <c r="AA573" s="33"/>
      <c r="AB573" s="33"/>
      <c r="AC573" s="33"/>
      <c r="AD573" s="35"/>
      <c r="AE573" s="33"/>
    </row>
    <row r="574" ht="15.75" customHeight="1">
      <c r="A574" s="33"/>
      <c r="H574" s="33"/>
      <c r="L574" s="33"/>
      <c r="N574" s="33"/>
      <c r="O574" s="33"/>
      <c r="P574" s="33"/>
      <c r="Q574" s="33"/>
      <c r="S574" s="33"/>
      <c r="U574" s="33"/>
      <c r="W574" s="33"/>
      <c r="X574" s="34"/>
      <c r="Y574" s="33"/>
      <c r="Z574" s="34"/>
      <c r="AA574" s="33"/>
      <c r="AB574" s="33"/>
      <c r="AC574" s="33"/>
      <c r="AD574" s="35"/>
      <c r="AE574" s="33"/>
    </row>
    <row r="575" ht="15.75" customHeight="1">
      <c r="A575" s="33"/>
      <c r="H575" s="33"/>
      <c r="L575" s="33"/>
      <c r="N575" s="33"/>
      <c r="O575" s="33"/>
      <c r="P575" s="33"/>
      <c r="Q575" s="33"/>
      <c r="S575" s="33"/>
      <c r="U575" s="33"/>
      <c r="W575" s="33"/>
      <c r="X575" s="34"/>
      <c r="Y575" s="33"/>
      <c r="Z575" s="34"/>
      <c r="AA575" s="33"/>
      <c r="AB575" s="33"/>
      <c r="AC575" s="33"/>
      <c r="AD575" s="35"/>
      <c r="AE575" s="33"/>
    </row>
    <row r="576" ht="15.75" customHeight="1">
      <c r="A576" s="33"/>
      <c r="H576" s="33"/>
      <c r="L576" s="33"/>
      <c r="N576" s="33"/>
      <c r="O576" s="33"/>
      <c r="P576" s="33"/>
      <c r="Q576" s="33"/>
      <c r="S576" s="33"/>
      <c r="U576" s="33"/>
      <c r="W576" s="33"/>
      <c r="X576" s="34"/>
      <c r="Y576" s="33"/>
      <c r="Z576" s="34"/>
      <c r="AA576" s="33"/>
      <c r="AB576" s="33"/>
      <c r="AC576" s="33"/>
      <c r="AD576" s="35"/>
      <c r="AE576" s="33"/>
    </row>
    <row r="577" ht="15.75" customHeight="1">
      <c r="A577" s="33"/>
      <c r="H577" s="33"/>
      <c r="L577" s="33"/>
      <c r="N577" s="33"/>
      <c r="O577" s="33"/>
      <c r="P577" s="33"/>
      <c r="Q577" s="33"/>
      <c r="S577" s="33"/>
      <c r="U577" s="33"/>
      <c r="W577" s="33"/>
      <c r="X577" s="34"/>
      <c r="Y577" s="33"/>
      <c r="Z577" s="34"/>
      <c r="AA577" s="33"/>
      <c r="AB577" s="33"/>
      <c r="AC577" s="33"/>
      <c r="AD577" s="35"/>
      <c r="AE577" s="33"/>
    </row>
    <row r="578" ht="15.75" customHeight="1">
      <c r="A578" s="33"/>
      <c r="H578" s="33"/>
      <c r="L578" s="33"/>
      <c r="N578" s="33"/>
      <c r="O578" s="33"/>
      <c r="P578" s="33"/>
      <c r="Q578" s="33"/>
      <c r="S578" s="33"/>
      <c r="U578" s="33"/>
      <c r="W578" s="33"/>
      <c r="X578" s="34"/>
      <c r="Y578" s="33"/>
      <c r="Z578" s="34"/>
      <c r="AA578" s="33"/>
      <c r="AB578" s="33"/>
      <c r="AC578" s="33"/>
      <c r="AD578" s="35"/>
      <c r="AE578" s="33"/>
    </row>
    <row r="579" ht="15.75" customHeight="1">
      <c r="A579" s="33"/>
      <c r="H579" s="33"/>
      <c r="L579" s="33"/>
      <c r="N579" s="33"/>
      <c r="O579" s="33"/>
      <c r="P579" s="33"/>
      <c r="Q579" s="33"/>
      <c r="S579" s="33"/>
      <c r="U579" s="33"/>
      <c r="W579" s="33"/>
      <c r="X579" s="34"/>
      <c r="Y579" s="33"/>
      <c r="Z579" s="34"/>
      <c r="AA579" s="33"/>
      <c r="AB579" s="33"/>
      <c r="AC579" s="33"/>
      <c r="AD579" s="35"/>
      <c r="AE579" s="33"/>
    </row>
    <row r="580" ht="15.75" customHeight="1">
      <c r="A580" s="33"/>
      <c r="H580" s="33"/>
      <c r="L580" s="33"/>
      <c r="N580" s="33"/>
      <c r="O580" s="33"/>
      <c r="P580" s="33"/>
      <c r="Q580" s="33"/>
      <c r="S580" s="33"/>
      <c r="U580" s="33"/>
      <c r="W580" s="33"/>
      <c r="X580" s="34"/>
      <c r="Y580" s="33"/>
      <c r="Z580" s="34"/>
      <c r="AA580" s="33"/>
      <c r="AB580" s="33"/>
      <c r="AC580" s="33"/>
      <c r="AD580" s="35"/>
      <c r="AE580" s="33"/>
    </row>
    <row r="581" ht="15.75" customHeight="1">
      <c r="A581" s="33"/>
      <c r="H581" s="33"/>
      <c r="L581" s="33"/>
      <c r="N581" s="33"/>
      <c r="O581" s="33"/>
      <c r="P581" s="33"/>
      <c r="Q581" s="33"/>
      <c r="S581" s="33"/>
      <c r="U581" s="33"/>
      <c r="W581" s="33"/>
      <c r="X581" s="34"/>
      <c r="Y581" s="33"/>
      <c r="Z581" s="34"/>
      <c r="AA581" s="33"/>
      <c r="AB581" s="33"/>
      <c r="AC581" s="33"/>
      <c r="AD581" s="35"/>
      <c r="AE581" s="33"/>
    </row>
    <row r="582" ht="15.75" customHeight="1">
      <c r="A582" s="33"/>
      <c r="H582" s="33"/>
      <c r="L582" s="33"/>
      <c r="N582" s="33"/>
      <c r="O582" s="33"/>
      <c r="P582" s="33"/>
      <c r="Q582" s="33"/>
      <c r="S582" s="33"/>
      <c r="U582" s="33"/>
      <c r="W582" s="33"/>
      <c r="X582" s="34"/>
      <c r="Y582" s="33"/>
      <c r="Z582" s="34"/>
      <c r="AA582" s="33"/>
      <c r="AB582" s="33"/>
      <c r="AC582" s="33"/>
      <c r="AD582" s="35"/>
      <c r="AE582" s="33"/>
    </row>
    <row r="583" ht="15.75" customHeight="1">
      <c r="A583" s="33"/>
      <c r="H583" s="33"/>
      <c r="L583" s="33"/>
      <c r="N583" s="33"/>
      <c r="O583" s="33"/>
      <c r="P583" s="33"/>
      <c r="Q583" s="33"/>
      <c r="S583" s="33"/>
      <c r="U583" s="33"/>
      <c r="W583" s="33"/>
      <c r="X583" s="34"/>
      <c r="Y583" s="33"/>
      <c r="Z583" s="34"/>
      <c r="AA583" s="33"/>
      <c r="AB583" s="33"/>
      <c r="AC583" s="33"/>
      <c r="AD583" s="35"/>
      <c r="AE583" s="33"/>
    </row>
    <row r="584" ht="15.75" customHeight="1">
      <c r="A584" s="33"/>
      <c r="H584" s="33"/>
      <c r="L584" s="33"/>
      <c r="N584" s="33"/>
      <c r="O584" s="33"/>
      <c r="P584" s="33"/>
      <c r="Q584" s="33"/>
      <c r="S584" s="33"/>
      <c r="U584" s="33"/>
      <c r="W584" s="33"/>
      <c r="X584" s="34"/>
      <c r="Y584" s="33"/>
      <c r="Z584" s="34"/>
      <c r="AA584" s="33"/>
      <c r="AB584" s="33"/>
      <c r="AC584" s="33"/>
      <c r="AD584" s="35"/>
      <c r="AE584" s="33"/>
    </row>
    <row r="585" ht="15.75" customHeight="1">
      <c r="A585" s="33"/>
      <c r="H585" s="33"/>
      <c r="L585" s="33"/>
      <c r="N585" s="33"/>
      <c r="O585" s="33"/>
      <c r="P585" s="33"/>
      <c r="Q585" s="33"/>
      <c r="S585" s="33"/>
      <c r="U585" s="33"/>
      <c r="W585" s="33"/>
      <c r="X585" s="34"/>
      <c r="Y585" s="33"/>
      <c r="Z585" s="34"/>
      <c r="AA585" s="33"/>
      <c r="AB585" s="33"/>
      <c r="AC585" s="33"/>
      <c r="AD585" s="35"/>
      <c r="AE585" s="33"/>
    </row>
    <row r="586" ht="15.75" customHeight="1">
      <c r="A586" s="33"/>
      <c r="H586" s="33"/>
      <c r="L586" s="33"/>
      <c r="N586" s="33"/>
      <c r="O586" s="33"/>
      <c r="P586" s="33"/>
      <c r="Q586" s="33"/>
      <c r="S586" s="33"/>
      <c r="U586" s="33"/>
      <c r="W586" s="33"/>
      <c r="X586" s="34"/>
      <c r="Y586" s="33"/>
      <c r="Z586" s="34"/>
      <c r="AA586" s="33"/>
      <c r="AB586" s="33"/>
      <c r="AC586" s="33"/>
      <c r="AD586" s="35"/>
      <c r="AE586" s="33"/>
    </row>
    <row r="587" ht="15.75" customHeight="1">
      <c r="A587" s="33"/>
      <c r="H587" s="33"/>
      <c r="L587" s="33"/>
      <c r="N587" s="33"/>
      <c r="O587" s="33"/>
      <c r="P587" s="33"/>
      <c r="Q587" s="33"/>
      <c r="S587" s="33"/>
      <c r="U587" s="33"/>
      <c r="W587" s="33"/>
      <c r="X587" s="34"/>
      <c r="Y587" s="33"/>
      <c r="Z587" s="34"/>
      <c r="AA587" s="33"/>
      <c r="AB587" s="33"/>
      <c r="AC587" s="33"/>
      <c r="AD587" s="35"/>
      <c r="AE587" s="33"/>
    </row>
    <row r="588" ht="15.75" customHeight="1">
      <c r="A588" s="33"/>
      <c r="H588" s="33"/>
      <c r="L588" s="33"/>
      <c r="N588" s="33"/>
      <c r="O588" s="33"/>
      <c r="P588" s="33"/>
      <c r="Q588" s="33"/>
      <c r="S588" s="33"/>
      <c r="U588" s="33"/>
      <c r="W588" s="33"/>
      <c r="X588" s="34"/>
      <c r="Y588" s="33"/>
      <c r="Z588" s="34"/>
      <c r="AA588" s="33"/>
      <c r="AB588" s="33"/>
      <c r="AC588" s="33"/>
      <c r="AD588" s="35"/>
      <c r="AE588" s="33"/>
    </row>
    <row r="589" ht="15.75" customHeight="1">
      <c r="A589" s="33"/>
      <c r="H589" s="33"/>
      <c r="L589" s="33"/>
      <c r="N589" s="33"/>
      <c r="O589" s="33"/>
      <c r="P589" s="33"/>
      <c r="Q589" s="33"/>
      <c r="S589" s="33"/>
      <c r="U589" s="33"/>
      <c r="W589" s="33"/>
      <c r="X589" s="34"/>
      <c r="Y589" s="33"/>
      <c r="Z589" s="34"/>
      <c r="AA589" s="33"/>
      <c r="AB589" s="33"/>
      <c r="AC589" s="33"/>
      <c r="AD589" s="35"/>
      <c r="AE589" s="33"/>
    </row>
    <row r="590" ht="15.75" customHeight="1">
      <c r="A590" s="33"/>
      <c r="H590" s="33"/>
      <c r="L590" s="33"/>
      <c r="N590" s="33"/>
      <c r="O590" s="33"/>
      <c r="P590" s="33"/>
      <c r="Q590" s="33"/>
      <c r="S590" s="33"/>
      <c r="U590" s="33"/>
      <c r="W590" s="33"/>
      <c r="X590" s="34"/>
      <c r="Y590" s="33"/>
      <c r="Z590" s="34"/>
      <c r="AA590" s="33"/>
      <c r="AB590" s="33"/>
      <c r="AC590" s="33"/>
      <c r="AD590" s="35"/>
      <c r="AE590" s="33"/>
    </row>
    <row r="591" ht="15.75" customHeight="1">
      <c r="A591" s="33"/>
      <c r="H591" s="33"/>
      <c r="L591" s="33"/>
      <c r="N591" s="33"/>
      <c r="O591" s="33"/>
      <c r="P591" s="33"/>
      <c r="Q591" s="33"/>
      <c r="S591" s="33"/>
      <c r="U591" s="33"/>
      <c r="W591" s="33"/>
      <c r="X591" s="34"/>
      <c r="Y591" s="33"/>
      <c r="Z591" s="34"/>
      <c r="AA591" s="33"/>
      <c r="AB591" s="33"/>
      <c r="AC591" s="33"/>
      <c r="AD591" s="35"/>
      <c r="AE591" s="33"/>
    </row>
    <row r="592" ht="15.75" customHeight="1">
      <c r="A592" s="33"/>
      <c r="H592" s="33"/>
      <c r="L592" s="33"/>
      <c r="N592" s="33"/>
      <c r="O592" s="33"/>
      <c r="P592" s="33"/>
      <c r="Q592" s="33"/>
      <c r="S592" s="33"/>
      <c r="U592" s="33"/>
      <c r="W592" s="33"/>
      <c r="X592" s="34"/>
      <c r="Y592" s="33"/>
      <c r="Z592" s="34"/>
      <c r="AA592" s="33"/>
      <c r="AB592" s="33"/>
      <c r="AC592" s="33"/>
      <c r="AD592" s="35"/>
      <c r="AE592" s="33"/>
    </row>
    <row r="593" ht="15.75" customHeight="1">
      <c r="A593" s="33"/>
      <c r="H593" s="33"/>
      <c r="L593" s="33"/>
      <c r="N593" s="33"/>
      <c r="O593" s="33"/>
      <c r="P593" s="33"/>
      <c r="Q593" s="33"/>
      <c r="S593" s="33"/>
      <c r="U593" s="33"/>
      <c r="W593" s="33"/>
      <c r="X593" s="34"/>
      <c r="Y593" s="33"/>
      <c r="Z593" s="34"/>
      <c r="AA593" s="33"/>
      <c r="AB593" s="33"/>
      <c r="AC593" s="33"/>
      <c r="AD593" s="35"/>
      <c r="AE593" s="33"/>
    </row>
    <row r="594" ht="15.75" customHeight="1">
      <c r="A594" s="33"/>
      <c r="H594" s="33"/>
      <c r="L594" s="33"/>
      <c r="N594" s="33"/>
      <c r="O594" s="33"/>
      <c r="P594" s="33"/>
      <c r="Q594" s="33"/>
      <c r="S594" s="33"/>
      <c r="U594" s="33"/>
      <c r="W594" s="33"/>
      <c r="X594" s="34"/>
      <c r="Y594" s="33"/>
      <c r="Z594" s="34"/>
      <c r="AA594" s="33"/>
      <c r="AB594" s="33"/>
      <c r="AC594" s="33"/>
      <c r="AD594" s="35"/>
      <c r="AE594" s="33"/>
    </row>
    <row r="595" ht="15.75" customHeight="1">
      <c r="A595" s="33"/>
      <c r="H595" s="33"/>
      <c r="L595" s="33"/>
      <c r="N595" s="33"/>
      <c r="O595" s="33"/>
      <c r="P595" s="33"/>
      <c r="Q595" s="33"/>
      <c r="S595" s="33"/>
      <c r="U595" s="33"/>
      <c r="W595" s="33"/>
      <c r="X595" s="34"/>
      <c r="Y595" s="33"/>
      <c r="Z595" s="34"/>
      <c r="AA595" s="33"/>
      <c r="AB595" s="33"/>
      <c r="AC595" s="33"/>
      <c r="AD595" s="35"/>
      <c r="AE595" s="33"/>
    </row>
    <row r="596" ht="15.75" customHeight="1">
      <c r="A596" s="33"/>
      <c r="H596" s="33"/>
      <c r="L596" s="33"/>
      <c r="N596" s="33"/>
      <c r="O596" s="33"/>
      <c r="P596" s="33"/>
      <c r="Q596" s="33"/>
      <c r="S596" s="33"/>
      <c r="U596" s="33"/>
      <c r="W596" s="33"/>
      <c r="X596" s="34"/>
      <c r="Y596" s="33"/>
      <c r="Z596" s="34"/>
      <c r="AA596" s="33"/>
      <c r="AB596" s="33"/>
      <c r="AC596" s="33"/>
      <c r="AD596" s="35"/>
      <c r="AE596" s="33"/>
    </row>
    <row r="597" ht="15.75" customHeight="1">
      <c r="A597" s="33"/>
      <c r="H597" s="33"/>
      <c r="L597" s="33"/>
      <c r="N597" s="33"/>
      <c r="O597" s="33"/>
      <c r="P597" s="33"/>
      <c r="Q597" s="33"/>
      <c r="S597" s="33"/>
      <c r="U597" s="33"/>
      <c r="W597" s="33"/>
      <c r="X597" s="34"/>
      <c r="Y597" s="33"/>
      <c r="Z597" s="34"/>
      <c r="AA597" s="33"/>
      <c r="AB597" s="33"/>
      <c r="AC597" s="33"/>
      <c r="AD597" s="35"/>
      <c r="AE597" s="33"/>
    </row>
    <row r="598" ht="15.75" customHeight="1">
      <c r="A598" s="33"/>
      <c r="H598" s="33"/>
      <c r="L598" s="33"/>
      <c r="N598" s="33"/>
      <c r="O598" s="33"/>
      <c r="P598" s="33"/>
      <c r="Q598" s="33"/>
      <c r="S598" s="33"/>
      <c r="U598" s="33"/>
      <c r="W598" s="33"/>
      <c r="X598" s="34"/>
      <c r="Y598" s="33"/>
      <c r="Z598" s="34"/>
      <c r="AA598" s="33"/>
      <c r="AB598" s="33"/>
      <c r="AC598" s="33"/>
      <c r="AD598" s="35"/>
      <c r="AE598" s="33"/>
    </row>
    <row r="599" ht="15.75" customHeight="1">
      <c r="A599" s="33"/>
      <c r="H599" s="33"/>
      <c r="L599" s="33"/>
      <c r="N599" s="33"/>
      <c r="O599" s="33"/>
      <c r="P599" s="33"/>
      <c r="Q599" s="33"/>
      <c r="S599" s="33"/>
      <c r="U599" s="33"/>
      <c r="W599" s="33"/>
      <c r="X599" s="34"/>
      <c r="Y599" s="33"/>
      <c r="Z599" s="34"/>
      <c r="AA599" s="33"/>
      <c r="AB599" s="33"/>
      <c r="AC599" s="33"/>
      <c r="AD599" s="35"/>
      <c r="AE599" s="33"/>
    </row>
    <row r="600" ht="15.75" customHeight="1">
      <c r="A600" s="33"/>
      <c r="H600" s="33"/>
      <c r="L600" s="33"/>
      <c r="N600" s="33"/>
      <c r="O600" s="33"/>
      <c r="P600" s="33"/>
      <c r="Q600" s="33"/>
      <c r="S600" s="33"/>
      <c r="U600" s="33"/>
      <c r="W600" s="33"/>
      <c r="X600" s="34"/>
      <c r="Y600" s="33"/>
      <c r="Z600" s="34"/>
      <c r="AA600" s="33"/>
      <c r="AB600" s="33"/>
      <c r="AC600" s="33"/>
      <c r="AD600" s="35"/>
      <c r="AE600" s="33"/>
    </row>
    <row r="601" ht="15.75" customHeight="1">
      <c r="A601" s="33"/>
      <c r="H601" s="33"/>
      <c r="L601" s="33"/>
      <c r="N601" s="33"/>
      <c r="O601" s="33"/>
      <c r="P601" s="33"/>
      <c r="Q601" s="33"/>
      <c r="S601" s="33"/>
      <c r="U601" s="33"/>
      <c r="W601" s="33"/>
      <c r="X601" s="34"/>
      <c r="Y601" s="33"/>
      <c r="Z601" s="34"/>
      <c r="AA601" s="33"/>
      <c r="AB601" s="33"/>
      <c r="AC601" s="33"/>
      <c r="AD601" s="35"/>
      <c r="AE601" s="33"/>
    </row>
    <row r="602" ht="15.75" customHeight="1">
      <c r="A602" s="33"/>
      <c r="H602" s="33"/>
      <c r="L602" s="33"/>
      <c r="N602" s="33"/>
      <c r="O602" s="33"/>
      <c r="P602" s="33"/>
      <c r="Q602" s="33"/>
      <c r="S602" s="33"/>
      <c r="U602" s="33"/>
      <c r="W602" s="33"/>
      <c r="X602" s="34"/>
      <c r="Y602" s="33"/>
      <c r="Z602" s="34"/>
      <c r="AA602" s="33"/>
      <c r="AB602" s="33"/>
      <c r="AC602" s="33"/>
      <c r="AD602" s="35"/>
      <c r="AE602" s="33"/>
    </row>
    <row r="603" ht="15.75" customHeight="1">
      <c r="A603" s="33"/>
      <c r="H603" s="33"/>
      <c r="L603" s="33"/>
      <c r="N603" s="33"/>
      <c r="O603" s="33"/>
      <c r="P603" s="33"/>
      <c r="Q603" s="33"/>
      <c r="S603" s="33"/>
      <c r="U603" s="33"/>
      <c r="W603" s="33"/>
      <c r="X603" s="34"/>
      <c r="Y603" s="33"/>
      <c r="Z603" s="34"/>
      <c r="AA603" s="33"/>
      <c r="AB603" s="33"/>
      <c r="AC603" s="33"/>
      <c r="AD603" s="35"/>
      <c r="AE603" s="33"/>
    </row>
    <row r="604" ht="15.75" customHeight="1">
      <c r="A604" s="33"/>
      <c r="H604" s="33"/>
      <c r="L604" s="33"/>
      <c r="N604" s="33"/>
      <c r="O604" s="33"/>
      <c r="P604" s="33"/>
      <c r="Q604" s="33"/>
      <c r="S604" s="33"/>
      <c r="U604" s="33"/>
      <c r="W604" s="33"/>
      <c r="X604" s="34"/>
      <c r="Y604" s="33"/>
      <c r="Z604" s="34"/>
      <c r="AA604" s="33"/>
      <c r="AB604" s="33"/>
      <c r="AC604" s="33"/>
      <c r="AD604" s="35"/>
      <c r="AE604" s="33"/>
    </row>
    <row r="605" ht="15.75" customHeight="1">
      <c r="A605" s="33"/>
      <c r="H605" s="33"/>
      <c r="L605" s="33"/>
      <c r="N605" s="33"/>
      <c r="O605" s="33"/>
      <c r="P605" s="33"/>
      <c r="Q605" s="33"/>
      <c r="S605" s="33"/>
      <c r="U605" s="33"/>
      <c r="W605" s="33"/>
      <c r="X605" s="34"/>
      <c r="Y605" s="33"/>
      <c r="Z605" s="34"/>
      <c r="AA605" s="33"/>
      <c r="AB605" s="33"/>
      <c r="AC605" s="33"/>
      <c r="AD605" s="35"/>
      <c r="AE605" s="33"/>
    </row>
    <row r="606" ht="15.75" customHeight="1">
      <c r="A606" s="33"/>
      <c r="H606" s="33"/>
      <c r="L606" s="33"/>
      <c r="N606" s="33"/>
      <c r="O606" s="33"/>
      <c r="P606" s="33"/>
      <c r="Q606" s="33"/>
      <c r="S606" s="33"/>
      <c r="U606" s="33"/>
      <c r="W606" s="33"/>
      <c r="X606" s="34"/>
      <c r="Y606" s="33"/>
      <c r="Z606" s="34"/>
      <c r="AA606" s="33"/>
      <c r="AB606" s="33"/>
      <c r="AC606" s="33"/>
      <c r="AD606" s="35"/>
      <c r="AE606" s="33"/>
    </row>
    <row r="607" ht="15.75" customHeight="1">
      <c r="A607" s="33"/>
      <c r="H607" s="33"/>
      <c r="L607" s="33"/>
      <c r="N607" s="33"/>
      <c r="O607" s="33"/>
      <c r="P607" s="33"/>
      <c r="Q607" s="33"/>
      <c r="S607" s="33"/>
      <c r="U607" s="33"/>
      <c r="W607" s="33"/>
      <c r="X607" s="34"/>
      <c r="Y607" s="33"/>
      <c r="Z607" s="34"/>
      <c r="AA607" s="33"/>
      <c r="AB607" s="33"/>
      <c r="AC607" s="33"/>
      <c r="AD607" s="35"/>
      <c r="AE607" s="33"/>
    </row>
    <row r="608" ht="15.75" customHeight="1">
      <c r="A608" s="33"/>
      <c r="H608" s="33"/>
      <c r="L608" s="33"/>
      <c r="N608" s="33"/>
      <c r="O608" s="33"/>
      <c r="P608" s="33"/>
      <c r="Q608" s="33"/>
      <c r="S608" s="33"/>
      <c r="U608" s="33"/>
      <c r="W608" s="33"/>
      <c r="X608" s="34"/>
      <c r="Y608" s="33"/>
      <c r="Z608" s="34"/>
      <c r="AA608" s="33"/>
      <c r="AB608" s="33"/>
      <c r="AC608" s="33"/>
      <c r="AD608" s="35"/>
      <c r="AE608" s="33"/>
    </row>
    <row r="609" ht="15.75" customHeight="1">
      <c r="A609" s="33"/>
      <c r="H609" s="33"/>
      <c r="L609" s="33"/>
      <c r="N609" s="33"/>
      <c r="O609" s="33"/>
      <c r="P609" s="33"/>
      <c r="Q609" s="33"/>
      <c r="S609" s="33"/>
      <c r="U609" s="33"/>
      <c r="W609" s="33"/>
      <c r="X609" s="34"/>
      <c r="Y609" s="33"/>
      <c r="Z609" s="34"/>
      <c r="AA609" s="33"/>
      <c r="AB609" s="33"/>
      <c r="AC609" s="33"/>
      <c r="AD609" s="35"/>
      <c r="AE609" s="33"/>
    </row>
    <row r="610" ht="15.75" customHeight="1">
      <c r="A610" s="33"/>
      <c r="H610" s="33"/>
      <c r="L610" s="33"/>
      <c r="N610" s="33"/>
      <c r="O610" s="33"/>
      <c r="P610" s="33"/>
      <c r="Q610" s="33"/>
      <c r="S610" s="33"/>
      <c r="U610" s="33"/>
      <c r="W610" s="33"/>
      <c r="X610" s="34"/>
      <c r="Y610" s="33"/>
      <c r="Z610" s="34"/>
      <c r="AA610" s="33"/>
      <c r="AB610" s="33"/>
      <c r="AC610" s="33"/>
      <c r="AD610" s="35"/>
      <c r="AE610" s="33"/>
    </row>
    <row r="611" ht="15.75" customHeight="1">
      <c r="A611" s="33"/>
      <c r="H611" s="33"/>
      <c r="L611" s="33"/>
      <c r="N611" s="33"/>
      <c r="O611" s="33"/>
      <c r="P611" s="33"/>
      <c r="Q611" s="33"/>
      <c r="S611" s="33"/>
      <c r="U611" s="33"/>
      <c r="W611" s="33"/>
      <c r="X611" s="34"/>
      <c r="Y611" s="33"/>
      <c r="Z611" s="34"/>
      <c r="AA611" s="33"/>
      <c r="AB611" s="33"/>
      <c r="AC611" s="33"/>
      <c r="AD611" s="35"/>
      <c r="AE611" s="33"/>
    </row>
    <row r="612" ht="15.75" customHeight="1">
      <c r="A612" s="33"/>
      <c r="H612" s="33"/>
      <c r="L612" s="33"/>
      <c r="N612" s="33"/>
      <c r="O612" s="33"/>
      <c r="P612" s="33"/>
      <c r="Q612" s="33"/>
      <c r="S612" s="33"/>
      <c r="U612" s="33"/>
      <c r="W612" s="33"/>
      <c r="X612" s="34"/>
      <c r="Y612" s="33"/>
      <c r="Z612" s="34"/>
      <c r="AA612" s="33"/>
      <c r="AB612" s="33"/>
      <c r="AC612" s="33"/>
      <c r="AD612" s="35"/>
      <c r="AE612" s="33"/>
    </row>
    <row r="613" ht="15.75" customHeight="1">
      <c r="A613" s="33"/>
      <c r="H613" s="33"/>
      <c r="L613" s="33"/>
      <c r="N613" s="33"/>
      <c r="O613" s="33"/>
      <c r="P613" s="33"/>
      <c r="Q613" s="33"/>
      <c r="S613" s="33"/>
      <c r="U613" s="33"/>
      <c r="W613" s="33"/>
      <c r="X613" s="34"/>
      <c r="Y613" s="33"/>
      <c r="Z613" s="34"/>
      <c r="AA613" s="33"/>
      <c r="AB613" s="33"/>
      <c r="AC613" s="33"/>
      <c r="AD613" s="35"/>
      <c r="AE613" s="33"/>
    </row>
    <row r="614" ht="15.75" customHeight="1">
      <c r="A614" s="33"/>
      <c r="H614" s="33"/>
      <c r="L614" s="33"/>
      <c r="N614" s="33"/>
      <c r="O614" s="33"/>
      <c r="P614" s="33"/>
      <c r="Q614" s="33"/>
      <c r="S614" s="33"/>
      <c r="U614" s="33"/>
      <c r="W614" s="33"/>
      <c r="X614" s="34"/>
      <c r="Y614" s="33"/>
      <c r="Z614" s="34"/>
      <c r="AA614" s="33"/>
      <c r="AB614" s="33"/>
      <c r="AC614" s="33"/>
      <c r="AD614" s="35"/>
      <c r="AE614" s="33"/>
    </row>
    <row r="615" ht="15.75" customHeight="1">
      <c r="A615" s="33"/>
      <c r="H615" s="33"/>
      <c r="L615" s="33"/>
      <c r="N615" s="33"/>
      <c r="O615" s="33"/>
      <c r="P615" s="33"/>
      <c r="Q615" s="33"/>
      <c r="S615" s="33"/>
      <c r="U615" s="33"/>
      <c r="W615" s="33"/>
      <c r="X615" s="34"/>
      <c r="Y615" s="33"/>
      <c r="Z615" s="34"/>
      <c r="AA615" s="33"/>
      <c r="AB615" s="33"/>
      <c r="AC615" s="33"/>
      <c r="AD615" s="35"/>
      <c r="AE615" s="33"/>
    </row>
    <row r="616" ht="15.75" customHeight="1">
      <c r="A616" s="33"/>
      <c r="H616" s="33"/>
      <c r="L616" s="33"/>
      <c r="N616" s="33"/>
      <c r="O616" s="33"/>
      <c r="P616" s="33"/>
      <c r="Q616" s="33"/>
      <c r="S616" s="33"/>
      <c r="U616" s="33"/>
      <c r="W616" s="33"/>
      <c r="X616" s="34"/>
      <c r="Y616" s="33"/>
      <c r="Z616" s="34"/>
      <c r="AA616" s="33"/>
      <c r="AB616" s="33"/>
      <c r="AC616" s="33"/>
      <c r="AD616" s="35"/>
      <c r="AE616" s="33"/>
    </row>
    <row r="617" ht="15.75" customHeight="1">
      <c r="A617" s="33"/>
      <c r="H617" s="33"/>
      <c r="L617" s="33"/>
      <c r="N617" s="33"/>
      <c r="O617" s="33"/>
      <c r="P617" s="33"/>
      <c r="Q617" s="33"/>
      <c r="S617" s="33"/>
      <c r="U617" s="33"/>
      <c r="W617" s="33"/>
      <c r="X617" s="34"/>
      <c r="Y617" s="33"/>
      <c r="Z617" s="34"/>
      <c r="AA617" s="33"/>
      <c r="AB617" s="33"/>
      <c r="AC617" s="33"/>
      <c r="AD617" s="35"/>
      <c r="AE617" s="33"/>
    </row>
    <row r="618" ht="15.75" customHeight="1">
      <c r="A618" s="33"/>
      <c r="H618" s="33"/>
      <c r="L618" s="33"/>
      <c r="N618" s="33"/>
      <c r="O618" s="33"/>
      <c r="P618" s="33"/>
      <c r="Q618" s="33"/>
      <c r="S618" s="33"/>
      <c r="U618" s="33"/>
      <c r="W618" s="33"/>
      <c r="X618" s="34"/>
      <c r="Y618" s="33"/>
      <c r="Z618" s="34"/>
      <c r="AA618" s="33"/>
      <c r="AB618" s="33"/>
      <c r="AC618" s="33"/>
      <c r="AD618" s="35"/>
      <c r="AE618" s="33"/>
    </row>
    <row r="619" ht="15.75" customHeight="1">
      <c r="A619" s="33"/>
      <c r="H619" s="33"/>
      <c r="L619" s="33"/>
      <c r="N619" s="33"/>
      <c r="O619" s="33"/>
      <c r="P619" s="33"/>
      <c r="Q619" s="33"/>
      <c r="S619" s="33"/>
      <c r="U619" s="33"/>
      <c r="W619" s="33"/>
      <c r="X619" s="34"/>
      <c r="Y619" s="33"/>
      <c r="Z619" s="34"/>
      <c r="AA619" s="33"/>
      <c r="AB619" s="33"/>
      <c r="AC619" s="33"/>
      <c r="AD619" s="35"/>
      <c r="AE619" s="33"/>
    </row>
    <row r="620" ht="15.75" customHeight="1">
      <c r="A620" s="33"/>
      <c r="H620" s="33"/>
      <c r="L620" s="33"/>
      <c r="N620" s="33"/>
      <c r="O620" s="33"/>
      <c r="P620" s="33"/>
      <c r="Q620" s="33"/>
      <c r="S620" s="33"/>
      <c r="U620" s="33"/>
      <c r="W620" s="33"/>
      <c r="X620" s="34"/>
      <c r="Y620" s="33"/>
      <c r="Z620" s="34"/>
      <c r="AA620" s="33"/>
      <c r="AB620" s="33"/>
      <c r="AC620" s="33"/>
      <c r="AD620" s="35"/>
      <c r="AE620" s="33"/>
    </row>
    <row r="621" ht="15.75" customHeight="1">
      <c r="A621" s="33"/>
      <c r="H621" s="33"/>
      <c r="L621" s="33"/>
      <c r="N621" s="33"/>
      <c r="O621" s="33"/>
      <c r="P621" s="33"/>
      <c r="Q621" s="33"/>
      <c r="S621" s="33"/>
      <c r="U621" s="33"/>
      <c r="W621" s="33"/>
      <c r="X621" s="34"/>
      <c r="Y621" s="33"/>
      <c r="Z621" s="34"/>
      <c r="AA621" s="33"/>
      <c r="AB621" s="33"/>
      <c r="AC621" s="33"/>
      <c r="AD621" s="35"/>
      <c r="AE621" s="33"/>
    </row>
    <row r="622" ht="15.75" customHeight="1">
      <c r="A622" s="33"/>
      <c r="H622" s="33"/>
      <c r="L622" s="33"/>
      <c r="N622" s="33"/>
      <c r="O622" s="33"/>
      <c r="P622" s="33"/>
      <c r="Q622" s="33"/>
      <c r="S622" s="33"/>
      <c r="U622" s="33"/>
      <c r="W622" s="33"/>
      <c r="X622" s="34"/>
      <c r="Y622" s="33"/>
      <c r="Z622" s="34"/>
      <c r="AA622" s="33"/>
      <c r="AB622" s="33"/>
      <c r="AC622" s="33"/>
      <c r="AD622" s="35"/>
      <c r="AE622" s="33"/>
    </row>
    <row r="623" ht="15.75" customHeight="1">
      <c r="A623" s="33"/>
      <c r="H623" s="33"/>
      <c r="L623" s="33"/>
      <c r="N623" s="33"/>
      <c r="O623" s="33"/>
      <c r="P623" s="33"/>
      <c r="Q623" s="33"/>
      <c r="S623" s="33"/>
      <c r="U623" s="33"/>
      <c r="W623" s="33"/>
      <c r="X623" s="34"/>
      <c r="Y623" s="33"/>
      <c r="Z623" s="34"/>
      <c r="AA623" s="33"/>
      <c r="AB623" s="33"/>
      <c r="AC623" s="33"/>
      <c r="AD623" s="35"/>
      <c r="AE623" s="33"/>
    </row>
    <row r="624" ht="15.75" customHeight="1">
      <c r="A624" s="33"/>
      <c r="H624" s="33"/>
      <c r="L624" s="33"/>
      <c r="N624" s="33"/>
      <c r="O624" s="33"/>
      <c r="P624" s="33"/>
      <c r="Q624" s="33"/>
      <c r="S624" s="33"/>
      <c r="U624" s="33"/>
      <c r="W624" s="33"/>
      <c r="X624" s="34"/>
      <c r="Y624" s="33"/>
      <c r="Z624" s="34"/>
      <c r="AA624" s="33"/>
      <c r="AB624" s="33"/>
      <c r="AC624" s="33"/>
      <c r="AD624" s="35"/>
      <c r="AE624" s="33"/>
    </row>
    <row r="625" ht="15.75" customHeight="1">
      <c r="A625" s="33"/>
      <c r="H625" s="33"/>
      <c r="L625" s="33"/>
      <c r="N625" s="33"/>
      <c r="O625" s="33"/>
      <c r="P625" s="33"/>
      <c r="Q625" s="33"/>
      <c r="S625" s="33"/>
      <c r="U625" s="33"/>
      <c r="W625" s="33"/>
      <c r="X625" s="34"/>
      <c r="Y625" s="33"/>
      <c r="Z625" s="34"/>
      <c r="AA625" s="33"/>
      <c r="AB625" s="33"/>
      <c r="AC625" s="33"/>
      <c r="AD625" s="35"/>
      <c r="AE625" s="33"/>
    </row>
    <row r="626" ht="15.75" customHeight="1">
      <c r="A626" s="33"/>
      <c r="H626" s="33"/>
      <c r="L626" s="33"/>
      <c r="N626" s="33"/>
      <c r="O626" s="33"/>
      <c r="P626" s="33"/>
      <c r="Q626" s="33"/>
      <c r="S626" s="33"/>
      <c r="U626" s="33"/>
      <c r="W626" s="33"/>
      <c r="X626" s="34"/>
      <c r="Y626" s="33"/>
      <c r="Z626" s="34"/>
      <c r="AA626" s="33"/>
      <c r="AB626" s="33"/>
      <c r="AC626" s="33"/>
      <c r="AD626" s="35"/>
      <c r="AE626" s="33"/>
    </row>
    <row r="627" ht="15.75" customHeight="1">
      <c r="A627" s="33"/>
      <c r="H627" s="33"/>
      <c r="L627" s="33"/>
      <c r="N627" s="33"/>
      <c r="O627" s="33"/>
      <c r="P627" s="33"/>
      <c r="Q627" s="33"/>
      <c r="S627" s="33"/>
      <c r="U627" s="33"/>
      <c r="W627" s="33"/>
      <c r="X627" s="34"/>
      <c r="Y627" s="33"/>
      <c r="Z627" s="34"/>
      <c r="AA627" s="33"/>
      <c r="AB627" s="33"/>
      <c r="AC627" s="33"/>
      <c r="AD627" s="35"/>
      <c r="AE627" s="33"/>
    </row>
    <row r="628" ht="15.75" customHeight="1">
      <c r="A628" s="33"/>
      <c r="H628" s="33"/>
      <c r="L628" s="33"/>
      <c r="N628" s="33"/>
      <c r="O628" s="33"/>
      <c r="P628" s="33"/>
      <c r="Q628" s="33"/>
      <c r="S628" s="33"/>
      <c r="U628" s="33"/>
      <c r="W628" s="33"/>
      <c r="X628" s="34"/>
      <c r="Y628" s="33"/>
      <c r="Z628" s="34"/>
      <c r="AA628" s="33"/>
      <c r="AB628" s="33"/>
      <c r="AC628" s="33"/>
      <c r="AD628" s="35"/>
      <c r="AE628" s="33"/>
    </row>
    <row r="629" ht="15.75" customHeight="1">
      <c r="A629" s="33"/>
      <c r="H629" s="33"/>
      <c r="L629" s="33"/>
      <c r="N629" s="33"/>
      <c r="O629" s="33"/>
      <c r="P629" s="33"/>
      <c r="Q629" s="33"/>
      <c r="S629" s="33"/>
      <c r="U629" s="33"/>
      <c r="W629" s="33"/>
      <c r="X629" s="34"/>
      <c r="Y629" s="33"/>
      <c r="Z629" s="34"/>
      <c r="AA629" s="33"/>
      <c r="AB629" s="33"/>
      <c r="AC629" s="33"/>
      <c r="AD629" s="35"/>
      <c r="AE629" s="33"/>
    </row>
    <row r="630" ht="15.75" customHeight="1">
      <c r="A630" s="33"/>
      <c r="H630" s="33"/>
      <c r="L630" s="33"/>
      <c r="N630" s="33"/>
      <c r="O630" s="33"/>
      <c r="P630" s="33"/>
      <c r="Q630" s="33"/>
      <c r="S630" s="33"/>
      <c r="U630" s="33"/>
      <c r="W630" s="33"/>
      <c r="X630" s="34"/>
      <c r="Y630" s="33"/>
      <c r="Z630" s="34"/>
      <c r="AA630" s="33"/>
      <c r="AB630" s="33"/>
      <c r="AC630" s="33"/>
      <c r="AD630" s="35"/>
      <c r="AE630" s="33"/>
    </row>
    <row r="631" ht="15.75" customHeight="1">
      <c r="A631" s="33"/>
      <c r="H631" s="33"/>
      <c r="L631" s="33"/>
      <c r="N631" s="33"/>
      <c r="O631" s="33"/>
      <c r="P631" s="33"/>
      <c r="Q631" s="33"/>
      <c r="S631" s="33"/>
      <c r="U631" s="33"/>
      <c r="W631" s="33"/>
      <c r="X631" s="34"/>
      <c r="Y631" s="33"/>
      <c r="Z631" s="34"/>
      <c r="AA631" s="33"/>
      <c r="AB631" s="33"/>
      <c r="AC631" s="33"/>
      <c r="AD631" s="35"/>
      <c r="AE631" s="33"/>
    </row>
    <row r="632" ht="15.75" customHeight="1">
      <c r="A632" s="33"/>
      <c r="H632" s="33"/>
      <c r="L632" s="33"/>
      <c r="N632" s="33"/>
      <c r="O632" s="33"/>
      <c r="P632" s="33"/>
      <c r="Q632" s="33"/>
      <c r="S632" s="33"/>
      <c r="U632" s="33"/>
      <c r="W632" s="33"/>
      <c r="X632" s="34"/>
      <c r="Y632" s="33"/>
      <c r="Z632" s="34"/>
      <c r="AA632" s="33"/>
      <c r="AB632" s="33"/>
      <c r="AC632" s="33"/>
      <c r="AD632" s="35"/>
      <c r="AE632" s="33"/>
    </row>
    <row r="633" ht="15.75" customHeight="1">
      <c r="A633" s="33"/>
      <c r="H633" s="33"/>
      <c r="L633" s="33"/>
      <c r="N633" s="33"/>
      <c r="O633" s="33"/>
      <c r="P633" s="33"/>
      <c r="Q633" s="33"/>
      <c r="S633" s="33"/>
      <c r="U633" s="33"/>
      <c r="W633" s="33"/>
      <c r="X633" s="34"/>
      <c r="Y633" s="33"/>
      <c r="Z633" s="34"/>
      <c r="AA633" s="33"/>
      <c r="AB633" s="33"/>
      <c r="AC633" s="33"/>
      <c r="AD633" s="35"/>
      <c r="AE633" s="33"/>
    </row>
    <row r="634" ht="15.75" customHeight="1">
      <c r="A634" s="33"/>
      <c r="H634" s="33"/>
      <c r="L634" s="33"/>
      <c r="N634" s="33"/>
      <c r="O634" s="33"/>
      <c r="P634" s="33"/>
      <c r="Q634" s="33"/>
      <c r="S634" s="33"/>
      <c r="U634" s="33"/>
      <c r="W634" s="33"/>
      <c r="X634" s="34"/>
      <c r="Y634" s="33"/>
      <c r="Z634" s="34"/>
      <c r="AA634" s="33"/>
      <c r="AB634" s="33"/>
      <c r="AC634" s="33"/>
      <c r="AD634" s="35"/>
      <c r="AE634" s="33"/>
    </row>
    <row r="635" ht="15.75" customHeight="1">
      <c r="A635" s="33"/>
      <c r="H635" s="33"/>
      <c r="L635" s="33"/>
      <c r="N635" s="33"/>
      <c r="O635" s="33"/>
      <c r="P635" s="33"/>
      <c r="Q635" s="33"/>
      <c r="S635" s="33"/>
      <c r="U635" s="33"/>
      <c r="W635" s="33"/>
      <c r="X635" s="34"/>
      <c r="Y635" s="33"/>
      <c r="Z635" s="34"/>
      <c r="AA635" s="33"/>
      <c r="AB635" s="33"/>
      <c r="AC635" s="33"/>
      <c r="AD635" s="35"/>
      <c r="AE635" s="33"/>
    </row>
    <row r="636" ht="15.75" customHeight="1">
      <c r="A636" s="33"/>
      <c r="H636" s="33"/>
      <c r="L636" s="33"/>
      <c r="N636" s="33"/>
      <c r="O636" s="33"/>
      <c r="P636" s="33"/>
      <c r="Q636" s="33"/>
      <c r="S636" s="33"/>
      <c r="U636" s="33"/>
      <c r="W636" s="33"/>
      <c r="X636" s="34"/>
      <c r="Y636" s="33"/>
      <c r="Z636" s="34"/>
      <c r="AA636" s="33"/>
      <c r="AB636" s="33"/>
      <c r="AC636" s="33"/>
      <c r="AD636" s="35"/>
      <c r="AE636" s="33"/>
    </row>
    <row r="637" ht="15.75" customHeight="1">
      <c r="A637" s="33"/>
      <c r="H637" s="33"/>
      <c r="L637" s="33"/>
      <c r="N637" s="33"/>
      <c r="O637" s="33"/>
      <c r="P637" s="33"/>
      <c r="Q637" s="33"/>
      <c r="S637" s="33"/>
      <c r="U637" s="33"/>
      <c r="W637" s="33"/>
      <c r="X637" s="34"/>
      <c r="Y637" s="33"/>
      <c r="Z637" s="34"/>
      <c r="AA637" s="33"/>
      <c r="AB637" s="33"/>
      <c r="AC637" s="33"/>
      <c r="AD637" s="35"/>
      <c r="AE637" s="33"/>
    </row>
    <row r="638" ht="15.75" customHeight="1">
      <c r="A638" s="33"/>
      <c r="H638" s="33"/>
      <c r="L638" s="33"/>
      <c r="N638" s="33"/>
      <c r="O638" s="33"/>
      <c r="P638" s="33"/>
      <c r="Q638" s="33"/>
      <c r="S638" s="33"/>
      <c r="U638" s="33"/>
      <c r="W638" s="33"/>
      <c r="X638" s="34"/>
      <c r="Y638" s="33"/>
      <c r="Z638" s="34"/>
      <c r="AA638" s="33"/>
      <c r="AB638" s="33"/>
      <c r="AC638" s="33"/>
      <c r="AD638" s="35"/>
      <c r="AE638" s="33"/>
    </row>
    <row r="639" ht="15.75" customHeight="1">
      <c r="A639" s="33"/>
      <c r="H639" s="33"/>
      <c r="L639" s="33"/>
      <c r="N639" s="33"/>
      <c r="O639" s="33"/>
      <c r="P639" s="33"/>
      <c r="Q639" s="33"/>
      <c r="S639" s="33"/>
      <c r="U639" s="33"/>
      <c r="W639" s="33"/>
      <c r="X639" s="34"/>
      <c r="Y639" s="33"/>
      <c r="Z639" s="34"/>
      <c r="AA639" s="33"/>
      <c r="AB639" s="33"/>
      <c r="AC639" s="33"/>
      <c r="AD639" s="35"/>
      <c r="AE639" s="33"/>
    </row>
    <row r="640" ht="15.75" customHeight="1">
      <c r="A640" s="33"/>
      <c r="H640" s="33"/>
      <c r="L640" s="33"/>
      <c r="N640" s="33"/>
      <c r="O640" s="33"/>
      <c r="P640" s="33"/>
      <c r="Q640" s="33"/>
      <c r="S640" s="33"/>
      <c r="U640" s="33"/>
      <c r="W640" s="33"/>
      <c r="X640" s="34"/>
      <c r="Y640" s="33"/>
      <c r="Z640" s="34"/>
      <c r="AA640" s="33"/>
      <c r="AB640" s="33"/>
      <c r="AC640" s="33"/>
      <c r="AD640" s="35"/>
      <c r="AE640" s="33"/>
    </row>
    <row r="641" ht="15.75" customHeight="1">
      <c r="A641" s="33"/>
      <c r="H641" s="33"/>
      <c r="L641" s="33"/>
      <c r="N641" s="33"/>
      <c r="O641" s="33"/>
      <c r="P641" s="33"/>
      <c r="Q641" s="33"/>
      <c r="S641" s="33"/>
      <c r="U641" s="33"/>
      <c r="W641" s="33"/>
      <c r="X641" s="34"/>
      <c r="Y641" s="33"/>
      <c r="Z641" s="34"/>
      <c r="AA641" s="33"/>
      <c r="AB641" s="33"/>
      <c r="AC641" s="33"/>
      <c r="AD641" s="35"/>
      <c r="AE641" s="33"/>
    </row>
    <row r="642" ht="15.75" customHeight="1">
      <c r="A642" s="33"/>
      <c r="H642" s="33"/>
      <c r="L642" s="33"/>
      <c r="N642" s="33"/>
      <c r="O642" s="33"/>
      <c r="P642" s="33"/>
      <c r="Q642" s="33"/>
      <c r="S642" s="33"/>
      <c r="U642" s="33"/>
      <c r="W642" s="33"/>
      <c r="X642" s="34"/>
      <c r="Y642" s="33"/>
      <c r="Z642" s="34"/>
      <c r="AA642" s="33"/>
      <c r="AB642" s="33"/>
      <c r="AC642" s="33"/>
      <c r="AD642" s="35"/>
      <c r="AE642" s="33"/>
    </row>
    <row r="643" ht="15.75" customHeight="1">
      <c r="A643" s="33"/>
      <c r="H643" s="33"/>
      <c r="L643" s="33"/>
      <c r="N643" s="33"/>
      <c r="O643" s="33"/>
      <c r="P643" s="33"/>
      <c r="Q643" s="33"/>
      <c r="S643" s="33"/>
      <c r="U643" s="33"/>
      <c r="W643" s="33"/>
      <c r="X643" s="34"/>
      <c r="Y643" s="33"/>
      <c r="Z643" s="34"/>
      <c r="AA643" s="33"/>
      <c r="AB643" s="33"/>
      <c r="AC643" s="33"/>
      <c r="AD643" s="35"/>
      <c r="AE643" s="33"/>
    </row>
    <row r="644" ht="15.75" customHeight="1">
      <c r="A644" s="33"/>
      <c r="H644" s="33"/>
      <c r="L644" s="33"/>
      <c r="N644" s="33"/>
      <c r="O644" s="33"/>
      <c r="P644" s="33"/>
      <c r="Q644" s="33"/>
      <c r="S644" s="33"/>
      <c r="U644" s="33"/>
      <c r="W644" s="33"/>
      <c r="X644" s="34"/>
      <c r="Y644" s="33"/>
      <c r="Z644" s="34"/>
      <c r="AA644" s="33"/>
      <c r="AB644" s="33"/>
      <c r="AC644" s="33"/>
      <c r="AD644" s="35"/>
      <c r="AE644" s="33"/>
    </row>
    <row r="645" ht="15.75" customHeight="1">
      <c r="A645" s="33"/>
      <c r="H645" s="33"/>
      <c r="L645" s="33"/>
      <c r="N645" s="33"/>
      <c r="O645" s="33"/>
      <c r="P645" s="33"/>
      <c r="Q645" s="33"/>
      <c r="S645" s="33"/>
      <c r="U645" s="33"/>
      <c r="W645" s="33"/>
      <c r="X645" s="34"/>
      <c r="Y645" s="33"/>
      <c r="Z645" s="34"/>
      <c r="AA645" s="33"/>
      <c r="AB645" s="33"/>
      <c r="AC645" s="33"/>
      <c r="AD645" s="35"/>
      <c r="AE645" s="33"/>
    </row>
    <row r="646" ht="15.75" customHeight="1">
      <c r="A646" s="33"/>
      <c r="H646" s="33"/>
      <c r="L646" s="33"/>
      <c r="N646" s="33"/>
      <c r="O646" s="33"/>
      <c r="P646" s="33"/>
      <c r="Q646" s="33"/>
      <c r="S646" s="33"/>
      <c r="U646" s="33"/>
      <c r="W646" s="33"/>
      <c r="X646" s="34"/>
      <c r="Y646" s="33"/>
      <c r="Z646" s="34"/>
      <c r="AA646" s="33"/>
      <c r="AB646" s="33"/>
      <c r="AC646" s="33"/>
      <c r="AD646" s="35"/>
      <c r="AE646" s="33"/>
    </row>
    <row r="647" ht="15.75" customHeight="1">
      <c r="A647" s="33"/>
      <c r="H647" s="33"/>
      <c r="L647" s="33"/>
      <c r="N647" s="33"/>
      <c r="O647" s="33"/>
      <c r="P647" s="33"/>
      <c r="Q647" s="33"/>
      <c r="S647" s="33"/>
      <c r="U647" s="33"/>
      <c r="W647" s="33"/>
      <c r="X647" s="34"/>
      <c r="Y647" s="33"/>
      <c r="Z647" s="34"/>
      <c r="AA647" s="33"/>
      <c r="AB647" s="33"/>
      <c r="AC647" s="33"/>
      <c r="AD647" s="35"/>
      <c r="AE647" s="33"/>
    </row>
    <row r="648" ht="15.75" customHeight="1">
      <c r="A648" s="33"/>
      <c r="H648" s="33"/>
      <c r="L648" s="33"/>
      <c r="N648" s="33"/>
      <c r="O648" s="33"/>
      <c r="P648" s="33"/>
      <c r="Q648" s="33"/>
      <c r="S648" s="33"/>
      <c r="U648" s="33"/>
      <c r="W648" s="33"/>
      <c r="X648" s="34"/>
      <c r="Y648" s="33"/>
      <c r="Z648" s="34"/>
      <c r="AA648" s="33"/>
      <c r="AB648" s="33"/>
      <c r="AC648" s="33"/>
      <c r="AD648" s="35"/>
      <c r="AE648" s="33"/>
    </row>
    <row r="649" ht="15.75" customHeight="1">
      <c r="A649" s="33"/>
      <c r="H649" s="33"/>
      <c r="L649" s="33"/>
      <c r="N649" s="33"/>
      <c r="O649" s="33"/>
      <c r="P649" s="33"/>
      <c r="Q649" s="33"/>
      <c r="S649" s="33"/>
      <c r="U649" s="33"/>
      <c r="W649" s="33"/>
      <c r="X649" s="34"/>
      <c r="Y649" s="33"/>
      <c r="Z649" s="34"/>
      <c r="AA649" s="33"/>
      <c r="AB649" s="33"/>
      <c r="AC649" s="33"/>
      <c r="AD649" s="35"/>
      <c r="AE649" s="33"/>
    </row>
    <row r="650" ht="15.75" customHeight="1">
      <c r="A650" s="33"/>
      <c r="H650" s="33"/>
      <c r="L650" s="33"/>
      <c r="N650" s="33"/>
      <c r="O650" s="33"/>
      <c r="P650" s="33"/>
      <c r="Q650" s="33"/>
      <c r="S650" s="33"/>
      <c r="U650" s="33"/>
      <c r="W650" s="33"/>
      <c r="X650" s="34"/>
      <c r="Y650" s="33"/>
      <c r="Z650" s="34"/>
      <c r="AA650" s="33"/>
      <c r="AB650" s="33"/>
      <c r="AC650" s="33"/>
      <c r="AD650" s="35"/>
      <c r="AE650" s="33"/>
    </row>
    <row r="651" ht="15.75" customHeight="1">
      <c r="A651" s="33"/>
      <c r="H651" s="33"/>
      <c r="L651" s="33"/>
      <c r="N651" s="33"/>
      <c r="O651" s="33"/>
      <c r="P651" s="33"/>
      <c r="Q651" s="33"/>
      <c r="S651" s="33"/>
      <c r="U651" s="33"/>
      <c r="W651" s="33"/>
      <c r="X651" s="34"/>
      <c r="Y651" s="33"/>
      <c r="Z651" s="34"/>
      <c r="AA651" s="33"/>
      <c r="AB651" s="33"/>
      <c r="AC651" s="33"/>
      <c r="AD651" s="35"/>
      <c r="AE651" s="33"/>
    </row>
    <row r="652" ht="15.75" customHeight="1">
      <c r="A652" s="33"/>
      <c r="H652" s="33"/>
      <c r="L652" s="33"/>
      <c r="N652" s="33"/>
      <c r="O652" s="33"/>
      <c r="P652" s="33"/>
      <c r="Q652" s="33"/>
      <c r="S652" s="33"/>
      <c r="U652" s="33"/>
      <c r="W652" s="33"/>
      <c r="X652" s="34"/>
      <c r="Y652" s="33"/>
      <c r="Z652" s="34"/>
      <c r="AA652" s="33"/>
      <c r="AB652" s="33"/>
      <c r="AC652" s="33"/>
      <c r="AD652" s="35"/>
      <c r="AE652" s="33"/>
    </row>
    <row r="653" ht="15.75" customHeight="1">
      <c r="A653" s="33"/>
      <c r="H653" s="33"/>
      <c r="L653" s="33"/>
      <c r="N653" s="33"/>
      <c r="O653" s="33"/>
      <c r="P653" s="33"/>
      <c r="Q653" s="33"/>
      <c r="S653" s="33"/>
      <c r="U653" s="33"/>
      <c r="W653" s="33"/>
      <c r="X653" s="34"/>
      <c r="Y653" s="33"/>
      <c r="Z653" s="34"/>
      <c r="AA653" s="33"/>
      <c r="AB653" s="33"/>
      <c r="AC653" s="33"/>
      <c r="AD653" s="35"/>
      <c r="AE653" s="33"/>
    </row>
    <row r="654" ht="15.75" customHeight="1">
      <c r="A654" s="33"/>
      <c r="H654" s="33"/>
      <c r="L654" s="33"/>
      <c r="N654" s="33"/>
      <c r="O654" s="33"/>
      <c r="P654" s="33"/>
      <c r="Q654" s="33"/>
      <c r="S654" s="33"/>
      <c r="U654" s="33"/>
      <c r="W654" s="33"/>
      <c r="X654" s="34"/>
      <c r="Y654" s="33"/>
      <c r="Z654" s="34"/>
      <c r="AA654" s="33"/>
      <c r="AB654" s="33"/>
      <c r="AC654" s="33"/>
      <c r="AD654" s="35"/>
      <c r="AE654" s="33"/>
    </row>
    <row r="655" ht="15.75" customHeight="1">
      <c r="A655" s="33"/>
      <c r="H655" s="33"/>
      <c r="L655" s="33"/>
      <c r="N655" s="33"/>
      <c r="O655" s="33"/>
      <c r="P655" s="33"/>
      <c r="Q655" s="33"/>
      <c r="S655" s="33"/>
      <c r="U655" s="33"/>
      <c r="W655" s="33"/>
      <c r="X655" s="34"/>
      <c r="Y655" s="33"/>
      <c r="Z655" s="34"/>
      <c r="AA655" s="33"/>
      <c r="AB655" s="33"/>
      <c r="AC655" s="33"/>
      <c r="AD655" s="35"/>
      <c r="AE655" s="33"/>
    </row>
    <row r="656" ht="15.75" customHeight="1">
      <c r="A656" s="33"/>
      <c r="H656" s="33"/>
      <c r="L656" s="33"/>
      <c r="N656" s="33"/>
      <c r="O656" s="33"/>
      <c r="P656" s="33"/>
      <c r="Q656" s="33"/>
      <c r="S656" s="33"/>
      <c r="U656" s="33"/>
      <c r="W656" s="33"/>
      <c r="X656" s="34"/>
      <c r="Y656" s="33"/>
      <c r="Z656" s="34"/>
      <c r="AA656" s="33"/>
      <c r="AB656" s="33"/>
      <c r="AC656" s="33"/>
      <c r="AD656" s="35"/>
      <c r="AE656" s="33"/>
    </row>
    <row r="657" ht="15.75" customHeight="1">
      <c r="A657" s="33"/>
      <c r="H657" s="33"/>
      <c r="L657" s="33"/>
      <c r="N657" s="33"/>
      <c r="O657" s="33"/>
      <c r="P657" s="33"/>
      <c r="Q657" s="33"/>
      <c r="S657" s="33"/>
      <c r="U657" s="33"/>
      <c r="W657" s="33"/>
      <c r="X657" s="34"/>
      <c r="Y657" s="33"/>
      <c r="Z657" s="34"/>
      <c r="AA657" s="33"/>
      <c r="AB657" s="33"/>
      <c r="AC657" s="33"/>
      <c r="AD657" s="35"/>
      <c r="AE657" s="33"/>
    </row>
    <row r="658" ht="15.75" customHeight="1">
      <c r="A658" s="33"/>
      <c r="H658" s="33"/>
      <c r="L658" s="33"/>
      <c r="N658" s="33"/>
      <c r="O658" s="33"/>
      <c r="P658" s="33"/>
      <c r="Q658" s="33"/>
      <c r="S658" s="33"/>
      <c r="U658" s="33"/>
      <c r="W658" s="33"/>
      <c r="X658" s="34"/>
      <c r="Y658" s="33"/>
      <c r="Z658" s="34"/>
      <c r="AA658" s="33"/>
      <c r="AB658" s="33"/>
      <c r="AC658" s="33"/>
      <c r="AD658" s="35"/>
      <c r="AE658" s="33"/>
    </row>
    <row r="659" ht="15.75" customHeight="1">
      <c r="A659" s="33"/>
      <c r="H659" s="33"/>
      <c r="L659" s="33"/>
      <c r="N659" s="33"/>
      <c r="O659" s="33"/>
      <c r="P659" s="33"/>
      <c r="Q659" s="33"/>
      <c r="S659" s="33"/>
      <c r="U659" s="33"/>
      <c r="W659" s="33"/>
      <c r="X659" s="34"/>
      <c r="Y659" s="33"/>
      <c r="Z659" s="34"/>
      <c r="AA659" s="33"/>
      <c r="AB659" s="33"/>
      <c r="AC659" s="33"/>
      <c r="AD659" s="35"/>
      <c r="AE659" s="33"/>
    </row>
    <row r="660" ht="15.75" customHeight="1">
      <c r="A660" s="33"/>
      <c r="H660" s="33"/>
      <c r="L660" s="33"/>
      <c r="N660" s="33"/>
      <c r="O660" s="33"/>
      <c r="P660" s="33"/>
      <c r="Q660" s="33"/>
      <c r="S660" s="33"/>
      <c r="U660" s="33"/>
      <c r="W660" s="33"/>
      <c r="X660" s="34"/>
      <c r="Y660" s="33"/>
      <c r="Z660" s="34"/>
      <c r="AA660" s="33"/>
      <c r="AB660" s="33"/>
      <c r="AC660" s="33"/>
      <c r="AD660" s="35"/>
      <c r="AE660" s="33"/>
    </row>
    <row r="661" ht="15.75" customHeight="1">
      <c r="A661" s="33"/>
      <c r="H661" s="33"/>
      <c r="L661" s="33"/>
      <c r="N661" s="33"/>
      <c r="O661" s="33"/>
      <c r="P661" s="33"/>
      <c r="Q661" s="33"/>
      <c r="S661" s="33"/>
      <c r="U661" s="33"/>
      <c r="W661" s="33"/>
      <c r="X661" s="34"/>
      <c r="Y661" s="33"/>
      <c r="Z661" s="34"/>
      <c r="AA661" s="33"/>
      <c r="AB661" s="33"/>
      <c r="AC661" s="33"/>
      <c r="AD661" s="35"/>
      <c r="AE661" s="33"/>
    </row>
    <row r="662" ht="15.75" customHeight="1">
      <c r="A662" s="33"/>
      <c r="H662" s="33"/>
      <c r="L662" s="33"/>
      <c r="N662" s="33"/>
      <c r="O662" s="33"/>
      <c r="P662" s="33"/>
      <c r="Q662" s="33"/>
      <c r="S662" s="33"/>
      <c r="U662" s="33"/>
      <c r="W662" s="33"/>
      <c r="X662" s="34"/>
      <c r="Y662" s="33"/>
      <c r="Z662" s="34"/>
      <c r="AA662" s="33"/>
      <c r="AB662" s="33"/>
      <c r="AC662" s="33"/>
      <c r="AD662" s="35"/>
      <c r="AE662" s="33"/>
    </row>
    <row r="663" ht="15.75" customHeight="1">
      <c r="A663" s="33"/>
      <c r="H663" s="33"/>
      <c r="L663" s="33"/>
      <c r="N663" s="33"/>
      <c r="O663" s="33"/>
      <c r="P663" s="33"/>
      <c r="Q663" s="33"/>
      <c r="S663" s="33"/>
      <c r="U663" s="33"/>
      <c r="W663" s="33"/>
      <c r="X663" s="34"/>
      <c r="Y663" s="33"/>
      <c r="Z663" s="34"/>
      <c r="AA663" s="33"/>
      <c r="AB663" s="33"/>
      <c r="AC663" s="33"/>
      <c r="AD663" s="35"/>
      <c r="AE663" s="33"/>
    </row>
    <row r="664" ht="15.75" customHeight="1">
      <c r="A664" s="33"/>
      <c r="H664" s="33"/>
      <c r="L664" s="33"/>
      <c r="N664" s="33"/>
      <c r="O664" s="33"/>
      <c r="P664" s="33"/>
      <c r="Q664" s="33"/>
      <c r="S664" s="33"/>
      <c r="U664" s="33"/>
      <c r="W664" s="33"/>
      <c r="X664" s="34"/>
      <c r="Y664" s="33"/>
      <c r="Z664" s="34"/>
      <c r="AA664" s="33"/>
      <c r="AB664" s="33"/>
      <c r="AC664" s="33"/>
      <c r="AD664" s="35"/>
      <c r="AE664" s="33"/>
    </row>
    <row r="665" ht="15.75" customHeight="1">
      <c r="A665" s="33"/>
      <c r="H665" s="33"/>
      <c r="L665" s="33"/>
      <c r="N665" s="33"/>
      <c r="O665" s="33"/>
      <c r="P665" s="33"/>
      <c r="Q665" s="33"/>
      <c r="S665" s="33"/>
      <c r="U665" s="33"/>
      <c r="W665" s="33"/>
      <c r="X665" s="34"/>
      <c r="Y665" s="33"/>
      <c r="Z665" s="34"/>
      <c r="AA665" s="33"/>
      <c r="AB665" s="33"/>
      <c r="AC665" s="33"/>
      <c r="AD665" s="35"/>
      <c r="AE665" s="33"/>
    </row>
    <row r="666" ht="15.75" customHeight="1">
      <c r="A666" s="33"/>
      <c r="H666" s="33"/>
      <c r="L666" s="33"/>
      <c r="N666" s="33"/>
      <c r="O666" s="33"/>
      <c r="P666" s="33"/>
      <c r="Q666" s="33"/>
      <c r="S666" s="33"/>
      <c r="U666" s="33"/>
      <c r="W666" s="33"/>
      <c r="X666" s="34"/>
      <c r="Y666" s="33"/>
      <c r="Z666" s="34"/>
      <c r="AA666" s="33"/>
      <c r="AB666" s="33"/>
      <c r="AC666" s="33"/>
      <c r="AD666" s="35"/>
      <c r="AE666" s="33"/>
    </row>
    <row r="667" ht="15.75" customHeight="1">
      <c r="A667" s="33"/>
      <c r="H667" s="33"/>
      <c r="L667" s="33"/>
      <c r="N667" s="33"/>
      <c r="O667" s="33"/>
      <c r="P667" s="33"/>
      <c r="Q667" s="33"/>
      <c r="S667" s="33"/>
      <c r="U667" s="33"/>
      <c r="W667" s="33"/>
      <c r="X667" s="34"/>
      <c r="Y667" s="33"/>
      <c r="Z667" s="34"/>
      <c r="AA667" s="33"/>
      <c r="AB667" s="33"/>
      <c r="AC667" s="33"/>
      <c r="AD667" s="35"/>
      <c r="AE667" s="33"/>
    </row>
    <row r="668" ht="15.75" customHeight="1">
      <c r="A668" s="33"/>
      <c r="H668" s="33"/>
      <c r="L668" s="33"/>
      <c r="N668" s="33"/>
      <c r="O668" s="33"/>
      <c r="P668" s="33"/>
      <c r="Q668" s="33"/>
      <c r="S668" s="33"/>
      <c r="U668" s="33"/>
      <c r="W668" s="33"/>
      <c r="X668" s="34"/>
      <c r="Y668" s="33"/>
      <c r="Z668" s="34"/>
      <c r="AA668" s="33"/>
      <c r="AB668" s="33"/>
      <c r="AC668" s="33"/>
      <c r="AD668" s="35"/>
      <c r="AE668" s="33"/>
    </row>
    <row r="669" ht="15.75" customHeight="1">
      <c r="A669" s="33"/>
      <c r="H669" s="33"/>
      <c r="L669" s="33"/>
      <c r="N669" s="33"/>
      <c r="O669" s="33"/>
      <c r="P669" s="33"/>
      <c r="Q669" s="33"/>
      <c r="S669" s="33"/>
      <c r="U669" s="33"/>
      <c r="W669" s="33"/>
      <c r="X669" s="34"/>
      <c r="Y669" s="33"/>
      <c r="Z669" s="34"/>
      <c r="AA669" s="33"/>
      <c r="AB669" s="33"/>
      <c r="AC669" s="33"/>
      <c r="AD669" s="35"/>
      <c r="AE669" s="33"/>
    </row>
    <row r="670" ht="15.75" customHeight="1">
      <c r="A670" s="33"/>
      <c r="H670" s="33"/>
      <c r="L670" s="33"/>
      <c r="N670" s="33"/>
      <c r="O670" s="33"/>
      <c r="P670" s="33"/>
      <c r="Q670" s="33"/>
      <c r="S670" s="33"/>
      <c r="U670" s="33"/>
      <c r="W670" s="33"/>
      <c r="X670" s="34"/>
      <c r="Y670" s="33"/>
      <c r="Z670" s="34"/>
      <c r="AA670" s="33"/>
      <c r="AB670" s="33"/>
      <c r="AC670" s="33"/>
      <c r="AD670" s="35"/>
      <c r="AE670" s="33"/>
    </row>
    <row r="671" ht="15.75" customHeight="1">
      <c r="A671" s="33"/>
      <c r="H671" s="33"/>
      <c r="L671" s="33"/>
      <c r="N671" s="33"/>
      <c r="O671" s="33"/>
      <c r="P671" s="33"/>
      <c r="Q671" s="33"/>
      <c r="S671" s="33"/>
      <c r="U671" s="33"/>
      <c r="W671" s="33"/>
      <c r="X671" s="34"/>
      <c r="Y671" s="33"/>
      <c r="Z671" s="34"/>
      <c r="AA671" s="33"/>
      <c r="AB671" s="33"/>
      <c r="AC671" s="33"/>
      <c r="AD671" s="35"/>
      <c r="AE671" s="33"/>
    </row>
    <row r="672" ht="15.75" customHeight="1">
      <c r="A672" s="33"/>
      <c r="H672" s="33"/>
      <c r="L672" s="33"/>
      <c r="N672" s="33"/>
      <c r="O672" s="33"/>
      <c r="P672" s="33"/>
      <c r="Q672" s="33"/>
      <c r="S672" s="33"/>
      <c r="U672" s="33"/>
      <c r="W672" s="33"/>
      <c r="X672" s="34"/>
      <c r="Y672" s="33"/>
      <c r="Z672" s="34"/>
      <c r="AA672" s="33"/>
      <c r="AB672" s="33"/>
      <c r="AC672" s="33"/>
      <c r="AD672" s="35"/>
      <c r="AE672" s="33"/>
    </row>
    <row r="673" ht="15.75" customHeight="1">
      <c r="A673" s="33"/>
      <c r="H673" s="33"/>
      <c r="L673" s="33"/>
      <c r="N673" s="33"/>
      <c r="O673" s="33"/>
      <c r="P673" s="33"/>
      <c r="Q673" s="33"/>
      <c r="S673" s="33"/>
      <c r="U673" s="33"/>
      <c r="W673" s="33"/>
      <c r="X673" s="34"/>
      <c r="Y673" s="33"/>
      <c r="Z673" s="34"/>
      <c r="AA673" s="33"/>
      <c r="AB673" s="33"/>
      <c r="AC673" s="33"/>
      <c r="AD673" s="35"/>
      <c r="AE673" s="33"/>
    </row>
    <row r="674" ht="15.75" customHeight="1">
      <c r="A674" s="33"/>
      <c r="H674" s="33"/>
      <c r="L674" s="33"/>
      <c r="N674" s="33"/>
      <c r="O674" s="33"/>
      <c r="P674" s="33"/>
      <c r="Q674" s="33"/>
      <c r="S674" s="33"/>
      <c r="U674" s="33"/>
      <c r="W674" s="33"/>
      <c r="X674" s="34"/>
      <c r="Y674" s="33"/>
      <c r="Z674" s="34"/>
      <c r="AA674" s="33"/>
      <c r="AB674" s="33"/>
      <c r="AC674" s="33"/>
      <c r="AD674" s="35"/>
      <c r="AE674" s="33"/>
    </row>
    <row r="675" ht="15.75" customHeight="1">
      <c r="A675" s="33"/>
      <c r="H675" s="33"/>
      <c r="L675" s="33"/>
      <c r="N675" s="33"/>
      <c r="O675" s="33"/>
      <c r="P675" s="33"/>
      <c r="Q675" s="33"/>
      <c r="S675" s="33"/>
      <c r="U675" s="33"/>
      <c r="W675" s="33"/>
      <c r="X675" s="34"/>
      <c r="Y675" s="33"/>
      <c r="Z675" s="34"/>
      <c r="AA675" s="33"/>
      <c r="AB675" s="33"/>
      <c r="AC675" s="33"/>
      <c r="AD675" s="35"/>
      <c r="AE675" s="33"/>
    </row>
    <row r="676" ht="15.75" customHeight="1">
      <c r="A676" s="33"/>
      <c r="H676" s="33"/>
      <c r="L676" s="33"/>
      <c r="N676" s="33"/>
      <c r="O676" s="33"/>
      <c r="P676" s="33"/>
      <c r="Q676" s="33"/>
      <c r="S676" s="33"/>
      <c r="U676" s="33"/>
      <c r="W676" s="33"/>
      <c r="X676" s="34"/>
      <c r="Y676" s="33"/>
      <c r="Z676" s="34"/>
      <c r="AA676" s="33"/>
      <c r="AB676" s="33"/>
      <c r="AC676" s="33"/>
      <c r="AD676" s="35"/>
      <c r="AE676" s="33"/>
    </row>
    <row r="677" ht="15.75" customHeight="1">
      <c r="A677" s="33"/>
      <c r="H677" s="33"/>
      <c r="L677" s="33"/>
      <c r="N677" s="33"/>
      <c r="O677" s="33"/>
      <c r="P677" s="33"/>
      <c r="Q677" s="33"/>
      <c r="S677" s="33"/>
      <c r="U677" s="33"/>
      <c r="W677" s="33"/>
      <c r="X677" s="34"/>
      <c r="Y677" s="33"/>
      <c r="Z677" s="34"/>
      <c r="AA677" s="33"/>
      <c r="AB677" s="33"/>
      <c r="AC677" s="33"/>
      <c r="AD677" s="35"/>
      <c r="AE677" s="33"/>
    </row>
    <row r="678" ht="15.75" customHeight="1">
      <c r="A678" s="33"/>
      <c r="H678" s="33"/>
      <c r="L678" s="33"/>
      <c r="N678" s="33"/>
      <c r="O678" s="33"/>
      <c r="P678" s="33"/>
      <c r="Q678" s="33"/>
      <c r="S678" s="33"/>
      <c r="U678" s="33"/>
      <c r="W678" s="33"/>
      <c r="X678" s="34"/>
      <c r="Y678" s="33"/>
      <c r="Z678" s="34"/>
      <c r="AA678" s="33"/>
      <c r="AB678" s="33"/>
      <c r="AC678" s="33"/>
      <c r="AD678" s="35"/>
      <c r="AE678" s="33"/>
    </row>
    <row r="679" ht="15.75" customHeight="1">
      <c r="A679" s="33"/>
      <c r="H679" s="33"/>
      <c r="L679" s="33"/>
      <c r="N679" s="33"/>
      <c r="O679" s="33"/>
      <c r="P679" s="33"/>
      <c r="Q679" s="33"/>
      <c r="S679" s="33"/>
      <c r="U679" s="33"/>
      <c r="W679" s="33"/>
      <c r="X679" s="34"/>
      <c r="Y679" s="33"/>
      <c r="Z679" s="34"/>
      <c r="AA679" s="33"/>
      <c r="AB679" s="33"/>
      <c r="AC679" s="33"/>
      <c r="AD679" s="35"/>
      <c r="AE679" s="33"/>
    </row>
    <row r="680" ht="15.75" customHeight="1">
      <c r="A680" s="33"/>
      <c r="H680" s="33"/>
      <c r="L680" s="33"/>
      <c r="N680" s="33"/>
      <c r="O680" s="33"/>
      <c r="P680" s="33"/>
      <c r="Q680" s="33"/>
      <c r="S680" s="33"/>
      <c r="U680" s="33"/>
      <c r="W680" s="33"/>
      <c r="X680" s="34"/>
      <c r="Y680" s="33"/>
      <c r="Z680" s="34"/>
      <c r="AA680" s="33"/>
      <c r="AB680" s="33"/>
      <c r="AC680" s="33"/>
      <c r="AD680" s="35"/>
      <c r="AE680" s="33"/>
    </row>
    <row r="681" ht="15.75" customHeight="1">
      <c r="A681" s="33"/>
      <c r="H681" s="33"/>
      <c r="L681" s="33"/>
      <c r="N681" s="33"/>
      <c r="O681" s="33"/>
      <c r="P681" s="33"/>
      <c r="Q681" s="33"/>
      <c r="S681" s="33"/>
      <c r="U681" s="33"/>
      <c r="W681" s="33"/>
      <c r="X681" s="34"/>
      <c r="Y681" s="33"/>
      <c r="Z681" s="34"/>
      <c r="AA681" s="33"/>
      <c r="AB681" s="33"/>
      <c r="AC681" s="33"/>
      <c r="AD681" s="35"/>
      <c r="AE681" s="33"/>
    </row>
    <row r="682" ht="15.75" customHeight="1">
      <c r="A682" s="33"/>
      <c r="H682" s="33"/>
      <c r="L682" s="33"/>
      <c r="N682" s="33"/>
      <c r="O682" s="33"/>
      <c r="P682" s="33"/>
      <c r="Q682" s="33"/>
      <c r="S682" s="33"/>
      <c r="U682" s="33"/>
      <c r="W682" s="33"/>
      <c r="X682" s="34"/>
      <c r="Y682" s="33"/>
      <c r="Z682" s="34"/>
      <c r="AA682" s="33"/>
      <c r="AB682" s="33"/>
      <c r="AC682" s="33"/>
      <c r="AD682" s="35"/>
      <c r="AE682" s="33"/>
    </row>
    <row r="683" ht="15.75" customHeight="1">
      <c r="A683" s="33"/>
      <c r="H683" s="33"/>
      <c r="L683" s="33"/>
      <c r="N683" s="33"/>
      <c r="O683" s="33"/>
      <c r="P683" s="33"/>
      <c r="Q683" s="33"/>
      <c r="S683" s="33"/>
      <c r="U683" s="33"/>
      <c r="W683" s="33"/>
      <c r="X683" s="34"/>
      <c r="Y683" s="33"/>
      <c r="Z683" s="34"/>
      <c r="AA683" s="33"/>
      <c r="AB683" s="33"/>
      <c r="AC683" s="33"/>
      <c r="AD683" s="35"/>
      <c r="AE683" s="33"/>
    </row>
    <row r="684" ht="15.75" customHeight="1">
      <c r="A684" s="33"/>
      <c r="H684" s="33"/>
      <c r="L684" s="33"/>
      <c r="N684" s="33"/>
      <c r="O684" s="33"/>
      <c r="P684" s="33"/>
      <c r="Q684" s="33"/>
      <c r="S684" s="33"/>
      <c r="U684" s="33"/>
      <c r="W684" s="33"/>
      <c r="X684" s="34"/>
      <c r="Y684" s="33"/>
      <c r="Z684" s="34"/>
      <c r="AA684" s="33"/>
      <c r="AB684" s="33"/>
      <c r="AC684" s="33"/>
      <c r="AD684" s="35"/>
      <c r="AE684" s="33"/>
    </row>
    <row r="685" ht="15.75" customHeight="1">
      <c r="A685" s="33"/>
      <c r="H685" s="33"/>
      <c r="L685" s="33"/>
      <c r="N685" s="33"/>
      <c r="O685" s="33"/>
      <c r="P685" s="33"/>
      <c r="Q685" s="33"/>
      <c r="S685" s="33"/>
      <c r="U685" s="33"/>
      <c r="W685" s="33"/>
      <c r="X685" s="34"/>
      <c r="Y685" s="33"/>
      <c r="Z685" s="34"/>
      <c r="AA685" s="33"/>
      <c r="AB685" s="33"/>
      <c r="AC685" s="33"/>
      <c r="AD685" s="35"/>
      <c r="AE685" s="33"/>
    </row>
    <row r="686" ht="15.75" customHeight="1">
      <c r="A686" s="33"/>
      <c r="H686" s="33"/>
      <c r="L686" s="33"/>
      <c r="N686" s="33"/>
      <c r="O686" s="33"/>
      <c r="P686" s="33"/>
      <c r="Q686" s="33"/>
      <c r="S686" s="33"/>
      <c r="U686" s="33"/>
      <c r="W686" s="33"/>
      <c r="X686" s="34"/>
      <c r="Y686" s="33"/>
      <c r="Z686" s="34"/>
      <c r="AA686" s="33"/>
      <c r="AB686" s="33"/>
      <c r="AC686" s="33"/>
      <c r="AD686" s="35"/>
      <c r="AE686" s="33"/>
    </row>
    <row r="687" ht="15.75" customHeight="1">
      <c r="A687" s="33"/>
      <c r="H687" s="33"/>
      <c r="L687" s="33"/>
      <c r="N687" s="33"/>
      <c r="O687" s="33"/>
      <c r="P687" s="33"/>
      <c r="Q687" s="33"/>
      <c r="S687" s="33"/>
      <c r="U687" s="33"/>
      <c r="W687" s="33"/>
      <c r="X687" s="34"/>
      <c r="Y687" s="33"/>
      <c r="Z687" s="34"/>
      <c r="AA687" s="33"/>
      <c r="AB687" s="33"/>
      <c r="AC687" s="33"/>
      <c r="AD687" s="35"/>
      <c r="AE687" s="33"/>
    </row>
    <row r="688" ht="15.75" customHeight="1">
      <c r="A688" s="33"/>
      <c r="H688" s="33"/>
      <c r="L688" s="33"/>
      <c r="N688" s="33"/>
      <c r="O688" s="33"/>
      <c r="P688" s="33"/>
      <c r="Q688" s="33"/>
      <c r="S688" s="33"/>
      <c r="U688" s="33"/>
      <c r="W688" s="33"/>
      <c r="X688" s="34"/>
      <c r="Y688" s="33"/>
      <c r="Z688" s="34"/>
      <c r="AA688" s="33"/>
      <c r="AB688" s="33"/>
      <c r="AC688" s="33"/>
      <c r="AD688" s="35"/>
      <c r="AE688" s="33"/>
    </row>
    <row r="689" ht="15.75" customHeight="1">
      <c r="A689" s="33"/>
      <c r="H689" s="33"/>
      <c r="L689" s="33"/>
      <c r="N689" s="33"/>
      <c r="O689" s="33"/>
      <c r="P689" s="33"/>
      <c r="Q689" s="33"/>
      <c r="S689" s="33"/>
      <c r="U689" s="33"/>
      <c r="W689" s="33"/>
      <c r="X689" s="34"/>
      <c r="Y689" s="33"/>
      <c r="Z689" s="34"/>
      <c r="AA689" s="33"/>
      <c r="AB689" s="33"/>
      <c r="AC689" s="33"/>
      <c r="AD689" s="35"/>
      <c r="AE689" s="33"/>
    </row>
    <row r="690" ht="15.75" customHeight="1">
      <c r="A690" s="33"/>
      <c r="H690" s="33"/>
      <c r="L690" s="33"/>
      <c r="N690" s="33"/>
      <c r="O690" s="33"/>
      <c r="P690" s="33"/>
      <c r="Q690" s="33"/>
      <c r="S690" s="33"/>
      <c r="U690" s="33"/>
      <c r="W690" s="33"/>
      <c r="X690" s="34"/>
      <c r="Y690" s="33"/>
      <c r="Z690" s="34"/>
      <c r="AA690" s="33"/>
      <c r="AB690" s="33"/>
      <c r="AC690" s="33"/>
      <c r="AD690" s="35"/>
      <c r="AE690" s="33"/>
    </row>
    <row r="691" ht="15.75" customHeight="1">
      <c r="A691" s="33"/>
      <c r="H691" s="33"/>
      <c r="L691" s="33"/>
      <c r="N691" s="33"/>
      <c r="O691" s="33"/>
      <c r="P691" s="33"/>
      <c r="Q691" s="33"/>
      <c r="S691" s="33"/>
      <c r="U691" s="33"/>
      <c r="W691" s="33"/>
      <c r="X691" s="34"/>
      <c r="Y691" s="33"/>
      <c r="Z691" s="34"/>
      <c r="AA691" s="33"/>
      <c r="AB691" s="33"/>
      <c r="AC691" s="33"/>
      <c r="AD691" s="35"/>
      <c r="AE691" s="33"/>
    </row>
    <row r="692" ht="15.75" customHeight="1">
      <c r="A692" s="33"/>
      <c r="H692" s="33"/>
      <c r="L692" s="33"/>
      <c r="N692" s="33"/>
      <c r="O692" s="33"/>
      <c r="P692" s="33"/>
      <c r="Q692" s="33"/>
      <c r="S692" s="33"/>
      <c r="U692" s="33"/>
      <c r="W692" s="33"/>
      <c r="X692" s="34"/>
      <c r="Y692" s="33"/>
      <c r="Z692" s="34"/>
      <c r="AA692" s="33"/>
      <c r="AB692" s="33"/>
      <c r="AC692" s="33"/>
      <c r="AD692" s="35"/>
      <c r="AE692" s="33"/>
    </row>
    <row r="693" ht="15.75" customHeight="1">
      <c r="A693" s="33"/>
      <c r="H693" s="33"/>
      <c r="L693" s="33"/>
      <c r="N693" s="33"/>
      <c r="O693" s="33"/>
      <c r="P693" s="33"/>
      <c r="Q693" s="33"/>
      <c r="S693" s="33"/>
      <c r="U693" s="33"/>
      <c r="W693" s="33"/>
      <c r="X693" s="34"/>
      <c r="Y693" s="33"/>
      <c r="Z693" s="34"/>
      <c r="AA693" s="33"/>
      <c r="AB693" s="33"/>
      <c r="AC693" s="33"/>
      <c r="AD693" s="35"/>
      <c r="AE693" s="33"/>
    </row>
    <row r="694" ht="15.75" customHeight="1">
      <c r="A694" s="33"/>
      <c r="H694" s="33"/>
      <c r="L694" s="33"/>
      <c r="N694" s="33"/>
      <c r="O694" s="33"/>
      <c r="P694" s="33"/>
      <c r="Q694" s="33"/>
      <c r="S694" s="33"/>
      <c r="U694" s="33"/>
      <c r="W694" s="33"/>
      <c r="X694" s="34"/>
      <c r="Y694" s="33"/>
      <c r="Z694" s="34"/>
      <c r="AA694" s="33"/>
      <c r="AB694" s="33"/>
      <c r="AC694" s="33"/>
      <c r="AD694" s="35"/>
      <c r="AE694" s="33"/>
    </row>
    <row r="695" ht="15.75" customHeight="1">
      <c r="A695" s="33"/>
      <c r="H695" s="33"/>
      <c r="L695" s="33"/>
      <c r="N695" s="33"/>
      <c r="O695" s="33"/>
      <c r="P695" s="33"/>
      <c r="Q695" s="33"/>
      <c r="S695" s="33"/>
      <c r="U695" s="33"/>
      <c r="W695" s="33"/>
      <c r="X695" s="34"/>
      <c r="Y695" s="33"/>
      <c r="Z695" s="34"/>
      <c r="AA695" s="33"/>
      <c r="AB695" s="33"/>
      <c r="AC695" s="33"/>
      <c r="AD695" s="35"/>
      <c r="AE695" s="33"/>
    </row>
    <row r="696" ht="15.75" customHeight="1">
      <c r="A696" s="33"/>
      <c r="H696" s="33"/>
      <c r="L696" s="33"/>
      <c r="N696" s="33"/>
      <c r="O696" s="33"/>
      <c r="P696" s="33"/>
      <c r="Q696" s="33"/>
      <c r="S696" s="33"/>
      <c r="U696" s="33"/>
      <c r="W696" s="33"/>
      <c r="X696" s="34"/>
      <c r="Y696" s="33"/>
      <c r="Z696" s="34"/>
      <c r="AA696" s="33"/>
      <c r="AB696" s="33"/>
      <c r="AC696" s="33"/>
      <c r="AD696" s="35"/>
      <c r="AE696" s="33"/>
    </row>
    <row r="697" ht="15.75" customHeight="1">
      <c r="A697" s="33"/>
      <c r="H697" s="33"/>
      <c r="L697" s="33"/>
      <c r="N697" s="33"/>
      <c r="O697" s="33"/>
      <c r="P697" s="33"/>
      <c r="Q697" s="33"/>
      <c r="S697" s="33"/>
      <c r="U697" s="33"/>
      <c r="W697" s="33"/>
      <c r="X697" s="34"/>
      <c r="Y697" s="33"/>
      <c r="Z697" s="34"/>
      <c r="AA697" s="33"/>
      <c r="AB697" s="33"/>
      <c r="AC697" s="33"/>
      <c r="AD697" s="35"/>
      <c r="AE697" s="33"/>
    </row>
    <row r="698" ht="15.75" customHeight="1">
      <c r="A698" s="33"/>
      <c r="H698" s="33"/>
      <c r="L698" s="33"/>
      <c r="N698" s="33"/>
      <c r="O698" s="33"/>
      <c r="P698" s="33"/>
      <c r="Q698" s="33"/>
      <c r="S698" s="33"/>
      <c r="U698" s="33"/>
      <c r="W698" s="33"/>
      <c r="X698" s="34"/>
      <c r="Y698" s="33"/>
      <c r="Z698" s="34"/>
      <c r="AA698" s="33"/>
      <c r="AB698" s="33"/>
      <c r="AC698" s="33"/>
      <c r="AD698" s="35"/>
      <c r="AE698" s="33"/>
    </row>
    <row r="699" ht="15.75" customHeight="1">
      <c r="A699" s="33"/>
      <c r="H699" s="33"/>
      <c r="L699" s="33"/>
      <c r="N699" s="33"/>
      <c r="O699" s="33"/>
      <c r="P699" s="33"/>
      <c r="Q699" s="33"/>
      <c r="S699" s="33"/>
      <c r="U699" s="33"/>
      <c r="W699" s="33"/>
      <c r="X699" s="34"/>
      <c r="Y699" s="33"/>
      <c r="Z699" s="34"/>
      <c r="AA699" s="33"/>
      <c r="AB699" s="33"/>
      <c r="AC699" s="33"/>
      <c r="AD699" s="35"/>
      <c r="AE699" s="33"/>
    </row>
    <row r="700" ht="15.75" customHeight="1">
      <c r="A700" s="33"/>
      <c r="H700" s="33"/>
      <c r="L700" s="33"/>
      <c r="N700" s="33"/>
      <c r="O700" s="33"/>
      <c r="P700" s="33"/>
      <c r="Q700" s="33"/>
      <c r="S700" s="33"/>
      <c r="U700" s="33"/>
      <c r="W700" s="33"/>
      <c r="X700" s="34"/>
      <c r="Y700" s="33"/>
      <c r="Z700" s="34"/>
      <c r="AA700" s="33"/>
      <c r="AB700" s="33"/>
      <c r="AC700" s="33"/>
      <c r="AD700" s="35"/>
      <c r="AE700" s="33"/>
    </row>
    <row r="701" ht="15.75" customHeight="1">
      <c r="A701" s="33"/>
      <c r="H701" s="33"/>
      <c r="L701" s="33"/>
      <c r="N701" s="33"/>
      <c r="O701" s="33"/>
      <c r="P701" s="33"/>
      <c r="Q701" s="33"/>
      <c r="S701" s="33"/>
      <c r="U701" s="33"/>
      <c r="W701" s="33"/>
      <c r="X701" s="34"/>
      <c r="Y701" s="33"/>
      <c r="Z701" s="34"/>
      <c r="AA701" s="33"/>
      <c r="AB701" s="33"/>
      <c r="AC701" s="33"/>
      <c r="AD701" s="35"/>
      <c r="AE701" s="33"/>
    </row>
    <row r="702" ht="15.75" customHeight="1">
      <c r="A702" s="33"/>
      <c r="H702" s="33"/>
      <c r="L702" s="33"/>
      <c r="N702" s="33"/>
      <c r="O702" s="33"/>
      <c r="P702" s="33"/>
      <c r="Q702" s="33"/>
      <c r="S702" s="33"/>
      <c r="U702" s="33"/>
      <c r="W702" s="33"/>
      <c r="X702" s="34"/>
      <c r="Y702" s="33"/>
      <c r="Z702" s="34"/>
      <c r="AA702" s="33"/>
      <c r="AB702" s="33"/>
      <c r="AC702" s="33"/>
      <c r="AD702" s="35"/>
      <c r="AE702" s="33"/>
    </row>
    <row r="703" ht="15.75" customHeight="1">
      <c r="A703" s="33"/>
      <c r="H703" s="33"/>
      <c r="L703" s="33"/>
      <c r="N703" s="33"/>
      <c r="O703" s="33"/>
      <c r="P703" s="33"/>
      <c r="Q703" s="33"/>
      <c r="S703" s="33"/>
      <c r="U703" s="33"/>
      <c r="W703" s="33"/>
      <c r="X703" s="34"/>
      <c r="Y703" s="33"/>
      <c r="Z703" s="34"/>
      <c r="AA703" s="33"/>
      <c r="AB703" s="33"/>
      <c r="AC703" s="33"/>
      <c r="AD703" s="35"/>
      <c r="AE703" s="33"/>
    </row>
    <row r="704" ht="15.75" customHeight="1">
      <c r="A704" s="33"/>
      <c r="H704" s="33"/>
      <c r="L704" s="33"/>
      <c r="N704" s="33"/>
      <c r="O704" s="33"/>
      <c r="P704" s="33"/>
      <c r="Q704" s="33"/>
      <c r="S704" s="33"/>
      <c r="U704" s="33"/>
      <c r="W704" s="33"/>
      <c r="X704" s="34"/>
      <c r="Y704" s="33"/>
      <c r="Z704" s="34"/>
      <c r="AA704" s="33"/>
      <c r="AB704" s="33"/>
      <c r="AC704" s="33"/>
      <c r="AD704" s="35"/>
      <c r="AE704" s="33"/>
    </row>
    <row r="705" ht="15.75" customHeight="1">
      <c r="A705" s="33"/>
      <c r="H705" s="33"/>
      <c r="L705" s="33"/>
      <c r="N705" s="33"/>
      <c r="O705" s="33"/>
      <c r="P705" s="33"/>
      <c r="Q705" s="33"/>
      <c r="S705" s="33"/>
      <c r="U705" s="33"/>
      <c r="W705" s="33"/>
      <c r="X705" s="34"/>
      <c r="Y705" s="33"/>
      <c r="Z705" s="34"/>
      <c r="AA705" s="33"/>
      <c r="AB705" s="33"/>
      <c r="AC705" s="33"/>
      <c r="AD705" s="35"/>
      <c r="AE705" s="33"/>
    </row>
    <row r="706" ht="15.75" customHeight="1">
      <c r="A706" s="33"/>
      <c r="H706" s="33"/>
      <c r="L706" s="33"/>
      <c r="N706" s="33"/>
      <c r="O706" s="33"/>
      <c r="P706" s="33"/>
      <c r="Q706" s="33"/>
      <c r="S706" s="33"/>
      <c r="U706" s="33"/>
      <c r="W706" s="33"/>
      <c r="X706" s="34"/>
      <c r="Y706" s="33"/>
      <c r="Z706" s="34"/>
      <c r="AA706" s="33"/>
      <c r="AB706" s="33"/>
      <c r="AC706" s="33"/>
      <c r="AD706" s="35"/>
      <c r="AE706" s="33"/>
    </row>
    <row r="707" ht="15.75" customHeight="1">
      <c r="A707" s="33"/>
      <c r="H707" s="33"/>
      <c r="L707" s="33"/>
      <c r="N707" s="33"/>
      <c r="O707" s="33"/>
      <c r="P707" s="33"/>
      <c r="Q707" s="33"/>
      <c r="S707" s="33"/>
      <c r="U707" s="33"/>
      <c r="W707" s="33"/>
      <c r="X707" s="34"/>
      <c r="Y707" s="33"/>
      <c r="Z707" s="34"/>
      <c r="AA707" s="33"/>
      <c r="AB707" s="33"/>
      <c r="AC707" s="33"/>
      <c r="AD707" s="35"/>
      <c r="AE707" s="33"/>
    </row>
    <row r="708" ht="15.75" customHeight="1">
      <c r="A708" s="33"/>
      <c r="H708" s="33"/>
      <c r="L708" s="33"/>
      <c r="N708" s="33"/>
      <c r="O708" s="33"/>
      <c r="P708" s="33"/>
      <c r="Q708" s="33"/>
      <c r="S708" s="33"/>
      <c r="U708" s="33"/>
      <c r="W708" s="33"/>
      <c r="X708" s="34"/>
      <c r="Y708" s="33"/>
      <c r="Z708" s="34"/>
      <c r="AA708" s="33"/>
      <c r="AB708" s="33"/>
      <c r="AC708" s="33"/>
      <c r="AD708" s="35"/>
      <c r="AE708" s="33"/>
    </row>
    <row r="709" ht="15.75" customHeight="1">
      <c r="A709" s="33"/>
      <c r="H709" s="33"/>
      <c r="L709" s="33"/>
      <c r="N709" s="33"/>
      <c r="O709" s="33"/>
      <c r="P709" s="33"/>
      <c r="Q709" s="33"/>
      <c r="S709" s="33"/>
      <c r="U709" s="33"/>
      <c r="W709" s="33"/>
      <c r="X709" s="34"/>
      <c r="Y709" s="33"/>
      <c r="Z709" s="34"/>
      <c r="AA709" s="33"/>
      <c r="AB709" s="33"/>
      <c r="AC709" s="33"/>
      <c r="AD709" s="35"/>
      <c r="AE709" s="33"/>
    </row>
    <row r="710" ht="15.75" customHeight="1">
      <c r="A710" s="33"/>
      <c r="H710" s="33"/>
      <c r="L710" s="33"/>
      <c r="N710" s="33"/>
      <c r="O710" s="33"/>
      <c r="P710" s="33"/>
      <c r="Q710" s="33"/>
      <c r="S710" s="33"/>
      <c r="U710" s="33"/>
      <c r="W710" s="33"/>
      <c r="X710" s="34"/>
      <c r="Y710" s="33"/>
      <c r="Z710" s="34"/>
      <c r="AA710" s="33"/>
      <c r="AB710" s="33"/>
      <c r="AC710" s="33"/>
      <c r="AD710" s="35"/>
      <c r="AE710" s="33"/>
    </row>
    <row r="711" ht="15.75" customHeight="1">
      <c r="A711" s="33"/>
      <c r="H711" s="33"/>
      <c r="L711" s="33"/>
      <c r="N711" s="33"/>
      <c r="O711" s="33"/>
      <c r="P711" s="33"/>
      <c r="Q711" s="33"/>
      <c r="S711" s="33"/>
      <c r="U711" s="33"/>
      <c r="W711" s="33"/>
      <c r="X711" s="34"/>
      <c r="Y711" s="33"/>
      <c r="Z711" s="34"/>
      <c r="AA711" s="33"/>
      <c r="AB711" s="33"/>
      <c r="AC711" s="33"/>
      <c r="AD711" s="35"/>
      <c r="AE711" s="33"/>
    </row>
    <row r="712" ht="15.75" customHeight="1">
      <c r="A712" s="33"/>
      <c r="H712" s="33"/>
      <c r="L712" s="33"/>
      <c r="N712" s="33"/>
      <c r="O712" s="33"/>
      <c r="P712" s="33"/>
      <c r="Q712" s="33"/>
      <c r="S712" s="33"/>
      <c r="U712" s="33"/>
      <c r="W712" s="33"/>
      <c r="X712" s="34"/>
      <c r="Y712" s="33"/>
      <c r="Z712" s="34"/>
      <c r="AA712" s="33"/>
      <c r="AB712" s="33"/>
      <c r="AC712" s="33"/>
      <c r="AD712" s="35"/>
      <c r="AE712" s="33"/>
    </row>
    <row r="713" ht="15.75" customHeight="1">
      <c r="A713" s="33"/>
      <c r="H713" s="33"/>
      <c r="L713" s="33"/>
      <c r="N713" s="33"/>
      <c r="O713" s="33"/>
      <c r="P713" s="33"/>
      <c r="Q713" s="33"/>
      <c r="S713" s="33"/>
      <c r="U713" s="33"/>
      <c r="W713" s="33"/>
      <c r="X713" s="34"/>
      <c r="Y713" s="33"/>
      <c r="Z713" s="34"/>
      <c r="AA713" s="33"/>
      <c r="AB713" s="33"/>
      <c r="AC713" s="33"/>
      <c r="AD713" s="35"/>
      <c r="AE713" s="33"/>
    </row>
    <row r="714" ht="15.75" customHeight="1">
      <c r="A714" s="33"/>
      <c r="H714" s="33"/>
      <c r="L714" s="33"/>
      <c r="N714" s="33"/>
      <c r="O714" s="33"/>
      <c r="P714" s="33"/>
      <c r="Q714" s="33"/>
      <c r="S714" s="33"/>
      <c r="U714" s="33"/>
      <c r="W714" s="33"/>
      <c r="X714" s="34"/>
      <c r="Y714" s="33"/>
      <c r="Z714" s="34"/>
      <c r="AA714" s="33"/>
      <c r="AB714" s="33"/>
      <c r="AC714" s="33"/>
      <c r="AD714" s="35"/>
      <c r="AE714" s="33"/>
    </row>
    <row r="715" ht="15.75" customHeight="1">
      <c r="A715" s="33"/>
      <c r="H715" s="33"/>
      <c r="L715" s="33"/>
      <c r="N715" s="33"/>
      <c r="O715" s="33"/>
      <c r="P715" s="33"/>
      <c r="Q715" s="33"/>
      <c r="S715" s="33"/>
      <c r="U715" s="33"/>
      <c r="W715" s="33"/>
      <c r="X715" s="34"/>
      <c r="Y715" s="33"/>
      <c r="Z715" s="34"/>
      <c r="AA715" s="33"/>
      <c r="AB715" s="33"/>
      <c r="AC715" s="33"/>
      <c r="AD715" s="35"/>
      <c r="AE715" s="33"/>
    </row>
    <row r="716" ht="15.75" customHeight="1">
      <c r="A716" s="33"/>
      <c r="H716" s="33"/>
      <c r="L716" s="33"/>
      <c r="N716" s="33"/>
      <c r="O716" s="33"/>
      <c r="P716" s="33"/>
      <c r="Q716" s="33"/>
      <c r="S716" s="33"/>
      <c r="U716" s="33"/>
      <c r="W716" s="33"/>
      <c r="X716" s="34"/>
      <c r="Y716" s="33"/>
      <c r="Z716" s="34"/>
      <c r="AA716" s="33"/>
      <c r="AB716" s="33"/>
      <c r="AC716" s="33"/>
      <c r="AD716" s="35"/>
      <c r="AE716" s="33"/>
    </row>
    <row r="717" ht="15.75" customHeight="1">
      <c r="A717" s="33"/>
      <c r="H717" s="33"/>
      <c r="L717" s="33"/>
      <c r="N717" s="33"/>
      <c r="O717" s="33"/>
      <c r="P717" s="33"/>
      <c r="Q717" s="33"/>
      <c r="S717" s="33"/>
      <c r="U717" s="33"/>
      <c r="W717" s="33"/>
      <c r="X717" s="34"/>
      <c r="Y717" s="33"/>
      <c r="Z717" s="34"/>
      <c r="AA717" s="33"/>
      <c r="AB717" s="33"/>
      <c r="AC717" s="33"/>
      <c r="AD717" s="35"/>
      <c r="AE717" s="33"/>
    </row>
    <row r="718" ht="15.75" customHeight="1">
      <c r="A718" s="33"/>
      <c r="H718" s="33"/>
      <c r="L718" s="33"/>
      <c r="N718" s="33"/>
      <c r="O718" s="33"/>
      <c r="P718" s="33"/>
      <c r="Q718" s="33"/>
      <c r="S718" s="33"/>
      <c r="U718" s="33"/>
      <c r="W718" s="33"/>
      <c r="X718" s="34"/>
      <c r="Y718" s="33"/>
      <c r="Z718" s="34"/>
      <c r="AA718" s="33"/>
      <c r="AB718" s="33"/>
      <c r="AC718" s="33"/>
      <c r="AD718" s="35"/>
      <c r="AE718" s="33"/>
    </row>
    <row r="719" ht="15.75" customHeight="1">
      <c r="A719" s="33"/>
      <c r="H719" s="33"/>
      <c r="L719" s="33"/>
      <c r="N719" s="33"/>
      <c r="O719" s="33"/>
      <c r="P719" s="33"/>
      <c r="Q719" s="33"/>
      <c r="S719" s="33"/>
      <c r="U719" s="33"/>
      <c r="W719" s="33"/>
      <c r="X719" s="34"/>
      <c r="Y719" s="33"/>
      <c r="Z719" s="34"/>
      <c r="AA719" s="33"/>
      <c r="AB719" s="33"/>
      <c r="AC719" s="33"/>
      <c r="AD719" s="35"/>
      <c r="AE719" s="33"/>
    </row>
    <row r="720" ht="15.75" customHeight="1">
      <c r="A720" s="33"/>
      <c r="H720" s="33"/>
      <c r="L720" s="33"/>
      <c r="N720" s="33"/>
      <c r="O720" s="33"/>
      <c r="P720" s="33"/>
      <c r="Q720" s="33"/>
      <c r="S720" s="33"/>
      <c r="U720" s="33"/>
      <c r="W720" s="33"/>
      <c r="X720" s="34"/>
      <c r="Y720" s="33"/>
      <c r="Z720" s="34"/>
      <c r="AA720" s="33"/>
      <c r="AB720" s="33"/>
      <c r="AC720" s="33"/>
      <c r="AD720" s="35"/>
      <c r="AE720" s="33"/>
    </row>
    <row r="721" ht="15.75" customHeight="1">
      <c r="A721" s="33"/>
      <c r="H721" s="33"/>
      <c r="L721" s="33"/>
      <c r="N721" s="33"/>
      <c r="O721" s="33"/>
      <c r="P721" s="33"/>
      <c r="Q721" s="33"/>
      <c r="S721" s="33"/>
      <c r="U721" s="33"/>
      <c r="W721" s="33"/>
      <c r="X721" s="34"/>
      <c r="Y721" s="33"/>
      <c r="Z721" s="34"/>
      <c r="AA721" s="33"/>
      <c r="AB721" s="33"/>
      <c r="AC721" s="33"/>
      <c r="AD721" s="35"/>
      <c r="AE721" s="33"/>
    </row>
    <row r="722" ht="15.75" customHeight="1">
      <c r="A722" s="33"/>
      <c r="H722" s="33"/>
      <c r="L722" s="33"/>
      <c r="N722" s="33"/>
      <c r="O722" s="33"/>
      <c r="P722" s="33"/>
      <c r="Q722" s="33"/>
      <c r="S722" s="33"/>
      <c r="U722" s="33"/>
      <c r="W722" s="33"/>
      <c r="X722" s="34"/>
      <c r="Y722" s="33"/>
      <c r="Z722" s="34"/>
      <c r="AA722" s="33"/>
      <c r="AB722" s="33"/>
      <c r="AC722" s="33"/>
      <c r="AD722" s="35"/>
      <c r="AE722" s="33"/>
    </row>
    <row r="723" ht="15.75" customHeight="1">
      <c r="A723" s="33"/>
      <c r="H723" s="33"/>
      <c r="L723" s="33"/>
      <c r="N723" s="33"/>
      <c r="O723" s="33"/>
      <c r="P723" s="33"/>
      <c r="Q723" s="33"/>
      <c r="S723" s="33"/>
      <c r="U723" s="33"/>
      <c r="W723" s="33"/>
      <c r="X723" s="34"/>
      <c r="Y723" s="33"/>
      <c r="Z723" s="34"/>
      <c r="AA723" s="33"/>
      <c r="AB723" s="33"/>
      <c r="AC723" s="33"/>
      <c r="AD723" s="35"/>
      <c r="AE723" s="33"/>
    </row>
    <row r="724" ht="15.75" customHeight="1">
      <c r="A724" s="33"/>
      <c r="H724" s="33"/>
      <c r="L724" s="33"/>
      <c r="N724" s="33"/>
      <c r="O724" s="33"/>
      <c r="P724" s="33"/>
      <c r="Q724" s="33"/>
      <c r="S724" s="33"/>
      <c r="U724" s="33"/>
      <c r="W724" s="33"/>
      <c r="X724" s="34"/>
      <c r="Y724" s="33"/>
      <c r="Z724" s="34"/>
      <c r="AA724" s="33"/>
      <c r="AB724" s="33"/>
      <c r="AC724" s="33"/>
      <c r="AD724" s="35"/>
      <c r="AE724" s="33"/>
    </row>
    <row r="725" ht="15.75" customHeight="1">
      <c r="A725" s="33"/>
      <c r="H725" s="33"/>
      <c r="L725" s="33"/>
      <c r="N725" s="33"/>
      <c r="O725" s="33"/>
      <c r="P725" s="33"/>
      <c r="Q725" s="33"/>
      <c r="S725" s="33"/>
      <c r="U725" s="33"/>
      <c r="W725" s="33"/>
      <c r="X725" s="34"/>
      <c r="Y725" s="33"/>
      <c r="Z725" s="34"/>
      <c r="AA725" s="33"/>
      <c r="AB725" s="33"/>
      <c r="AC725" s="33"/>
      <c r="AD725" s="35"/>
      <c r="AE725" s="33"/>
    </row>
    <row r="726" ht="15.75" customHeight="1">
      <c r="A726" s="33"/>
      <c r="H726" s="33"/>
      <c r="L726" s="33"/>
      <c r="N726" s="33"/>
      <c r="O726" s="33"/>
      <c r="P726" s="33"/>
      <c r="Q726" s="33"/>
      <c r="S726" s="33"/>
      <c r="U726" s="33"/>
      <c r="W726" s="33"/>
      <c r="X726" s="34"/>
      <c r="Y726" s="33"/>
      <c r="Z726" s="34"/>
      <c r="AA726" s="33"/>
      <c r="AB726" s="33"/>
      <c r="AC726" s="33"/>
      <c r="AD726" s="35"/>
      <c r="AE726" s="33"/>
    </row>
    <row r="727" ht="15.75" customHeight="1">
      <c r="A727" s="33"/>
      <c r="H727" s="33"/>
      <c r="L727" s="33"/>
      <c r="N727" s="33"/>
      <c r="O727" s="33"/>
      <c r="P727" s="33"/>
      <c r="Q727" s="33"/>
      <c r="S727" s="33"/>
      <c r="U727" s="33"/>
      <c r="W727" s="33"/>
      <c r="X727" s="34"/>
      <c r="Y727" s="33"/>
      <c r="Z727" s="34"/>
      <c r="AA727" s="33"/>
      <c r="AB727" s="33"/>
      <c r="AC727" s="33"/>
      <c r="AD727" s="35"/>
      <c r="AE727" s="33"/>
    </row>
    <row r="728" ht="15.75" customHeight="1">
      <c r="A728" s="33"/>
      <c r="H728" s="33"/>
      <c r="L728" s="33"/>
      <c r="N728" s="33"/>
      <c r="O728" s="33"/>
      <c r="P728" s="33"/>
      <c r="Q728" s="33"/>
      <c r="S728" s="33"/>
      <c r="U728" s="33"/>
      <c r="W728" s="33"/>
      <c r="X728" s="34"/>
      <c r="Y728" s="33"/>
      <c r="Z728" s="34"/>
      <c r="AA728" s="33"/>
      <c r="AB728" s="33"/>
      <c r="AC728" s="33"/>
      <c r="AD728" s="35"/>
      <c r="AE728" s="33"/>
    </row>
    <row r="729" ht="15.75" customHeight="1">
      <c r="A729" s="33"/>
      <c r="H729" s="33"/>
      <c r="L729" s="33"/>
      <c r="N729" s="33"/>
      <c r="O729" s="33"/>
      <c r="P729" s="33"/>
      <c r="Q729" s="33"/>
      <c r="S729" s="33"/>
      <c r="U729" s="33"/>
      <c r="W729" s="33"/>
      <c r="X729" s="34"/>
      <c r="Y729" s="33"/>
      <c r="Z729" s="34"/>
      <c r="AA729" s="33"/>
      <c r="AB729" s="33"/>
      <c r="AC729" s="33"/>
      <c r="AD729" s="35"/>
      <c r="AE729" s="33"/>
    </row>
    <row r="730" ht="15.75" customHeight="1">
      <c r="A730" s="33"/>
      <c r="H730" s="33"/>
      <c r="L730" s="33"/>
      <c r="N730" s="33"/>
      <c r="O730" s="33"/>
      <c r="P730" s="33"/>
      <c r="Q730" s="33"/>
      <c r="S730" s="33"/>
      <c r="U730" s="33"/>
      <c r="W730" s="33"/>
      <c r="X730" s="34"/>
      <c r="Y730" s="33"/>
      <c r="Z730" s="34"/>
      <c r="AA730" s="33"/>
      <c r="AB730" s="33"/>
      <c r="AC730" s="33"/>
      <c r="AD730" s="35"/>
      <c r="AE730" s="33"/>
    </row>
    <row r="731" ht="15.75" customHeight="1">
      <c r="A731" s="33"/>
      <c r="H731" s="33"/>
      <c r="L731" s="33"/>
      <c r="N731" s="33"/>
      <c r="O731" s="33"/>
      <c r="P731" s="33"/>
      <c r="Q731" s="33"/>
      <c r="S731" s="33"/>
      <c r="U731" s="33"/>
      <c r="W731" s="33"/>
      <c r="X731" s="34"/>
      <c r="Y731" s="33"/>
      <c r="Z731" s="34"/>
      <c r="AA731" s="33"/>
      <c r="AB731" s="33"/>
      <c r="AC731" s="33"/>
      <c r="AD731" s="35"/>
      <c r="AE731" s="33"/>
    </row>
    <row r="732" ht="15.75" customHeight="1">
      <c r="A732" s="33"/>
      <c r="H732" s="33"/>
      <c r="L732" s="33"/>
      <c r="N732" s="33"/>
      <c r="O732" s="33"/>
      <c r="P732" s="33"/>
      <c r="Q732" s="33"/>
      <c r="S732" s="33"/>
      <c r="U732" s="33"/>
      <c r="W732" s="33"/>
      <c r="X732" s="34"/>
      <c r="Y732" s="33"/>
      <c r="Z732" s="34"/>
      <c r="AA732" s="33"/>
      <c r="AB732" s="33"/>
      <c r="AC732" s="33"/>
      <c r="AD732" s="35"/>
      <c r="AE732" s="33"/>
    </row>
    <row r="733" ht="15.75" customHeight="1">
      <c r="A733" s="33"/>
      <c r="H733" s="33"/>
      <c r="L733" s="33"/>
      <c r="N733" s="33"/>
      <c r="O733" s="33"/>
      <c r="P733" s="33"/>
      <c r="Q733" s="33"/>
      <c r="S733" s="33"/>
      <c r="U733" s="33"/>
      <c r="W733" s="33"/>
      <c r="X733" s="34"/>
      <c r="Y733" s="33"/>
      <c r="Z733" s="34"/>
      <c r="AA733" s="33"/>
      <c r="AB733" s="33"/>
      <c r="AC733" s="33"/>
      <c r="AD733" s="35"/>
      <c r="AE733" s="33"/>
    </row>
    <row r="734" ht="15.75" customHeight="1">
      <c r="A734" s="33"/>
      <c r="H734" s="33"/>
      <c r="L734" s="33"/>
      <c r="N734" s="33"/>
      <c r="O734" s="33"/>
      <c r="P734" s="33"/>
      <c r="Q734" s="33"/>
      <c r="S734" s="33"/>
      <c r="U734" s="33"/>
      <c r="W734" s="33"/>
      <c r="X734" s="34"/>
      <c r="Y734" s="33"/>
      <c r="Z734" s="34"/>
      <c r="AA734" s="33"/>
      <c r="AB734" s="33"/>
      <c r="AC734" s="33"/>
      <c r="AD734" s="35"/>
      <c r="AE734" s="33"/>
    </row>
    <row r="735" ht="15.75" customHeight="1">
      <c r="A735" s="33"/>
      <c r="H735" s="33"/>
      <c r="L735" s="33"/>
      <c r="N735" s="33"/>
      <c r="O735" s="33"/>
      <c r="P735" s="33"/>
      <c r="Q735" s="33"/>
      <c r="S735" s="33"/>
      <c r="U735" s="33"/>
      <c r="W735" s="33"/>
      <c r="X735" s="34"/>
      <c r="Y735" s="33"/>
      <c r="Z735" s="34"/>
      <c r="AA735" s="33"/>
      <c r="AB735" s="33"/>
      <c r="AC735" s="33"/>
      <c r="AD735" s="35"/>
      <c r="AE735" s="33"/>
    </row>
    <row r="736" ht="15.75" customHeight="1">
      <c r="A736" s="33"/>
      <c r="H736" s="33"/>
      <c r="L736" s="33"/>
      <c r="N736" s="33"/>
      <c r="O736" s="33"/>
      <c r="P736" s="33"/>
      <c r="Q736" s="33"/>
      <c r="S736" s="33"/>
      <c r="U736" s="33"/>
      <c r="W736" s="33"/>
      <c r="X736" s="34"/>
      <c r="Y736" s="33"/>
      <c r="Z736" s="34"/>
      <c r="AA736" s="33"/>
      <c r="AB736" s="33"/>
      <c r="AC736" s="33"/>
      <c r="AD736" s="35"/>
      <c r="AE736" s="33"/>
    </row>
    <row r="737" ht="15.75" customHeight="1">
      <c r="A737" s="33"/>
      <c r="H737" s="33"/>
      <c r="L737" s="33"/>
      <c r="N737" s="33"/>
      <c r="O737" s="33"/>
      <c r="P737" s="33"/>
      <c r="Q737" s="33"/>
      <c r="S737" s="33"/>
      <c r="U737" s="33"/>
      <c r="W737" s="33"/>
      <c r="X737" s="34"/>
      <c r="Y737" s="33"/>
      <c r="Z737" s="34"/>
      <c r="AA737" s="33"/>
      <c r="AB737" s="33"/>
      <c r="AC737" s="33"/>
      <c r="AD737" s="35"/>
      <c r="AE737" s="33"/>
    </row>
    <row r="738" ht="15.75" customHeight="1">
      <c r="A738" s="33"/>
      <c r="H738" s="33"/>
      <c r="L738" s="33"/>
      <c r="N738" s="33"/>
      <c r="O738" s="33"/>
      <c r="P738" s="33"/>
      <c r="Q738" s="33"/>
      <c r="S738" s="33"/>
      <c r="U738" s="33"/>
      <c r="W738" s="33"/>
      <c r="X738" s="34"/>
      <c r="Y738" s="33"/>
      <c r="Z738" s="34"/>
      <c r="AA738" s="33"/>
      <c r="AB738" s="33"/>
      <c r="AC738" s="33"/>
      <c r="AD738" s="35"/>
      <c r="AE738" s="33"/>
    </row>
    <row r="739" ht="15.75" customHeight="1">
      <c r="A739" s="33"/>
      <c r="H739" s="33"/>
      <c r="L739" s="33"/>
      <c r="N739" s="33"/>
      <c r="O739" s="33"/>
      <c r="P739" s="33"/>
      <c r="Q739" s="33"/>
      <c r="S739" s="33"/>
      <c r="U739" s="33"/>
      <c r="W739" s="33"/>
      <c r="X739" s="34"/>
      <c r="Y739" s="33"/>
      <c r="Z739" s="34"/>
      <c r="AA739" s="33"/>
      <c r="AB739" s="33"/>
      <c r="AC739" s="33"/>
      <c r="AD739" s="35"/>
      <c r="AE739" s="33"/>
    </row>
    <row r="740" ht="15.75" customHeight="1">
      <c r="A740" s="33"/>
      <c r="H740" s="33"/>
      <c r="L740" s="33"/>
      <c r="N740" s="33"/>
      <c r="O740" s="33"/>
      <c r="P740" s="33"/>
      <c r="Q740" s="33"/>
      <c r="S740" s="33"/>
      <c r="U740" s="33"/>
      <c r="W740" s="33"/>
      <c r="X740" s="34"/>
      <c r="Y740" s="33"/>
      <c r="Z740" s="34"/>
      <c r="AA740" s="33"/>
      <c r="AB740" s="33"/>
      <c r="AC740" s="33"/>
      <c r="AD740" s="35"/>
      <c r="AE740" s="33"/>
    </row>
    <row r="741" ht="15.75" customHeight="1">
      <c r="A741" s="33"/>
      <c r="H741" s="33"/>
      <c r="L741" s="33"/>
      <c r="N741" s="33"/>
      <c r="O741" s="33"/>
      <c r="P741" s="33"/>
      <c r="Q741" s="33"/>
      <c r="S741" s="33"/>
      <c r="U741" s="33"/>
      <c r="W741" s="33"/>
      <c r="X741" s="34"/>
      <c r="Y741" s="33"/>
      <c r="Z741" s="34"/>
      <c r="AA741" s="33"/>
      <c r="AB741" s="33"/>
      <c r="AC741" s="33"/>
      <c r="AD741" s="35"/>
      <c r="AE741" s="33"/>
    </row>
    <row r="742" ht="15.75" customHeight="1">
      <c r="A742" s="33"/>
      <c r="H742" s="33"/>
      <c r="L742" s="33"/>
      <c r="N742" s="33"/>
      <c r="O742" s="33"/>
      <c r="P742" s="33"/>
      <c r="Q742" s="33"/>
      <c r="S742" s="33"/>
      <c r="U742" s="33"/>
      <c r="W742" s="33"/>
      <c r="X742" s="34"/>
      <c r="Y742" s="33"/>
      <c r="Z742" s="34"/>
      <c r="AA742" s="33"/>
      <c r="AB742" s="33"/>
      <c r="AC742" s="33"/>
      <c r="AD742" s="35"/>
      <c r="AE742" s="33"/>
    </row>
    <row r="743" ht="15.75" customHeight="1">
      <c r="A743" s="33"/>
      <c r="H743" s="33"/>
      <c r="L743" s="33"/>
      <c r="N743" s="33"/>
      <c r="O743" s="33"/>
      <c r="P743" s="33"/>
      <c r="Q743" s="33"/>
      <c r="S743" s="33"/>
      <c r="U743" s="33"/>
      <c r="W743" s="33"/>
      <c r="X743" s="34"/>
      <c r="Y743" s="33"/>
      <c r="Z743" s="34"/>
      <c r="AA743" s="33"/>
      <c r="AB743" s="33"/>
      <c r="AC743" s="33"/>
      <c r="AD743" s="35"/>
      <c r="AE743" s="33"/>
    </row>
    <row r="744" ht="15.75" customHeight="1">
      <c r="A744" s="33"/>
      <c r="H744" s="33"/>
      <c r="L744" s="33"/>
      <c r="N744" s="33"/>
      <c r="O744" s="33"/>
      <c r="P744" s="33"/>
      <c r="Q744" s="33"/>
      <c r="S744" s="33"/>
      <c r="U744" s="33"/>
      <c r="W744" s="33"/>
      <c r="X744" s="34"/>
      <c r="Y744" s="33"/>
      <c r="Z744" s="34"/>
      <c r="AA744" s="33"/>
      <c r="AB744" s="33"/>
      <c r="AC744" s="33"/>
      <c r="AD744" s="35"/>
      <c r="AE744" s="33"/>
    </row>
    <row r="745" ht="15.75" customHeight="1">
      <c r="A745" s="33"/>
      <c r="H745" s="33"/>
      <c r="L745" s="33"/>
      <c r="N745" s="33"/>
      <c r="O745" s="33"/>
      <c r="P745" s="33"/>
      <c r="Q745" s="33"/>
      <c r="S745" s="33"/>
      <c r="U745" s="33"/>
      <c r="W745" s="33"/>
      <c r="X745" s="34"/>
      <c r="Y745" s="33"/>
      <c r="Z745" s="34"/>
      <c r="AA745" s="33"/>
      <c r="AB745" s="33"/>
      <c r="AC745" s="33"/>
      <c r="AD745" s="35"/>
      <c r="AE745" s="33"/>
    </row>
    <row r="746" ht="15.75" customHeight="1">
      <c r="A746" s="33"/>
      <c r="H746" s="33"/>
      <c r="L746" s="33"/>
      <c r="N746" s="33"/>
      <c r="O746" s="33"/>
      <c r="P746" s="33"/>
      <c r="Q746" s="33"/>
      <c r="S746" s="33"/>
      <c r="U746" s="33"/>
      <c r="W746" s="33"/>
      <c r="X746" s="34"/>
      <c r="Y746" s="33"/>
      <c r="Z746" s="34"/>
      <c r="AA746" s="33"/>
      <c r="AB746" s="33"/>
      <c r="AC746" s="33"/>
      <c r="AD746" s="35"/>
      <c r="AE746" s="33"/>
    </row>
    <row r="747" ht="15.75" customHeight="1">
      <c r="A747" s="33"/>
      <c r="H747" s="33"/>
      <c r="L747" s="33"/>
      <c r="N747" s="33"/>
      <c r="O747" s="33"/>
      <c r="P747" s="33"/>
      <c r="Q747" s="33"/>
      <c r="S747" s="33"/>
      <c r="U747" s="33"/>
      <c r="W747" s="33"/>
      <c r="X747" s="34"/>
      <c r="Y747" s="33"/>
      <c r="Z747" s="34"/>
      <c r="AA747" s="33"/>
      <c r="AB747" s="33"/>
      <c r="AC747" s="33"/>
      <c r="AD747" s="35"/>
      <c r="AE747" s="33"/>
    </row>
    <row r="748" ht="15.75" customHeight="1">
      <c r="A748" s="33"/>
      <c r="H748" s="33"/>
      <c r="L748" s="33"/>
      <c r="N748" s="33"/>
      <c r="O748" s="33"/>
      <c r="P748" s="33"/>
      <c r="Q748" s="33"/>
      <c r="S748" s="33"/>
      <c r="U748" s="33"/>
      <c r="W748" s="33"/>
      <c r="X748" s="34"/>
      <c r="Y748" s="33"/>
      <c r="Z748" s="34"/>
      <c r="AA748" s="33"/>
      <c r="AB748" s="33"/>
      <c r="AC748" s="33"/>
      <c r="AD748" s="35"/>
      <c r="AE748" s="33"/>
    </row>
    <row r="749" ht="15.75" customHeight="1">
      <c r="A749" s="33"/>
      <c r="H749" s="33"/>
      <c r="L749" s="33"/>
      <c r="N749" s="33"/>
      <c r="O749" s="33"/>
      <c r="P749" s="33"/>
      <c r="Q749" s="33"/>
      <c r="S749" s="33"/>
      <c r="U749" s="33"/>
      <c r="W749" s="33"/>
      <c r="X749" s="34"/>
      <c r="Y749" s="33"/>
      <c r="Z749" s="34"/>
      <c r="AA749" s="33"/>
      <c r="AB749" s="33"/>
      <c r="AC749" s="33"/>
      <c r="AD749" s="35"/>
      <c r="AE749" s="33"/>
    </row>
    <row r="750" ht="15.75" customHeight="1">
      <c r="A750" s="33"/>
      <c r="H750" s="33"/>
      <c r="L750" s="33"/>
      <c r="N750" s="33"/>
      <c r="O750" s="33"/>
      <c r="P750" s="33"/>
      <c r="Q750" s="33"/>
      <c r="S750" s="33"/>
      <c r="U750" s="33"/>
      <c r="W750" s="33"/>
      <c r="X750" s="34"/>
      <c r="Y750" s="33"/>
      <c r="Z750" s="34"/>
      <c r="AA750" s="33"/>
      <c r="AB750" s="33"/>
      <c r="AC750" s="33"/>
      <c r="AD750" s="35"/>
      <c r="AE750" s="33"/>
    </row>
    <row r="751" ht="15.75" customHeight="1">
      <c r="A751" s="33"/>
      <c r="H751" s="33"/>
      <c r="L751" s="33"/>
      <c r="N751" s="33"/>
      <c r="O751" s="33"/>
      <c r="P751" s="33"/>
      <c r="Q751" s="33"/>
      <c r="S751" s="33"/>
      <c r="U751" s="33"/>
      <c r="W751" s="33"/>
      <c r="X751" s="34"/>
      <c r="Y751" s="33"/>
      <c r="Z751" s="34"/>
      <c r="AA751" s="33"/>
      <c r="AB751" s="33"/>
      <c r="AC751" s="33"/>
      <c r="AD751" s="35"/>
      <c r="AE751" s="33"/>
    </row>
    <row r="752" ht="15.75" customHeight="1">
      <c r="A752" s="33"/>
      <c r="H752" s="33"/>
      <c r="L752" s="33"/>
      <c r="N752" s="33"/>
      <c r="O752" s="33"/>
      <c r="P752" s="33"/>
      <c r="Q752" s="33"/>
      <c r="S752" s="33"/>
      <c r="U752" s="33"/>
      <c r="W752" s="33"/>
      <c r="X752" s="34"/>
      <c r="Y752" s="33"/>
      <c r="Z752" s="34"/>
      <c r="AA752" s="33"/>
      <c r="AB752" s="33"/>
      <c r="AC752" s="33"/>
      <c r="AD752" s="35"/>
      <c r="AE752" s="33"/>
    </row>
    <row r="753" ht="15.75" customHeight="1">
      <c r="A753" s="33"/>
      <c r="H753" s="33"/>
      <c r="L753" s="33"/>
      <c r="N753" s="33"/>
      <c r="O753" s="33"/>
      <c r="P753" s="33"/>
      <c r="Q753" s="33"/>
      <c r="S753" s="33"/>
      <c r="U753" s="33"/>
      <c r="W753" s="33"/>
      <c r="X753" s="34"/>
      <c r="Y753" s="33"/>
      <c r="Z753" s="34"/>
      <c r="AA753" s="33"/>
      <c r="AB753" s="33"/>
      <c r="AC753" s="33"/>
      <c r="AD753" s="35"/>
      <c r="AE753" s="33"/>
    </row>
    <row r="754" ht="15.75" customHeight="1">
      <c r="A754" s="33"/>
      <c r="H754" s="33"/>
      <c r="L754" s="33"/>
      <c r="N754" s="33"/>
      <c r="O754" s="33"/>
      <c r="P754" s="33"/>
      <c r="Q754" s="33"/>
      <c r="S754" s="33"/>
      <c r="U754" s="33"/>
      <c r="W754" s="33"/>
      <c r="X754" s="34"/>
      <c r="Y754" s="33"/>
      <c r="Z754" s="34"/>
      <c r="AA754" s="33"/>
      <c r="AB754" s="33"/>
      <c r="AC754" s="33"/>
      <c r="AD754" s="35"/>
      <c r="AE754" s="33"/>
    </row>
    <row r="755" ht="15.75" customHeight="1">
      <c r="A755" s="33"/>
      <c r="H755" s="33"/>
      <c r="L755" s="33"/>
      <c r="N755" s="33"/>
      <c r="O755" s="33"/>
      <c r="P755" s="33"/>
      <c r="Q755" s="33"/>
      <c r="S755" s="33"/>
      <c r="U755" s="33"/>
      <c r="W755" s="33"/>
      <c r="X755" s="34"/>
      <c r="Y755" s="33"/>
      <c r="Z755" s="34"/>
      <c r="AA755" s="33"/>
      <c r="AB755" s="33"/>
      <c r="AC755" s="33"/>
      <c r="AD755" s="35"/>
      <c r="AE755" s="33"/>
    </row>
    <row r="756" ht="15.75" customHeight="1">
      <c r="A756" s="33"/>
      <c r="H756" s="33"/>
      <c r="L756" s="33"/>
      <c r="N756" s="33"/>
      <c r="O756" s="33"/>
      <c r="P756" s="33"/>
      <c r="Q756" s="33"/>
      <c r="S756" s="33"/>
      <c r="U756" s="33"/>
      <c r="W756" s="33"/>
      <c r="X756" s="34"/>
      <c r="Y756" s="33"/>
      <c r="Z756" s="34"/>
      <c r="AA756" s="33"/>
      <c r="AB756" s="33"/>
      <c r="AC756" s="33"/>
      <c r="AD756" s="35"/>
      <c r="AE756" s="33"/>
    </row>
    <row r="757" ht="15.75" customHeight="1">
      <c r="A757" s="33"/>
      <c r="H757" s="33"/>
      <c r="L757" s="33"/>
      <c r="N757" s="33"/>
      <c r="O757" s="33"/>
      <c r="P757" s="33"/>
      <c r="Q757" s="33"/>
      <c r="S757" s="33"/>
      <c r="U757" s="33"/>
      <c r="W757" s="33"/>
      <c r="X757" s="34"/>
      <c r="Y757" s="33"/>
      <c r="Z757" s="34"/>
      <c r="AA757" s="33"/>
      <c r="AB757" s="33"/>
      <c r="AC757" s="33"/>
      <c r="AD757" s="35"/>
      <c r="AE757" s="33"/>
    </row>
    <row r="758" ht="15.75" customHeight="1">
      <c r="A758" s="33"/>
      <c r="H758" s="33"/>
      <c r="L758" s="33"/>
      <c r="N758" s="33"/>
      <c r="O758" s="33"/>
      <c r="P758" s="33"/>
      <c r="Q758" s="33"/>
      <c r="S758" s="33"/>
      <c r="U758" s="33"/>
      <c r="W758" s="33"/>
      <c r="X758" s="34"/>
      <c r="Y758" s="33"/>
      <c r="Z758" s="34"/>
      <c r="AA758" s="33"/>
      <c r="AB758" s="33"/>
      <c r="AC758" s="33"/>
      <c r="AD758" s="35"/>
      <c r="AE758" s="33"/>
    </row>
    <row r="759" ht="15.75" customHeight="1">
      <c r="A759" s="33"/>
      <c r="H759" s="33"/>
      <c r="L759" s="33"/>
      <c r="N759" s="33"/>
      <c r="O759" s="33"/>
      <c r="P759" s="33"/>
      <c r="Q759" s="33"/>
      <c r="S759" s="33"/>
      <c r="U759" s="33"/>
      <c r="W759" s="33"/>
      <c r="X759" s="34"/>
      <c r="Y759" s="33"/>
      <c r="Z759" s="34"/>
      <c r="AA759" s="33"/>
      <c r="AB759" s="33"/>
      <c r="AC759" s="33"/>
      <c r="AD759" s="35"/>
      <c r="AE759" s="33"/>
    </row>
    <row r="760" ht="15.75" customHeight="1">
      <c r="A760" s="33"/>
      <c r="H760" s="33"/>
      <c r="L760" s="33"/>
      <c r="N760" s="33"/>
      <c r="O760" s="33"/>
      <c r="P760" s="33"/>
      <c r="Q760" s="33"/>
      <c r="S760" s="33"/>
      <c r="U760" s="33"/>
      <c r="W760" s="33"/>
      <c r="X760" s="34"/>
      <c r="Y760" s="33"/>
      <c r="Z760" s="34"/>
      <c r="AA760" s="33"/>
      <c r="AB760" s="33"/>
      <c r="AC760" s="33"/>
      <c r="AD760" s="35"/>
      <c r="AE760" s="33"/>
    </row>
    <row r="761" ht="15.75" customHeight="1">
      <c r="A761" s="33"/>
      <c r="H761" s="33"/>
      <c r="L761" s="33"/>
      <c r="N761" s="33"/>
      <c r="O761" s="33"/>
      <c r="P761" s="33"/>
      <c r="Q761" s="33"/>
      <c r="S761" s="33"/>
      <c r="U761" s="33"/>
      <c r="W761" s="33"/>
      <c r="X761" s="34"/>
      <c r="Y761" s="33"/>
      <c r="Z761" s="34"/>
      <c r="AA761" s="33"/>
      <c r="AB761" s="33"/>
      <c r="AC761" s="33"/>
      <c r="AD761" s="35"/>
      <c r="AE761" s="33"/>
    </row>
    <row r="762" ht="15.75" customHeight="1">
      <c r="A762" s="33"/>
      <c r="H762" s="33"/>
      <c r="L762" s="33"/>
      <c r="N762" s="33"/>
      <c r="O762" s="33"/>
      <c r="P762" s="33"/>
      <c r="Q762" s="33"/>
      <c r="S762" s="33"/>
      <c r="U762" s="33"/>
      <c r="W762" s="33"/>
      <c r="X762" s="34"/>
      <c r="Y762" s="33"/>
      <c r="Z762" s="34"/>
      <c r="AA762" s="33"/>
      <c r="AB762" s="33"/>
      <c r="AC762" s="33"/>
      <c r="AD762" s="35"/>
      <c r="AE762" s="33"/>
    </row>
    <row r="763" ht="15.75" customHeight="1">
      <c r="A763" s="33"/>
      <c r="H763" s="33"/>
      <c r="L763" s="33"/>
      <c r="N763" s="33"/>
      <c r="O763" s="33"/>
      <c r="P763" s="33"/>
      <c r="Q763" s="33"/>
      <c r="S763" s="33"/>
      <c r="U763" s="33"/>
      <c r="W763" s="33"/>
      <c r="X763" s="34"/>
      <c r="Y763" s="33"/>
      <c r="Z763" s="34"/>
      <c r="AA763" s="33"/>
      <c r="AB763" s="33"/>
      <c r="AC763" s="33"/>
      <c r="AD763" s="35"/>
      <c r="AE763" s="33"/>
    </row>
    <row r="764" ht="15.75" customHeight="1">
      <c r="A764" s="33"/>
      <c r="H764" s="33"/>
      <c r="L764" s="33"/>
      <c r="N764" s="33"/>
      <c r="O764" s="33"/>
      <c r="P764" s="33"/>
      <c r="Q764" s="33"/>
      <c r="S764" s="33"/>
      <c r="U764" s="33"/>
      <c r="W764" s="33"/>
      <c r="X764" s="34"/>
      <c r="Y764" s="33"/>
      <c r="Z764" s="34"/>
      <c r="AA764" s="33"/>
      <c r="AB764" s="33"/>
      <c r="AC764" s="33"/>
      <c r="AD764" s="35"/>
      <c r="AE764" s="33"/>
    </row>
    <row r="765" ht="15.75" customHeight="1">
      <c r="A765" s="33"/>
      <c r="H765" s="33"/>
      <c r="L765" s="33"/>
      <c r="N765" s="33"/>
      <c r="O765" s="33"/>
      <c r="P765" s="33"/>
      <c r="Q765" s="33"/>
      <c r="S765" s="33"/>
      <c r="U765" s="33"/>
      <c r="W765" s="33"/>
      <c r="X765" s="34"/>
      <c r="Y765" s="33"/>
      <c r="Z765" s="34"/>
      <c r="AA765" s="33"/>
      <c r="AB765" s="33"/>
      <c r="AC765" s="33"/>
      <c r="AD765" s="35"/>
      <c r="AE765" s="33"/>
    </row>
    <row r="766" ht="15.75" customHeight="1">
      <c r="A766" s="33"/>
      <c r="H766" s="33"/>
      <c r="L766" s="33"/>
      <c r="N766" s="33"/>
      <c r="O766" s="33"/>
      <c r="P766" s="33"/>
      <c r="Q766" s="33"/>
      <c r="S766" s="33"/>
      <c r="U766" s="33"/>
      <c r="W766" s="33"/>
      <c r="X766" s="34"/>
      <c r="Y766" s="33"/>
      <c r="Z766" s="34"/>
      <c r="AA766" s="33"/>
      <c r="AB766" s="33"/>
      <c r="AC766" s="33"/>
      <c r="AD766" s="35"/>
      <c r="AE766" s="33"/>
    </row>
    <row r="767" ht="15.75" customHeight="1">
      <c r="A767" s="33"/>
      <c r="H767" s="33"/>
      <c r="L767" s="33"/>
      <c r="N767" s="33"/>
      <c r="O767" s="33"/>
      <c r="P767" s="33"/>
      <c r="Q767" s="33"/>
      <c r="S767" s="33"/>
      <c r="U767" s="33"/>
      <c r="W767" s="33"/>
      <c r="X767" s="34"/>
      <c r="Y767" s="33"/>
      <c r="Z767" s="34"/>
      <c r="AA767" s="33"/>
      <c r="AB767" s="33"/>
      <c r="AC767" s="33"/>
      <c r="AD767" s="35"/>
      <c r="AE767" s="33"/>
    </row>
    <row r="768" ht="15.75" customHeight="1">
      <c r="A768" s="33"/>
      <c r="H768" s="33"/>
      <c r="L768" s="33"/>
      <c r="N768" s="33"/>
      <c r="O768" s="33"/>
      <c r="P768" s="33"/>
      <c r="Q768" s="33"/>
      <c r="S768" s="33"/>
      <c r="U768" s="33"/>
      <c r="W768" s="33"/>
      <c r="X768" s="34"/>
      <c r="Y768" s="33"/>
      <c r="Z768" s="34"/>
      <c r="AA768" s="33"/>
      <c r="AB768" s="33"/>
      <c r="AC768" s="33"/>
      <c r="AD768" s="35"/>
      <c r="AE768" s="33"/>
    </row>
    <row r="769" ht="15.75" customHeight="1">
      <c r="A769" s="33"/>
      <c r="H769" s="33"/>
      <c r="L769" s="33"/>
      <c r="N769" s="33"/>
      <c r="O769" s="33"/>
      <c r="P769" s="33"/>
      <c r="Q769" s="33"/>
      <c r="S769" s="33"/>
      <c r="U769" s="33"/>
      <c r="W769" s="33"/>
      <c r="X769" s="34"/>
      <c r="Y769" s="33"/>
      <c r="Z769" s="34"/>
      <c r="AA769" s="33"/>
      <c r="AB769" s="33"/>
      <c r="AC769" s="33"/>
      <c r="AD769" s="35"/>
      <c r="AE769" s="33"/>
    </row>
    <row r="770" ht="15.75" customHeight="1">
      <c r="A770" s="33"/>
      <c r="H770" s="33"/>
      <c r="L770" s="33"/>
      <c r="N770" s="33"/>
      <c r="O770" s="33"/>
      <c r="P770" s="33"/>
      <c r="Q770" s="33"/>
      <c r="S770" s="33"/>
      <c r="U770" s="33"/>
      <c r="W770" s="33"/>
      <c r="X770" s="34"/>
      <c r="Y770" s="33"/>
      <c r="Z770" s="34"/>
      <c r="AA770" s="33"/>
      <c r="AB770" s="33"/>
      <c r="AC770" s="33"/>
      <c r="AD770" s="35"/>
      <c r="AE770" s="33"/>
    </row>
    <row r="771" ht="15.75" customHeight="1">
      <c r="A771" s="33"/>
      <c r="H771" s="33"/>
      <c r="L771" s="33"/>
      <c r="N771" s="33"/>
      <c r="O771" s="33"/>
      <c r="P771" s="33"/>
      <c r="Q771" s="33"/>
      <c r="S771" s="33"/>
      <c r="U771" s="33"/>
      <c r="W771" s="33"/>
      <c r="X771" s="34"/>
      <c r="Y771" s="33"/>
      <c r="Z771" s="34"/>
      <c r="AA771" s="33"/>
      <c r="AB771" s="33"/>
      <c r="AC771" s="33"/>
      <c r="AD771" s="35"/>
      <c r="AE771" s="33"/>
    </row>
    <row r="772" ht="15.75" customHeight="1">
      <c r="A772" s="33"/>
      <c r="H772" s="33"/>
      <c r="L772" s="33"/>
      <c r="N772" s="33"/>
      <c r="O772" s="33"/>
      <c r="P772" s="33"/>
      <c r="Q772" s="33"/>
      <c r="S772" s="33"/>
      <c r="U772" s="33"/>
      <c r="W772" s="33"/>
      <c r="X772" s="34"/>
      <c r="Y772" s="33"/>
      <c r="Z772" s="34"/>
      <c r="AA772" s="33"/>
      <c r="AB772" s="33"/>
      <c r="AC772" s="33"/>
      <c r="AD772" s="35"/>
      <c r="AE772" s="33"/>
    </row>
    <row r="773" ht="15.75" customHeight="1">
      <c r="A773" s="33"/>
      <c r="H773" s="33"/>
      <c r="L773" s="33"/>
      <c r="N773" s="33"/>
      <c r="O773" s="33"/>
      <c r="P773" s="33"/>
      <c r="Q773" s="33"/>
      <c r="S773" s="33"/>
      <c r="U773" s="33"/>
      <c r="W773" s="33"/>
      <c r="X773" s="34"/>
      <c r="Y773" s="33"/>
      <c r="Z773" s="34"/>
      <c r="AA773" s="33"/>
      <c r="AB773" s="33"/>
      <c r="AC773" s="33"/>
      <c r="AD773" s="35"/>
      <c r="AE773" s="33"/>
    </row>
    <row r="774" ht="15.75" customHeight="1">
      <c r="A774" s="33"/>
      <c r="H774" s="33"/>
      <c r="L774" s="33"/>
      <c r="N774" s="33"/>
      <c r="O774" s="33"/>
      <c r="P774" s="33"/>
      <c r="Q774" s="33"/>
      <c r="S774" s="33"/>
      <c r="U774" s="33"/>
      <c r="W774" s="33"/>
      <c r="X774" s="34"/>
      <c r="Y774" s="33"/>
      <c r="Z774" s="34"/>
      <c r="AA774" s="33"/>
      <c r="AB774" s="33"/>
      <c r="AC774" s="33"/>
      <c r="AD774" s="35"/>
      <c r="AE774" s="33"/>
    </row>
    <row r="775" ht="15.75" customHeight="1">
      <c r="A775" s="33"/>
      <c r="H775" s="33"/>
      <c r="L775" s="33"/>
      <c r="N775" s="33"/>
      <c r="O775" s="33"/>
      <c r="P775" s="33"/>
      <c r="Q775" s="33"/>
      <c r="S775" s="33"/>
      <c r="U775" s="33"/>
      <c r="W775" s="33"/>
      <c r="X775" s="34"/>
      <c r="Y775" s="33"/>
      <c r="Z775" s="34"/>
      <c r="AA775" s="33"/>
      <c r="AB775" s="33"/>
      <c r="AC775" s="33"/>
      <c r="AD775" s="35"/>
      <c r="AE775" s="33"/>
    </row>
    <row r="776" ht="15.75" customHeight="1">
      <c r="A776" s="33"/>
      <c r="H776" s="33"/>
      <c r="L776" s="33"/>
      <c r="N776" s="33"/>
      <c r="O776" s="33"/>
      <c r="P776" s="33"/>
      <c r="Q776" s="33"/>
      <c r="S776" s="33"/>
      <c r="U776" s="33"/>
      <c r="W776" s="33"/>
      <c r="X776" s="34"/>
      <c r="Y776" s="33"/>
      <c r="Z776" s="34"/>
      <c r="AA776" s="33"/>
      <c r="AB776" s="33"/>
      <c r="AC776" s="33"/>
      <c r="AD776" s="35"/>
      <c r="AE776" s="33"/>
    </row>
    <row r="777" ht="15.75" customHeight="1">
      <c r="A777" s="33"/>
      <c r="H777" s="33"/>
      <c r="L777" s="33"/>
      <c r="N777" s="33"/>
      <c r="O777" s="33"/>
      <c r="P777" s="33"/>
      <c r="Q777" s="33"/>
      <c r="S777" s="33"/>
      <c r="U777" s="33"/>
      <c r="W777" s="33"/>
      <c r="X777" s="34"/>
      <c r="Y777" s="33"/>
      <c r="Z777" s="34"/>
      <c r="AA777" s="33"/>
      <c r="AB777" s="33"/>
      <c r="AC777" s="33"/>
      <c r="AD777" s="35"/>
      <c r="AE777" s="33"/>
    </row>
    <row r="778" ht="15.75" customHeight="1">
      <c r="A778" s="33"/>
      <c r="H778" s="33"/>
      <c r="L778" s="33"/>
      <c r="N778" s="33"/>
      <c r="O778" s="33"/>
      <c r="P778" s="33"/>
      <c r="Q778" s="33"/>
      <c r="S778" s="33"/>
      <c r="U778" s="33"/>
      <c r="W778" s="33"/>
      <c r="X778" s="34"/>
      <c r="Y778" s="33"/>
      <c r="Z778" s="34"/>
      <c r="AA778" s="33"/>
      <c r="AB778" s="33"/>
      <c r="AC778" s="33"/>
      <c r="AD778" s="35"/>
      <c r="AE778" s="33"/>
    </row>
    <row r="779" ht="15.75" customHeight="1">
      <c r="A779" s="33"/>
      <c r="H779" s="33"/>
      <c r="L779" s="33"/>
      <c r="N779" s="33"/>
      <c r="O779" s="33"/>
      <c r="P779" s="33"/>
      <c r="Q779" s="33"/>
      <c r="S779" s="33"/>
      <c r="U779" s="33"/>
      <c r="W779" s="33"/>
      <c r="X779" s="34"/>
      <c r="Y779" s="33"/>
      <c r="Z779" s="34"/>
      <c r="AA779" s="33"/>
      <c r="AB779" s="33"/>
      <c r="AC779" s="33"/>
      <c r="AD779" s="35"/>
      <c r="AE779" s="33"/>
    </row>
    <row r="780" ht="15.75" customHeight="1">
      <c r="A780" s="33"/>
      <c r="H780" s="33"/>
      <c r="L780" s="33"/>
      <c r="N780" s="33"/>
      <c r="O780" s="33"/>
      <c r="P780" s="33"/>
      <c r="Q780" s="33"/>
      <c r="S780" s="33"/>
      <c r="U780" s="33"/>
      <c r="W780" s="33"/>
      <c r="X780" s="34"/>
      <c r="Y780" s="33"/>
      <c r="Z780" s="34"/>
      <c r="AA780" s="33"/>
      <c r="AB780" s="33"/>
      <c r="AC780" s="33"/>
      <c r="AD780" s="35"/>
      <c r="AE780" s="33"/>
    </row>
    <row r="781" ht="15.75" customHeight="1">
      <c r="A781" s="33"/>
      <c r="H781" s="33"/>
      <c r="L781" s="33"/>
      <c r="N781" s="33"/>
      <c r="O781" s="33"/>
      <c r="P781" s="33"/>
      <c r="Q781" s="33"/>
      <c r="S781" s="33"/>
      <c r="U781" s="33"/>
      <c r="W781" s="33"/>
      <c r="X781" s="34"/>
      <c r="Y781" s="33"/>
      <c r="Z781" s="34"/>
      <c r="AA781" s="33"/>
      <c r="AB781" s="33"/>
      <c r="AC781" s="33"/>
      <c r="AD781" s="35"/>
      <c r="AE781" s="33"/>
    </row>
    <row r="782" ht="15.75" customHeight="1">
      <c r="A782" s="33"/>
      <c r="H782" s="33"/>
      <c r="L782" s="33"/>
      <c r="N782" s="33"/>
      <c r="O782" s="33"/>
      <c r="P782" s="33"/>
      <c r="Q782" s="33"/>
      <c r="S782" s="33"/>
      <c r="U782" s="33"/>
      <c r="W782" s="33"/>
      <c r="X782" s="34"/>
      <c r="Y782" s="33"/>
      <c r="Z782" s="34"/>
      <c r="AA782" s="33"/>
      <c r="AB782" s="33"/>
      <c r="AC782" s="33"/>
      <c r="AD782" s="35"/>
      <c r="AE782" s="33"/>
    </row>
    <row r="783" ht="15.75" customHeight="1">
      <c r="A783" s="33"/>
      <c r="H783" s="33"/>
      <c r="L783" s="33"/>
      <c r="N783" s="33"/>
      <c r="O783" s="33"/>
      <c r="P783" s="33"/>
      <c r="Q783" s="33"/>
      <c r="S783" s="33"/>
      <c r="U783" s="33"/>
      <c r="W783" s="33"/>
      <c r="X783" s="34"/>
      <c r="Y783" s="33"/>
      <c r="Z783" s="34"/>
      <c r="AA783" s="33"/>
      <c r="AB783" s="33"/>
      <c r="AC783" s="33"/>
      <c r="AD783" s="35"/>
      <c r="AE783" s="33"/>
    </row>
    <row r="784" ht="15.75" customHeight="1">
      <c r="A784" s="33"/>
      <c r="H784" s="33"/>
      <c r="L784" s="33"/>
      <c r="N784" s="33"/>
      <c r="O784" s="33"/>
      <c r="P784" s="33"/>
      <c r="Q784" s="33"/>
      <c r="S784" s="33"/>
      <c r="U784" s="33"/>
      <c r="W784" s="33"/>
      <c r="X784" s="34"/>
      <c r="Y784" s="33"/>
      <c r="Z784" s="34"/>
      <c r="AA784" s="33"/>
      <c r="AB784" s="33"/>
      <c r="AC784" s="33"/>
      <c r="AD784" s="35"/>
      <c r="AE784" s="33"/>
    </row>
    <row r="785" ht="15.75" customHeight="1">
      <c r="A785" s="33"/>
      <c r="H785" s="33"/>
      <c r="L785" s="33"/>
      <c r="N785" s="33"/>
      <c r="O785" s="33"/>
      <c r="P785" s="33"/>
      <c r="Q785" s="33"/>
      <c r="S785" s="33"/>
      <c r="U785" s="33"/>
      <c r="W785" s="33"/>
      <c r="X785" s="34"/>
      <c r="Y785" s="33"/>
      <c r="Z785" s="34"/>
      <c r="AA785" s="33"/>
      <c r="AB785" s="33"/>
      <c r="AC785" s="33"/>
      <c r="AD785" s="35"/>
      <c r="AE785" s="33"/>
    </row>
    <row r="786" ht="15.75" customHeight="1">
      <c r="A786" s="33"/>
      <c r="H786" s="33"/>
      <c r="L786" s="33"/>
      <c r="N786" s="33"/>
      <c r="O786" s="33"/>
      <c r="P786" s="33"/>
      <c r="Q786" s="33"/>
      <c r="S786" s="33"/>
      <c r="U786" s="33"/>
      <c r="W786" s="33"/>
      <c r="X786" s="34"/>
      <c r="Y786" s="33"/>
      <c r="Z786" s="34"/>
      <c r="AA786" s="33"/>
      <c r="AB786" s="33"/>
      <c r="AC786" s="33"/>
      <c r="AD786" s="35"/>
      <c r="AE786" s="33"/>
    </row>
    <row r="787" ht="15.75" customHeight="1">
      <c r="A787" s="33"/>
      <c r="H787" s="33"/>
      <c r="L787" s="33"/>
      <c r="N787" s="33"/>
      <c r="O787" s="33"/>
      <c r="P787" s="33"/>
      <c r="Q787" s="33"/>
      <c r="S787" s="33"/>
      <c r="U787" s="33"/>
      <c r="W787" s="33"/>
      <c r="X787" s="34"/>
      <c r="Y787" s="33"/>
      <c r="Z787" s="34"/>
      <c r="AA787" s="33"/>
      <c r="AB787" s="33"/>
      <c r="AC787" s="33"/>
      <c r="AD787" s="35"/>
      <c r="AE787" s="33"/>
    </row>
    <row r="788" ht="15.75" customHeight="1">
      <c r="A788" s="33"/>
      <c r="H788" s="33"/>
      <c r="L788" s="33"/>
      <c r="N788" s="33"/>
      <c r="O788" s="33"/>
      <c r="P788" s="33"/>
      <c r="Q788" s="33"/>
      <c r="S788" s="33"/>
      <c r="U788" s="33"/>
      <c r="W788" s="33"/>
      <c r="X788" s="34"/>
      <c r="Y788" s="33"/>
      <c r="Z788" s="34"/>
      <c r="AA788" s="33"/>
      <c r="AB788" s="33"/>
      <c r="AC788" s="33"/>
      <c r="AD788" s="35"/>
      <c r="AE788" s="33"/>
    </row>
    <row r="789" ht="15.75" customHeight="1">
      <c r="A789" s="33"/>
      <c r="H789" s="33"/>
      <c r="L789" s="33"/>
      <c r="N789" s="33"/>
      <c r="O789" s="33"/>
      <c r="P789" s="33"/>
      <c r="Q789" s="33"/>
      <c r="S789" s="33"/>
      <c r="U789" s="33"/>
      <c r="W789" s="33"/>
      <c r="X789" s="34"/>
      <c r="Y789" s="33"/>
      <c r="Z789" s="34"/>
      <c r="AA789" s="33"/>
      <c r="AB789" s="33"/>
      <c r="AC789" s="33"/>
      <c r="AD789" s="35"/>
      <c r="AE789" s="33"/>
    </row>
    <row r="790" ht="15.75" customHeight="1">
      <c r="A790" s="33"/>
      <c r="H790" s="33"/>
      <c r="L790" s="33"/>
      <c r="N790" s="33"/>
      <c r="O790" s="33"/>
      <c r="P790" s="33"/>
      <c r="Q790" s="33"/>
      <c r="S790" s="33"/>
      <c r="U790" s="33"/>
      <c r="W790" s="33"/>
      <c r="X790" s="34"/>
      <c r="Y790" s="33"/>
      <c r="Z790" s="34"/>
      <c r="AA790" s="33"/>
      <c r="AB790" s="33"/>
      <c r="AC790" s="33"/>
      <c r="AD790" s="35"/>
      <c r="AE790" s="33"/>
    </row>
    <row r="791" ht="15.75" customHeight="1">
      <c r="A791" s="33"/>
      <c r="H791" s="33"/>
      <c r="L791" s="33"/>
      <c r="N791" s="33"/>
      <c r="O791" s="33"/>
      <c r="P791" s="33"/>
      <c r="Q791" s="33"/>
      <c r="S791" s="33"/>
      <c r="U791" s="33"/>
      <c r="W791" s="33"/>
      <c r="X791" s="34"/>
      <c r="Y791" s="33"/>
      <c r="Z791" s="34"/>
      <c r="AA791" s="33"/>
      <c r="AB791" s="33"/>
      <c r="AC791" s="33"/>
      <c r="AD791" s="35"/>
      <c r="AE791" s="33"/>
    </row>
    <row r="792" ht="15.75" customHeight="1">
      <c r="A792" s="33"/>
      <c r="H792" s="33"/>
      <c r="L792" s="33"/>
      <c r="N792" s="33"/>
      <c r="O792" s="33"/>
      <c r="P792" s="33"/>
      <c r="Q792" s="33"/>
      <c r="S792" s="33"/>
      <c r="U792" s="33"/>
      <c r="W792" s="33"/>
      <c r="X792" s="34"/>
      <c r="Y792" s="33"/>
      <c r="Z792" s="34"/>
      <c r="AA792" s="33"/>
      <c r="AB792" s="33"/>
      <c r="AC792" s="33"/>
      <c r="AD792" s="35"/>
      <c r="AE792" s="33"/>
    </row>
    <row r="793" ht="15.75" customHeight="1">
      <c r="A793" s="33"/>
      <c r="H793" s="33"/>
      <c r="L793" s="33"/>
      <c r="N793" s="33"/>
      <c r="O793" s="33"/>
      <c r="P793" s="33"/>
      <c r="Q793" s="33"/>
      <c r="S793" s="33"/>
      <c r="U793" s="33"/>
      <c r="W793" s="33"/>
      <c r="X793" s="34"/>
      <c r="Y793" s="33"/>
      <c r="Z793" s="34"/>
      <c r="AA793" s="33"/>
      <c r="AB793" s="33"/>
      <c r="AC793" s="33"/>
      <c r="AD793" s="35"/>
      <c r="AE793" s="33"/>
    </row>
    <row r="794" ht="15.75" customHeight="1">
      <c r="A794" s="33"/>
      <c r="H794" s="33"/>
      <c r="L794" s="33"/>
      <c r="N794" s="33"/>
      <c r="O794" s="33"/>
      <c r="P794" s="33"/>
      <c r="Q794" s="33"/>
      <c r="S794" s="33"/>
      <c r="U794" s="33"/>
      <c r="W794" s="33"/>
      <c r="X794" s="34"/>
      <c r="Y794" s="33"/>
      <c r="Z794" s="34"/>
      <c r="AA794" s="33"/>
      <c r="AB794" s="33"/>
      <c r="AC794" s="33"/>
      <c r="AD794" s="35"/>
      <c r="AE794" s="33"/>
    </row>
    <row r="795" ht="15.75" customHeight="1">
      <c r="A795" s="33"/>
      <c r="H795" s="33"/>
      <c r="L795" s="33"/>
      <c r="N795" s="33"/>
      <c r="O795" s="33"/>
      <c r="P795" s="33"/>
      <c r="Q795" s="33"/>
      <c r="S795" s="33"/>
      <c r="U795" s="33"/>
      <c r="W795" s="33"/>
      <c r="X795" s="34"/>
      <c r="Y795" s="33"/>
      <c r="Z795" s="34"/>
      <c r="AA795" s="33"/>
      <c r="AB795" s="33"/>
      <c r="AC795" s="33"/>
      <c r="AD795" s="35"/>
      <c r="AE795" s="33"/>
    </row>
    <row r="796" ht="15.75" customHeight="1">
      <c r="A796" s="33"/>
      <c r="H796" s="33"/>
      <c r="L796" s="33"/>
      <c r="N796" s="33"/>
      <c r="O796" s="33"/>
      <c r="P796" s="33"/>
      <c r="Q796" s="33"/>
      <c r="S796" s="33"/>
      <c r="U796" s="33"/>
      <c r="W796" s="33"/>
      <c r="X796" s="34"/>
      <c r="Y796" s="33"/>
      <c r="Z796" s="34"/>
      <c r="AA796" s="33"/>
      <c r="AB796" s="33"/>
      <c r="AC796" s="33"/>
      <c r="AD796" s="35"/>
      <c r="AE796" s="33"/>
    </row>
    <row r="797" ht="15.75" customHeight="1">
      <c r="A797" s="33"/>
      <c r="H797" s="33"/>
      <c r="L797" s="33"/>
      <c r="N797" s="33"/>
      <c r="O797" s="33"/>
      <c r="P797" s="33"/>
      <c r="Q797" s="33"/>
      <c r="S797" s="33"/>
      <c r="U797" s="33"/>
      <c r="W797" s="33"/>
      <c r="X797" s="34"/>
      <c r="Y797" s="33"/>
      <c r="Z797" s="34"/>
      <c r="AA797" s="33"/>
      <c r="AB797" s="33"/>
      <c r="AC797" s="33"/>
      <c r="AD797" s="35"/>
      <c r="AE797" s="33"/>
    </row>
    <row r="798" ht="15.75" customHeight="1">
      <c r="A798" s="33"/>
      <c r="H798" s="33"/>
      <c r="L798" s="33"/>
      <c r="N798" s="33"/>
      <c r="O798" s="33"/>
      <c r="P798" s="33"/>
      <c r="Q798" s="33"/>
      <c r="S798" s="33"/>
      <c r="U798" s="33"/>
      <c r="W798" s="33"/>
      <c r="X798" s="34"/>
      <c r="Y798" s="33"/>
      <c r="Z798" s="34"/>
      <c r="AA798" s="33"/>
      <c r="AB798" s="33"/>
      <c r="AC798" s="33"/>
      <c r="AD798" s="35"/>
      <c r="AE798" s="33"/>
    </row>
    <row r="799" ht="15.75" customHeight="1">
      <c r="A799" s="33"/>
      <c r="H799" s="33"/>
      <c r="L799" s="33"/>
      <c r="N799" s="33"/>
      <c r="O799" s="33"/>
      <c r="P799" s="33"/>
      <c r="Q799" s="33"/>
      <c r="S799" s="33"/>
      <c r="U799" s="33"/>
      <c r="W799" s="33"/>
      <c r="X799" s="34"/>
      <c r="Y799" s="33"/>
      <c r="Z799" s="34"/>
      <c r="AA799" s="33"/>
      <c r="AB799" s="33"/>
      <c r="AC799" s="33"/>
      <c r="AD799" s="35"/>
      <c r="AE799" s="33"/>
    </row>
    <row r="800" ht="15.75" customHeight="1">
      <c r="A800" s="33"/>
      <c r="H800" s="33"/>
      <c r="L800" s="33"/>
      <c r="N800" s="33"/>
      <c r="O800" s="33"/>
      <c r="P800" s="33"/>
      <c r="Q800" s="33"/>
      <c r="S800" s="33"/>
      <c r="U800" s="33"/>
      <c r="W800" s="33"/>
      <c r="X800" s="34"/>
      <c r="Y800" s="33"/>
      <c r="Z800" s="34"/>
      <c r="AA800" s="33"/>
      <c r="AB800" s="33"/>
      <c r="AC800" s="33"/>
      <c r="AD800" s="35"/>
      <c r="AE800" s="33"/>
    </row>
    <row r="801" ht="15.75" customHeight="1">
      <c r="A801" s="33"/>
      <c r="H801" s="33"/>
      <c r="L801" s="33"/>
      <c r="N801" s="33"/>
      <c r="O801" s="33"/>
      <c r="P801" s="33"/>
      <c r="Q801" s="33"/>
      <c r="S801" s="33"/>
      <c r="U801" s="33"/>
      <c r="W801" s="33"/>
      <c r="X801" s="34"/>
      <c r="Y801" s="33"/>
      <c r="Z801" s="34"/>
      <c r="AA801" s="33"/>
      <c r="AB801" s="33"/>
      <c r="AC801" s="33"/>
      <c r="AD801" s="35"/>
      <c r="AE801" s="33"/>
    </row>
    <row r="802" ht="15.75" customHeight="1">
      <c r="A802" s="33"/>
      <c r="H802" s="33"/>
      <c r="L802" s="33"/>
      <c r="N802" s="33"/>
      <c r="O802" s="33"/>
      <c r="P802" s="33"/>
      <c r="Q802" s="33"/>
      <c r="S802" s="33"/>
      <c r="U802" s="33"/>
      <c r="W802" s="33"/>
      <c r="X802" s="34"/>
      <c r="Y802" s="33"/>
      <c r="Z802" s="34"/>
      <c r="AA802" s="33"/>
      <c r="AB802" s="33"/>
      <c r="AC802" s="33"/>
      <c r="AD802" s="35"/>
      <c r="AE802" s="33"/>
    </row>
    <row r="803" ht="15.75" customHeight="1">
      <c r="A803" s="33"/>
      <c r="H803" s="33"/>
      <c r="L803" s="33"/>
      <c r="N803" s="33"/>
      <c r="O803" s="33"/>
      <c r="P803" s="33"/>
      <c r="Q803" s="33"/>
      <c r="S803" s="33"/>
      <c r="U803" s="33"/>
      <c r="W803" s="33"/>
      <c r="X803" s="34"/>
      <c r="Y803" s="33"/>
      <c r="Z803" s="34"/>
      <c r="AA803" s="33"/>
      <c r="AB803" s="33"/>
      <c r="AC803" s="33"/>
      <c r="AD803" s="35"/>
      <c r="AE803" s="33"/>
    </row>
    <row r="804" ht="15.75" customHeight="1">
      <c r="A804" s="33"/>
      <c r="H804" s="33"/>
      <c r="L804" s="33"/>
      <c r="N804" s="33"/>
      <c r="O804" s="33"/>
      <c r="P804" s="33"/>
      <c r="Q804" s="33"/>
      <c r="S804" s="33"/>
      <c r="U804" s="33"/>
      <c r="W804" s="33"/>
      <c r="X804" s="34"/>
      <c r="Y804" s="33"/>
      <c r="Z804" s="34"/>
      <c r="AA804" s="33"/>
      <c r="AB804" s="33"/>
      <c r="AC804" s="33"/>
      <c r="AD804" s="35"/>
      <c r="AE804" s="33"/>
    </row>
    <row r="805" ht="15.75" customHeight="1">
      <c r="A805" s="33"/>
      <c r="H805" s="33"/>
      <c r="L805" s="33"/>
      <c r="N805" s="33"/>
      <c r="O805" s="33"/>
      <c r="P805" s="33"/>
      <c r="Q805" s="33"/>
      <c r="S805" s="33"/>
      <c r="U805" s="33"/>
      <c r="W805" s="33"/>
      <c r="X805" s="34"/>
      <c r="Y805" s="33"/>
      <c r="Z805" s="34"/>
      <c r="AA805" s="33"/>
      <c r="AB805" s="33"/>
      <c r="AC805" s="33"/>
      <c r="AD805" s="35"/>
      <c r="AE805" s="33"/>
    </row>
    <row r="806" ht="15.75" customHeight="1">
      <c r="A806" s="33"/>
      <c r="H806" s="33"/>
      <c r="L806" s="33"/>
      <c r="N806" s="33"/>
      <c r="O806" s="33"/>
      <c r="P806" s="33"/>
      <c r="Q806" s="33"/>
      <c r="S806" s="33"/>
      <c r="U806" s="33"/>
      <c r="W806" s="33"/>
      <c r="X806" s="34"/>
      <c r="Y806" s="33"/>
      <c r="Z806" s="34"/>
      <c r="AA806" s="33"/>
      <c r="AB806" s="33"/>
      <c r="AC806" s="33"/>
      <c r="AD806" s="35"/>
      <c r="AE806" s="33"/>
    </row>
    <row r="807" ht="15.75" customHeight="1">
      <c r="A807" s="33"/>
      <c r="H807" s="33"/>
      <c r="L807" s="33"/>
      <c r="N807" s="33"/>
      <c r="O807" s="33"/>
      <c r="P807" s="33"/>
      <c r="Q807" s="33"/>
      <c r="S807" s="33"/>
      <c r="U807" s="33"/>
      <c r="W807" s="33"/>
      <c r="X807" s="34"/>
      <c r="Y807" s="33"/>
      <c r="Z807" s="34"/>
      <c r="AA807" s="33"/>
      <c r="AB807" s="33"/>
      <c r="AC807" s="33"/>
      <c r="AD807" s="35"/>
      <c r="AE807" s="33"/>
    </row>
    <row r="808" ht="15.75" customHeight="1">
      <c r="A808" s="33"/>
      <c r="H808" s="33"/>
      <c r="L808" s="33"/>
      <c r="N808" s="33"/>
      <c r="O808" s="33"/>
      <c r="P808" s="33"/>
      <c r="Q808" s="33"/>
      <c r="S808" s="33"/>
      <c r="U808" s="33"/>
      <c r="W808" s="33"/>
      <c r="X808" s="34"/>
      <c r="Y808" s="33"/>
      <c r="Z808" s="34"/>
      <c r="AA808" s="33"/>
      <c r="AB808" s="33"/>
      <c r="AC808" s="33"/>
      <c r="AD808" s="35"/>
      <c r="AE808" s="33"/>
    </row>
    <row r="809" ht="15.75" customHeight="1">
      <c r="A809" s="33"/>
      <c r="H809" s="33"/>
      <c r="L809" s="33"/>
      <c r="N809" s="33"/>
      <c r="O809" s="33"/>
      <c r="P809" s="33"/>
      <c r="Q809" s="33"/>
      <c r="S809" s="33"/>
      <c r="U809" s="33"/>
      <c r="W809" s="33"/>
      <c r="X809" s="34"/>
      <c r="Y809" s="33"/>
      <c r="Z809" s="34"/>
      <c r="AA809" s="33"/>
      <c r="AB809" s="33"/>
      <c r="AC809" s="33"/>
      <c r="AD809" s="35"/>
      <c r="AE809" s="33"/>
    </row>
    <row r="810" ht="15.75" customHeight="1">
      <c r="A810" s="33"/>
      <c r="H810" s="33"/>
      <c r="L810" s="33"/>
      <c r="N810" s="33"/>
      <c r="O810" s="33"/>
      <c r="P810" s="33"/>
      <c r="Q810" s="33"/>
      <c r="S810" s="33"/>
      <c r="U810" s="33"/>
      <c r="W810" s="33"/>
      <c r="X810" s="34"/>
      <c r="Y810" s="33"/>
      <c r="Z810" s="34"/>
      <c r="AA810" s="33"/>
      <c r="AB810" s="33"/>
      <c r="AC810" s="33"/>
      <c r="AD810" s="35"/>
      <c r="AE810" s="33"/>
    </row>
    <row r="811" ht="15.75" customHeight="1">
      <c r="A811" s="33"/>
      <c r="H811" s="33"/>
      <c r="L811" s="33"/>
      <c r="N811" s="33"/>
      <c r="O811" s="33"/>
      <c r="P811" s="33"/>
      <c r="Q811" s="33"/>
      <c r="S811" s="33"/>
      <c r="U811" s="33"/>
      <c r="W811" s="33"/>
      <c r="X811" s="34"/>
      <c r="Y811" s="33"/>
      <c r="Z811" s="34"/>
      <c r="AA811" s="33"/>
      <c r="AB811" s="33"/>
      <c r="AC811" s="33"/>
      <c r="AD811" s="35"/>
      <c r="AE811" s="33"/>
    </row>
    <row r="812" ht="15.75" customHeight="1">
      <c r="A812" s="33"/>
      <c r="H812" s="33"/>
      <c r="L812" s="33"/>
      <c r="N812" s="33"/>
      <c r="O812" s="33"/>
      <c r="P812" s="33"/>
      <c r="Q812" s="33"/>
      <c r="S812" s="33"/>
      <c r="U812" s="33"/>
      <c r="W812" s="33"/>
      <c r="X812" s="34"/>
      <c r="Y812" s="33"/>
      <c r="Z812" s="34"/>
      <c r="AA812" s="33"/>
      <c r="AB812" s="33"/>
      <c r="AC812" s="33"/>
      <c r="AD812" s="35"/>
      <c r="AE812" s="33"/>
    </row>
    <row r="813" ht="15.75" customHeight="1">
      <c r="A813" s="33"/>
      <c r="H813" s="33"/>
      <c r="L813" s="33"/>
      <c r="N813" s="33"/>
      <c r="O813" s="33"/>
      <c r="P813" s="33"/>
      <c r="Q813" s="33"/>
      <c r="S813" s="33"/>
      <c r="U813" s="33"/>
      <c r="W813" s="33"/>
      <c r="X813" s="34"/>
      <c r="Y813" s="33"/>
      <c r="Z813" s="34"/>
      <c r="AA813" s="33"/>
      <c r="AB813" s="33"/>
      <c r="AC813" s="33"/>
      <c r="AD813" s="35"/>
      <c r="AE813" s="33"/>
    </row>
    <row r="814" ht="15.75" customHeight="1">
      <c r="A814" s="33"/>
      <c r="H814" s="33"/>
      <c r="L814" s="33"/>
      <c r="N814" s="33"/>
      <c r="O814" s="33"/>
      <c r="P814" s="33"/>
      <c r="Q814" s="33"/>
      <c r="S814" s="33"/>
      <c r="U814" s="33"/>
      <c r="W814" s="33"/>
      <c r="X814" s="34"/>
      <c r="Y814" s="33"/>
      <c r="Z814" s="34"/>
      <c r="AA814" s="33"/>
      <c r="AB814" s="33"/>
      <c r="AC814" s="33"/>
      <c r="AD814" s="35"/>
      <c r="AE814" s="33"/>
    </row>
    <row r="815" ht="15.75" customHeight="1">
      <c r="A815" s="33"/>
      <c r="H815" s="33"/>
      <c r="L815" s="33"/>
      <c r="N815" s="33"/>
      <c r="O815" s="33"/>
      <c r="P815" s="33"/>
      <c r="Q815" s="33"/>
      <c r="S815" s="33"/>
      <c r="U815" s="33"/>
      <c r="W815" s="33"/>
      <c r="X815" s="34"/>
      <c r="Y815" s="33"/>
      <c r="Z815" s="34"/>
      <c r="AA815" s="33"/>
      <c r="AB815" s="33"/>
      <c r="AC815" s="33"/>
      <c r="AD815" s="35"/>
      <c r="AE815" s="33"/>
    </row>
    <row r="816" ht="15.75" customHeight="1">
      <c r="A816" s="33"/>
      <c r="H816" s="33"/>
      <c r="L816" s="33"/>
      <c r="N816" s="33"/>
      <c r="O816" s="33"/>
      <c r="P816" s="33"/>
      <c r="Q816" s="33"/>
      <c r="S816" s="33"/>
      <c r="U816" s="33"/>
      <c r="W816" s="33"/>
      <c r="X816" s="34"/>
      <c r="Y816" s="33"/>
      <c r="Z816" s="34"/>
      <c r="AA816" s="33"/>
      <c r="AB816" s="33"/>
      <c r="AC816" s="33"/>
      <c r="AD816" s="35"/>
      <c r="AE816" s="33"/>
    </row>
    <row r="817" ht="15.75" customHeight="1">
      <c r="A817" s="33"/>
      <c r="H817" s="33"/>
      <c r="L817" s="33"/>
      <c r="N817" s="33"/>
      <c r="O817" s="33"/>
      <c r="P817" s="33"/>
      <c r="Q817" s="33"/>
      <c r="S817" s="33"/>
      <c r="U817" s="33"/>
      <c r="W817" s="33"/>
      <c r="X817" s="34"/>
      <c r="Y817" s="33"/>
      <c r="Z817" s="34"/>
      <c r="AA817" s="33"/>
      <c r="AB817" s="33"/>
      <c r="AC817" s="33"/>
      <c r="AD817" s="35"/>
      <c r="AE817" s="33"/>
    </row>
    <row r="818" ht="15.75" customHeight="1">
      <c r="A818" s="33"/>
      <c r="H818" s="33"/>
      <c r="L818" s="33"/>
      <c r="N818" s="33"/>
      <c r="O818" s="33"/>
      <c r="P818" s="33"/>
      <c r="Q818" s="33"/>
      <c r="S818" s="33"/>
      <c r="U818" s="33"/>
      <c r="W818" s="33"/>
      <c r="X818" s="34"/>
      <c r="Y818" s="33"/>
      <c r="Z818" s="34"/>
      <c r="AA818" s="33"/>
      <c r="AB818" s="33"/>
      <c r="AC818" s="33"/>
      <c r="AD818" s="35"/>
      <c r="AE818" s="33"/>
    </row>
    <row r="819" ht="15.75" customHeight="1">
      <c r="A819" s="33"/>
      <c r="H819" s="33"/>
      <c r="L819" s="33"/>
      <c r="N819" s="33"/>
      <c r="O819" s="33"/>
      <c r="P819" s="33"/>
      <c r="Q819" s="33"/>
      <c r="S819" s="33"/>
      <c r="U819" s="33"/>
      <c r="W819" s="33"/>
      <c r="X819" s="34"/>
      <c r="Y819" s="33"/>
      <c r="Z819" s="34"/>
      <c r="AA819" s="33"/>
      <c r="AB819" s="33"/>
      <c r="AC819" s="33"/>
      <c r="AD819" s="35"/>
      <c r="AE819" s="33"/>
    </row>
    <row r="820" ht="15.75" customHeight="1">
      <c r="A820" s="33"/>
      <c r="H820" s="33"/>
      <c r="L820" s="33"/>
      <c r="N820" s="33"/>
      <c r="O820" s="33"/>
      <c r="P820" s="33"/>
      <c r="Q820" s="33"/>
      <c r="S820" s="33"/>
      <c r="U820" s="33"/>
      <c r="W820" s="33"/>
      <c r="X820" s="34"/>
      <c r="Y820" s="33"/>
      <c r="Z820" s="34"/>
      <c r="AA820" s="33"/>
      <c r="AB820" s="33"/>
      <c r="AC820" s="33"/>
      <c r="AD820" s="35"/>
      <c r="AE820" s="33"/>
    </row>
    <row r="821" ht="15.75" customHeight="1">
      <c r="A821" s="33"/>
      <c r="H821" s="33"/>
      <c r="L821" s="33"/>
      <c r="N821" s="33"/>
      <c r="O821" s="33"/>
      <c r="P821" s="33"/>
      <c r="Q821" s="33"/>
      <c r="S821" s="33"/>
      <c r="U821" s="33"/>
      <c r="W821" s="33"/>
      <c r="X821" s="34"/>
      <c r="Y821" s="33"/>
      <c r="Z821" s="34"/>
      <c r="AA821" s="33"/>
      <c r="AB821" s="33"/>
      <c r="AC821" s="33"/>
      <c r="AD821" s="35"/>
      <c r="AE821" s="33"/>
    </row>
    <row r="822" ht="15.75" customHeight="1">
      <c r="A822" s="33"/>
      <c r="H822" s="33"/>
      <c r="L822" s="33"/>
      <c r="N822" s="33"/>
      <c r="O822" s="33"/>
      <c r="P822" s="33"/>
      <c r="Q822" s="33"/>
      <c r="S822" s="33"/>
      <c r="U822" s="33"/>
      <c r="W822" s="33"/>
      <c r="X822" s="34"/>
      <c r="Y822" s="33"/>
      <c r="Z822" s="34"/>
      <c r="AA822" s="33"/>
      <c r="AB822" s="33"/>
      <c r="AC822" s="33"/>
      <c r="AD822" s="35"/>
      <c r="AE822" s="33"/>
    </row>
    <row r="823" ht="15.75" customHeight="1">
      <c r="A823" s="33"/>
      <c r="H823" s="33"/>
      <c r="L823" s="33"/>
      <c r="N823" s="33"/>
      <c r="O823" s="33"/>
      <c r="P823" s="33"/>
      <c r="Q823" s="33"/>
      <c r="S823" s="33"/>
      <c r="U823" s="33"/>
      <c r="W823" s="33"/>
      <c r="X823" s="34"/>
      <c r="Y823" s="33"/>
      <c r="Z823" s="34"/>
      <c r="AA823" s="33"/>
      <c r="AB823" s="33"/>
      <c r="AC823" s="33"/>
      <c r="AD823" s="35"/>
      <c r="AE823" s="33"/>
    </row>
    <row r="824" ht="15.75" customHeight="1">
      <c r="A824" s="33"/>
      <c r="H824" s="33"/>
      <c r="L824" s="33"/>
      <c r="N824" s="33"/>
      <c r="O824" s="33"/>
      <c r="P824" s="33"/>
      <c r="Q824" s="33"/>
      <c r="S824" s="33"/>
      <c r="U824" s="33"/>
      <c r="W824" s="33"/>
      <c r="X824" s="34"/>
      <c r="Y824" s="33"/>
      <c r="Z824" s="34"/>
      <c r="AA824" s="33"/>
      <c r="AB824" s="33"/>
      <c r="AC824" s="33"/>
      <c r="AD824" s="35"/>
      <c r="AE824" s="33"/>
    </row>
    <row r="825" ht="15.75" customHeight="1">
      <c r="A825" s="33"/>
      <c r="H825" s="33"/>
      <c r="L825" s="33"/>
      <c r="N825" s="33"/>
      <c r="O825" s="33"/>
      <c r="P825" s="33"/>
      <c r="Q825" s="33"/>
      <c r="S825" s="33"/>
      <c r="U825" s="33"/>
      <c r="W825" s="33"/>
      <c r="X825" s="34"/>
      <c r="Y825" s="33"/>
      <c r="Z825" s="34"/>
      <c r="AA825" s="33"/>
      <c r="AB825" s="33"/>
      <c r="AC825" s="33"/>
      <c r="AD825" s="35"/>
      <c r="AE825" s="33"/>
    </row>
    <row r="826" ht="15.75" customHeight="1">
      <c r="A826" s="33"/>
      <c r="H826" s="33"/>
      <c r="L826" s="33"/>
      <c r="N826" s="33"/>
      <c r="O826" s="33"/>
      <c r="P826" s="33"/>
      <c r="Q826" s="33"/>
      <c r="S826" s="33"/>
      <c r="U826" s="33"/>
      <c r="W826" s="33"/>
      <c r="X826" s="34"/>
      <c r="Y826" s="33"/>
      <c r="Z826" s="34"/>
      <c r="AA826" s="33"/>
      <c r="AB826" s="33"/>
      <c r="AC826" s="33"/>
      <c r="AD826" s="35"/>
      <c r="AE826" s="33"/>
    </row>
    <row r="827" ht="15.75" customHeight="1">
      <c r="A827" s="33"/>
      <c r="H827" s="33"/>
      <c r="L827" s="33"/>
      <c r="N827" s="33"/>
      <c r="O827" s="33"/>
      <c r="P827" s="33"/>
      <c r="Q827" s="33"/>
      <c r="S827" s="33"/>
      <c r="U827" s="33"/>
      <c r="W827" s="33"/>
      <c r="X827" s="34"/>
      <c r="Y827" s="33"/>
      <c r="Z827" s="34"/>
      <c r="AA827" s="33"/>
      <c r="AB827" s="33"/>
      <c r="AC827" s="33"/>
      <c r="AD827" s="35"/>
      <c r="AE827" s="33"/>
    </row>
    <row r="828" ht="15.75" customHeight="1">
      <c r="A828" s="33"/>
      <c r="H828" s="33"/>
      <c r="L828" s="33"/>
      <c r="N828" s="33"/>
      <c r="O828" s="33"/>
      <c r="P828" s="33"/>
      <c r="Q828" s="33"/>
      <c r="S828" s="33"/>
      <c r="U828" s="33"/>
      <c r="W828" s="33"/>
      <c r="X828" s="34"/>
      <c r="Y828" s="33"/>
      <c r="Z828" s="34"/>
      <c r="AA828" s="33"/>
      <c r="AB828" s="33"/>
      <c r="AC828" s="33"/>
      <c r="AD828" s="35"/>
      <c r="AE828" s="33"/>
    </row>
    <row r="829" ht="15.75" customHeight="1">
      <c r="A829" s="33"/>
      <c r="H829" s="33"/>
      <c r="L829" s="33"/>
      <c r="N829" s="33"/>
      <c r="O829" s="33"/>
      <c r="P829" s="33"/>
      <c r="Q829" s="33"/>
      <c r="S829" s="33"/>
      <c r="U829" s="33"/>
      <c r="W829" s="33"/>
      <c r="X829" s="34"/>
      <c r="Y829" s="33"/>
      <c r="Z829" s="34"/>
      <c r="AA829" s="33"/>
      <c r="AB829" s="33"/>
      <c r="AC829" s="33"/>
      <c r="AD829" s="35"/>
      <c r="AE829" s="33"/>
    </row>
    <row r="830" ht="15.75" customHeight="1">
      <c r="A830" s="33"/>
      <c r="H830" s="33"/>
      <c r="L830" s="33"/>
      <c r="N830" s="33"/>
      <c r="O830" s="33"/>
      <c r="P830" s="33"/>
      <c r="Q830" s="33"/>
      <c r="S830" s="33"/>
      <c r="U830" s="33"/>
      <c r="W830" s="33"/>
      <c r="X830" s="34"/>
      <c r="Y830" s="33"/>
      <c r="Z830" s="34"/>
      <c r="AA830" s="33"/>
      <c r="AB830" s="33"/>
      <c r="AC830" s="33"/>
      <c r="AD830" s="35"/>
      <c r="AE830" s="33"/>
    </row>
    <row r="831" ht="15.75" customHeight="1">
      <c r="A831" s="33"/>
      <c r="H831" s="33"/>
      <c r="L831" s="33"/>
      <c r="N831" s="33"/>
      <c r="O831" s="33"/>
      <c r="P831" s="33"/>
      <c r="Q831" s="33"/>
      <c r="S831" s="33"/>
      <c r="U831" s="33"/>
      <c r="W831" s="33"/>
      <c r="X831" s="34"/>
      <c r="Y831" s="33"/>
      <c r="Z831" s="34"/>
      <c r="AA831" s="33"/>
      <c r="AB831" s="33"/>
      <c r="AC831" s="33"/>
      <c r="AD831" s="35"/>
      <c r="AE831" s="33"/>
    </row>
    <row r="832" ht="15.75" customHeight="1">
      <c r="A832" s="33"/>
      <c r="H832" s="33"/>
      <c r="L832" s="33"/>
      <c r="N832" s="33"/>
      <c r="O832" s="33"/>
      <c r="P832" s="33"/>
      <c r="Q832" s="33"/>
      <c r="S832" s="33"/>
      <c r="U832" s="33"/>
      <c r="W832" s="33"/>
      <c r="X832" s="34"/>
      <c r="Y832" s="33"/>
      <c r="Z832" s="34"/>
      <c r="AA832" s="33"/>
      <c r="AB832" s="33"/>
      <c r="AC832" s="33"/>
      <c r="AD832" s="35"/>
      <c r="AE832" s="33"/>
    </row>
    <row r="833" ht="15.75" customHeight="1">
      <c r="A833" s="33"/>
      <c r="H833" s="33"/>
      <c r="L833" s="33"/>
      <c r="N833" s="33"/>
      <c r="O833" s="33"/>
      <c r="P833" s="33"/>
      <c r="Q833" s="33"/>
      <c r="S833" s="33"/>
      <c r="U833" s="33"/>
      <c r="W833" s="33"/>
      <c r="X833" s="34"/>
      <c r="Y833" s="33"/>
      <c r="Z833" s="34"/>
      <c r="AA833" s="33"/>
      <c r="AB833" s="33"/>
      <c r="AC833" s="33"/>
      <c r="AD833" s="35"/>
      <c r="AE833" s="33"/>
    </row>
    <row r="834" ht="15.75" customHeight="1">
      <c r="A834" s="33"/>
      <c r="H834" s="33"/>
      <c r="L834" s="33"/>
      <c r="N834" s="33"/>
      <c r="O834" s="33"/>
      <c r="P834" s="33"/>
      <c r="Q834" s="33"/>
      <c r="S834" s="33"/>
      <c r="U834" s="33"/>
      <c r="W834" s="33"/>
      <c r="X834" s="34"/>
      <c r="Y834" s="33"/>
      <c r="Z834" s="34"/>
      <c r="AA834" s="33"/>
      <c r="AB834" s="33"/>
      <c r="AC834" s="33"/>
      <c r="AD834" s="35"/>
      <c r="AE834" s="33"/>
    </row>
    <row r="835" ht="15.75" customHeight="1">
      <c r="A835" s="33"/>
      <c r="H835" s="33"/>
      <c r="L835" s="33"/>
      <c r="N835" s="33"/>
      <c r="O835" s="33"/>
      <c r="P835" s="33"/>
      <c r="Q835" s="33"/>
      <c r="S835" s="33"/>
      <c r="U835" s="33"/>
      <c r="W835" s="33"/>
      <c r="X835" s="34"/>
      <c r="Y835" s="33"/>
      <c r="Z835" s="34"/>
      <c r="AA835" s="33"/>
      <c r="AB835" s="33"/>
      <c r="AC835" s="33"/>
      <c r="AD835" s="35"/>
      <c r="AE835" s="33"/>
    </row>
    <row r="836" ht="15.75" customHeight="1">
      <c r="A836" s="33"/>
      <c r="H836" s="33"/>
      <c r="L836" s="33"/>
      <c r="N836" s="33"/>
      <c r="O836" s="33"/>
      <c r="P836" s="33"/>
      <c r="Q836" s="33"/>
      <c r="S836" s="33"/>
      <c r="U836" s="33"/>
      <c r="W836" s="33"/>
      <c r="X836" s="34"/>
      <c r="Y836" s="33"/>
      <c r="Z836" s="34"/>
      <c r="AA836" s="33"/>
      <c r="AB836" s="33"/>
      <c r="AC836" s="33"/>
      <c r="AD836" s="35"/>
      <c r="AE836" s="33"/>
    </row>
    <row r="837" ht="15.75" customHeight="1">
      <c r="A837" s="33"/>
      <c r="H837" s="33"/>
      <c r="L837" s="33"/>
      <c r="N837" s="33"/>
      <c r="O837" s="33"/>
      <c r="P837" s="33"/>
      <c r="Q837" s="33"/>
      <c r="S837" s="33"/>
      <c r="U837" s="33"/>
      <c r="W837" s="33"/>
      <c r="X837" s="34"/>
      <c r="Y837" s="33"/>
      <c r="Z837" s="34"/>
      <c r="AA837" s="33"/>
      <c r="AB837" s="33"/>
      <c r="AC837" s="33"/>
      <c r="AD837" s="35"/>
      <c r="AE837" s="33"/>
    </row>
    <row r="838" ht="15.75" customHeight="1">
      <c r="A838" s="33"/>
      <c r="H838" s="33"/>
      <c r="L838" s="33"/>
      <c r="N838" s="33"/>
      <c r="O838" s="33"/>
      <c r="P838" s="33"/>
      <c r="Q838" s="33"/>
      <c r="S838" s="33"/>
      <c r="U838" s="33"/>
      <c r="W838" s="33"/>
      <c r="X838" s="34"/>
      <c r="Y838" s="33"/>
      <c r="Z838" s="34"/>
      <c r="AA838" s="33"/>
      <c r="AB838" s="33"/>
      <c r="AC838" s="33"/>
      <c r="AD838" s="35"/>
      <c r="AE838" s="33"/>
    </row>
    <row r="839" ht="15.75" customHeight="1">
      <c r="A839" s="33"/>
      <c r="H839" s="33"/>
      <c r="L839" s="33"/>
      <c r="N839" s="33"/>
      <c r="O839" s="33"/>
      <c r="P839" s="33"/>
      <c r="Q839" s="33"/>
      <c r="S839" s="33"/>
      <c r="U839" s="33"/>
      <c r="W839" s="33"/>
      <c r="X839" s="34"/>
      <c r="Y839" s="33"/>
      <c r="Z839" s="34"/>
      <c r="AA839" s="33"/>
      <c r="AB839" s="33"/>
      <c r="AC839" s="33"/>
      <c r="AD839" s="35"/>
      <c r="AE839" s="33"/>
    </row>
    <row r="840" ht="15.75" customHeight="1">
      <c r="A840" s="33"/>
      <c r="H840" s="33"/>
      <c r="L840" s="33"/>
      <c r="N840" s="33"/>
      <c r="O840" s="33"/>
      <c r="P840" s="33"/>
      <c r="Q840" s="33"/>
      <c r="S840" s="33"/>
      <c r="U840" s="33"/>
      <c r="W840" s="33"/>
      <c r="X840" s="34"/>
      <c r="Y840" s="33"/>
      <c r="Z840" s="34"/>
      <c r="AA840" s="33"/>
      <c r="AB840" s="33"/>
      <c r="AC840" s="33"/>
      <c r="AD840" s="35"/>
      <c r="AE840" s="33"/>
    </row>
    <row r="841" ht="15.75" customHeight="1">
      <c r="A841" s="33"/>
      <c r="H841" s="33"/>
      <c r="L841" s="33"/>
      <c r="N841" s="33"/>
      <c r="O841" s="33"/>
      <c r="P841" s="33"/>
      <c r="Q841" s="33"/>
      <c r="S841" s="33"/>
      <c r="U841" s="33"/>
      <c r="W841" s="33"/>
      <c r="X841" s="34"/>
      <c r="Y841" s="33"/>
      <c r="Z841" s="34"/>
      <c r="AA841" s="33"/>
      <c r="AB841" s="33"/>
      <c r="AC841" s="33"/>
      <c r="AD841" s="35"/>
      <c r="AE841" s="33"/>
    </row>
    <row r="842" ht="15.75" customHeight="1">
      <c r="A842" s="33"/>
      <c r="H842" s="33"/>
      <c r="L842" s="33"/>
      <c r="N842" s="33"/>
      <c r="O842" s="33"/>
      <c r="P842" s="33"/>
      <c r="Q842" s="33"/>
      <c r="S842" s="33"/>
      <c r="U842" s="33"/>
      <c r="W842" s="33"/>
      <c r="X842" s="34"/>
      <c r="Y842" s="33"/>
      <c r="Z842" s="34"/>
      <c r="AA842" s="33"/>
      <c r="AB842" s="33"/>
      <c r="AC842" s="33"/>
      <c r="AD842" s="35"/>
      <c r="AE842" s="33"/>
    </row>
    <row r="843" ht="15.75" customHeight="1">
      <c r="A843" s="33"/>
      <c r="H843" s="33"/>
      <c r="L843" s="33"/>
      <c r="N843" s="33"/>
      <c r="O843" s="33"/>
      <c r="P843" s="33"/>
      <c r="Q843" s="33"/>
      <c r="S843" s="33"/>
      <c r="U843" s="33"/>
      <c r="W843" s="33"/>
      <c r="X843" s="34"/>
      <c r="Y843" s="33"/>
      <c r="Z843" s="34"/>
      <c r="AA843" s="33"/>
      <c r="AB843" s="33"/>
      <c r="AC843" s="33"/>
      <c r="AD843" s="35"/>
      <c r="AE843" s="33"/>
    </row>
    <row r="844" ht="15.75" customHeight="1">
      <c r="A844" s="33"/>
      <c r="H844" s="33"/>
      <c r="L844" s="33"/>
      <c r="N844" s="33"/>
      <c r="O844" s="33"/>
      <c r="P844" s="33"/>
      <c r="Q844" s="33"/>
      <c r="S844" s="33"/>
      <c r="U844" s="33"/>
      <c r="W844" s="33"/>
      <c r="X844" s="34"/>
      <c r="Y844" s="33"/>
      <c r="Z844" s="34"/>
      <c r="AA844" s="33"/>
      <c r="AB844" s="33"/>
      <c r="AC844" s="33"/>
      <c r="AD844" s="35"/>
      <c r="AE844" s="33"/>
    </row>
    <row r="845" ht="15.75" customHeight="1">
      <c r="A845" s="33"/>
      <c r="H845" s="33"/>
      <c r="L845" s="33"/>
      <c r="N845" s="33"/>
      <c r="O845" s="33"/>
      <c r="P845" s="33"/>
      <c r="Q845" s="33"/>
      <c r="S845" s="33"/>
      <c r="U845" s="33"/>
      <c r="W845" s="33"/>
      <c r="X845" s="34"/>
      <c r="Y845" s="33"/>
      <c r="Z845" s="34"/>
      <c r="AA845" s="33"/>
      <c r="AB845" s="33"/>
      <c r="AC845" s="33"/>
      <c r="AD845" s="35"/>
      <c r="AE845" s="33"/>
    </row>
    <row r="846" ht="15.75" customHeight="1">
      <c r="A846" s="33"/>
      <c r="H846" s="33"/>
      <c r="L846" s="33"/>
      <c r="N846" s="33"/>
      <c r="O846" s="33"/>
      <c r="P846" s="33"/>
      <c r="Q846" s="33"/>
      <c r="S846" s="33"/>
      <c r="U846" s="33"/>
      <c r="W846" s="33"/>
      <c r="X846" s="34"/>
      <c r="Y846" s="33"/>
      <c r="Z846" s="34"/>
      <c r="AA846" s="33"/>
      <c r="AB846" s="33"/>
      <c r="AC846" s="33"/>
      <c r="AD846" s="35"/>
      <c r="AE846" s="33"/>
    </row>
    <row r="847" ht="15.75" customHeight="1">
      <c r="A847" s="33"/>
      <c r="H847" s="33"/>
      <c r="L847" s="33"/>
      <c r="N847" s="33"/>
      <c r="O847" s="33"/>
      <c r="P847" s="33"/>
      <c r="Q847" s="33"/>
      <c r="S847" s="33"/>
      <c r="U847" s="33"/>
      <c r="W847" s="33"/>
      <c r="X847" s="34"/>
      <c r="Y847" s="33"/>
      <c r="Z847" s="34"/>
      <c r="AA847" s="33"/>
      <c r="AB847" s="33"/>
      <c r="AC847" s="33"/>
      <c r="AD847" s="35"/>
      <c r="AE847" s="33"/>
    </row>
    <row r="848" ht="15.75" customHeight="1">
      <c r="A848" s="33"/>
      <c r="H848" s="33"/>
      <c r="L848" s="33"/>
      <c r="N848" s="33"/>
      <c r="O848" s="33"/>
      <c r="P848" s="33"/>
      <c r="Q848" s="33"/>
      <c r="S848" s="33"/>
      <c r="U848" s="33"/>
      <c r="W848" s="33"/>
      <c r="X848" s="34"/>
      <c r="Y848" s="33"/>
      <c r="Z848" s="34"/>
      <c r="AA848" s="33"/>
      <c r="AB848" s="33"/>
      <c r="AC848" s="33"/>
      <c r="AD848" s="35"/>
      <c r="AE848" s="33"/>
    </row>
    <row r="849" ht="15.75" customHeight="1">
      <c r="A849" s="33"/>
      <c r="H849" s="33"/>
      <c r="L849" s="33"/>
      <c r="N849" s="33"/>
      <c r="O849" s="33"/>
      <c r="P849" s="33"/>
      <c r="Q849" s="33"/>
      <c r="S849" s="33"/>
      <c r="U849" s="33"/>
      <c r="W849" s="33"/>
      <c r="X849" s="34"/>
      <c r="Y849" s="33"/>
      <c r="Z849" s="34"/>
      <c r="AA849" s="33"/>
      <c r="AB849" s="33"/>
      <c r="AC849" s="33"/>
      <c r="AD849" s="35"/>
      <c r="AE849" s="33"/>
    </row>
    <row r="850" ht="15.75" customHeight="1">
      <c r="A850" s="33"/>
      <c r="H850" s="33"/>
      <c r="L850" s="33"/>
      <c r="N850" s="33"/>
      <c r="O850" s="33"/>
      <c r="P850" s="33"/>
      <c r="Q850" s="33"/>
      <c r="S850" s="33"/>
      <c r="U850" s="33"/>
      <c r="W850" s="33"/>
      <c r="X850" s="34"/>
      <c r="Y850" s="33"/>
      <c r="Z850" s="34"/>
      <c r="AA850" s="33"/>
      <c r="AB850" s="33"/>
      <c r="AC850" s="33"/>
      <c r="AD850" s="35"/>
      <c r="AE850" s="33"/>
    </row>
    <row r="851" ht="15.75" customHeight="1">
      <c r="A851" s="33"/>
      <c r="H851" s="33"/>
      <c r="L851" s="33"/>
      <c r="N851" s="33"/>
      <c r="O851" s="33"/>
      <c r="P851" s="33"/>
      <c r="Q851" s="33"/>
      <c r="S851" s="33"/>
      <c r="U851" s="33"/>
      <c r="W851" s="33"/>
      <c r="X851" s="34"/>
      <c r="Y851" s="33"/>
      <c r="Z851" s="34"/>
      <c r="AA851" s="33"/>
      <c r="AB851" s="33"/>
      <c r="AC851" s="33"/>
      <c r="AD851" s="35"/>
      <c r="AE851" s="33"/>
    </row>
    <row r="852" ht="15.75" customHeight="1">
      <c r="A852" s="33"/>
      <c r="H852" s="33"/>
      <c r="L852" s="33"/>
      <c r="N852" s="33"/>
      <c r="O852" s="33"/>
      <c r="P852" s="33"/>
      <c r="Q852" s="33"/>
      <c r="S852" s="33"/>
      <c r="U852" s="33"/>
      <c r="W852" s="33"/>
      <c r="X852" s="34"/>
      <c r="Y852" s="33"/>
      <c r="Z852" s="34"/>
      <c r="AA852" s="33"/>
      <c r="AB852" s="33"/>
      <c r="AC852" s="33"/>
      <c r="AD852" s="35"/>
      <c r="AE852" s="33"/>
    </row>
    <row r="853" ht="15.75" customHeight="1">
      <c r="A853" s="33"/>
      <c r="H853" s="33"/>
      <c r="L853" s="33"/>
      <c r="N853" s="33"/>
      <c r="O853" s="33"/>
      <c r="P853" s="33"/>
      <c r="Q853" s="33"/>
      <c r="S853" s="33"/>
      <c r="U853" s="33"/>
      <c r="W853" s="33"/>
      <c r="X853" s="34"/>
      <c r="Y853" s="33"/>
      <c r="Z853" s="34"/>
      <c r="AA853" s="33"/>
      <c r="AB853" s="33"/>
      <c r="AC853" s="33"/>
      <c r="AD853" s="35"/>
      <c r="AE853" s="33"/>
    </row>
    <row r="854" ht="15.75" customHeight="1">
      <c r="A854" s="33"/>
      <c r="H854" s="33"/>
      <c r="L854" s="33"/>
      <c r="N854" s="33"/>
      <c r="O854" s="33"/>
      <c r="P854" s="33"/>
      <c r="Q854" s="33"/>
      <c r="S854" s="33"/>
      <c r="U854" s="33"/>
      <c r="W854" s="33"/>
      <c r="X854" s="34"/>
      <c r="Y854" s="33"/>
      <c r="Z854" s="34"/>
      <c r="AA854" s="33"/>
      <c r="AB854" s="33"/>
      <c r="AC854" s="33"/>
      <c r="AD854" s="35"/>
      <c r="AE854" s="33"/>
    </row>
    <row r="855" ht="15.75" customHeight="1">
      <c r="A855" s="33"/>
      <c r="H855" s="33"/>
      <c r="L855" s="33"/>
      <c r="N855" s="33"/>
      <c r="O855" s="33"/>
      <c r="P855" s="33"/>
      <c r="Q855" s="33"/>
      <c r="S855" s="33"/>
      <c r="U855" s="33"/>
      <c r="W855" s="33"/>
      <c r="X855" s="34"/>
      <c r="Y855" s="33"/>
      <c r="Z855" s="34"/>
      <c r="AA855" s="33"/>
      <c r="AB855" s="33"/>
      <c r="AC855" s="33"/>
      <c r="AD855" s="35"/>
      <c r="AE855" s="33"/>
    </row>
    <row r="856" ht="15.75" customHeight="1">
      <c r="A856" s="33"/>
      <c r="H856" s="33"/>
      <c r="L856" s="33"/>
      <c r="N856" s="33"/>
      <c r="O856" s="33"/>
      <c r="P856" s="33"/>
      <c r="Q856" s="33"/>
      <c r="S856" s="33"/>
      <c r="U856" s="33"/>
      <c r="W856" s="33"/>
      <c r="X856" s="34"/>
      <c r="Y856" s="33"/>
      <c r="Z856" s="34"/>
      <c r="AA856" s="33"/>
      <c r="AB856" s="33"/>
      <c r="AC856" s="33"/>
      <c r="AD856" s="35"/>
      <c r="AE856" s="33"/>
    </row>
    <row r="857" ht="15.75" customHeight="1">
      <c r="A857" s="33"/>
      <c r="H857" s="33"/>
      <c r="L857" s="33"/>
      <c r="N857" s="33"/>
      <c r="O857" s="33"/>
      <c r="P857" s="33"/>
      <c r="Q857" s="33"/>
      <c r="S857" s="33"/>
      <c r="U857" s="33"/>
      <c r="W857" s="33"/>
      <c r="X857" s="34"/>
      <c r="Y857" s="33"/>
      <c r="Z857" s="34"/>
      <c r="AA857" s="33"/>
      <c r="AB857" s="33"/>
      <c r="AC857" s="33"/>
      <c r="AD857" s="35"/>
      <c r="AE857" s="33"/>
    </row>
    <row r="858" ht="15.75" customHeight="1">
      <c r="A858" s="33"/>
      <c r="H858" s="33"/>
      <c r="L858" s="33"/>
      <c r="N858" s="33"/>
      <c r="O858" s="33"/>
      <c r="P858" s="33"/>
      <c r="Q858" s="33"/>
      <c r="S858" s="33"/>
      <c r="U858" s="33"/>
      <c r="W858" s="33"/>
      <c r="X858" s="34"/>
      <c r="Y858" s="33"/>
      <c r="Z858" s="34"/>
      <c r="AA858" s="33"/>
      <c r="AB858" s="33"/>
      <c r="AC858" s="33"/>
      <c r="AD858" s="35"/>
      <c r="AE858" s="33"/>
    </row>
    <row r="859" ht="15.75" customHeight="1">
      <c r="A859" s="33"/>
      <c r="H859" s="33"/>
      <c r="L859" s="33"/>
      <c r="N859" s="33"/>
      <c r="O859" s="33"/>
      <c r="P859" s="33"/>
      <c r="Q859" s="33"/>
      <c r="S859" s="33"/>
      <c r="U859" s="33"/>
      <c r="W859" s="33"/>
      <c r="X859" s="34"/>
      <c r="Y859" s="33"/>
      <c r="Z859" s="34"/>
      <c r="AA859" s="33"/>
      <c r="AB859" s="33"/>
      <c r="AC859" s="33"/>
      <c r="AD859" s="35"/>
      <c r="AE859" s="33"/>
    </row>
    <row r="860" ht="15.75" customHeight="1">
      <c r="A860" s="33"/>
      <c r="H860" s="33"/>
      <c r="L860" s="33"/>
      <c r="N860" s="33"/>
      <c r="O860" s="33"/>
      <c r="P860" s="33"/>
      <c r="Q860" s="33"/>
      <c r="S860" s="33"/>
      <c r="U860" s="33"/>
      <c r="W860" s="33"/>
      <c r="X860" s="34"/>
      <c r="Y860" s="33"/>
      <c r="Z860" s="34"/>
      <c r="AA860" s="33"/>
      <c r="AB860" s="33"/>
      <c r="AC860" s="33"/>
      <c r="AD860" s="35"/>
      <c r="AE860" s="33"/>
    </row>
    <row r="861" ht="15.75" customHeight="1">
      <c r="A861" s="33"/>
      <c r="H861" s="33"/>
      <c r="L861" s="33"/>
      <c r="N861" s="33"/>
      <c r="O861" s="33"/>
      <c r="P861" s="33"/>
      <c r="Q861" s="33"/>
      <c r="S861" s="33"/>
      <c r="U861" s="33"/>
      <c r="W861" s="33"/>
      <c r="X861" s="34"/>
      <c r="Y861" s="33"/>
      <c r="Z861" s="34"/>
      <c r="AA861" s="33"/>
      <c r="AB861" s="33"/>
      <c r="AC861" s="33"/>
      <c r="AD861" s="35"/>
      <c r="AE861" s="33"/>
    </row>
    <row r="862" ht="15.75" customHeight="1">
      <c r="A862" s="33"/>
      <c r="H862" s="33"/>
      <c r="L862" s="33"/>
      <c r="N862" s="33"/>
      <c r="O862" s="33"/>
      <c r="P862" s="33"/>
      <c r="Q862" s="33"/>
      <c r="S862" s="33"/>
      <c r="U862" s="33"/>
      <c r="W862" s="33"/>
      <c r="X862" s="34"/>
      <c r="Y862" s="33"/>
      <c r="Z862" s="34"/>
      <c r="AA862" s="33"/>
      <c r="AB862" s="33"/>
      <c r="AC862" s="33"/>
      <c r="AD862" s="35"/>
      <c r="AE862" s="33"/>
    </row>
    <row r="863" ht="15.75" customHeight="1">
      <c r="A863" s="33"/>
      <c r="H863" s="33"/>
      <c r="L863" s="33"/>
      <c r="N863" s="33"/>
      <c r="O863" s="33"/>
      <c r="P863" s="33"/>
      <c r="Q863" s="33"/>
      <c r="S863" s="33"/>
      <c r="U863" s="33"/>
      <c r="W863" s="33"/>
      <c r="X863" s="34"/>
      <c r="Y863" s="33"/>
      <c r="Z863" s="34"/>
      <c r="AA863" s="33"/>
      <c r="AB863" s="33"/>
      <c r="AC863" s="33"/>
      <c r="AD863" s="35"/>
      <c r="AE863" s="33"/>
    </row>
    <row r="864" ht="15.75" customHeight="1">
      <c r="A864" s="33"/>
      <c r="H864" s="33"/>
      <c r="L864" s="33"/>
      <c r="N864" s="33"/>
      <c r="O864" s="33"/>
      <c r="P864" s="33"/>
      <c r="Q864" s="33"/>
      <c r="S864" s="33"/>
      <c r="U864" s="33"/>
      <c r="W864" s="33"/>
      <c r="X864" s="34"/>
      <c r="Y864" s="33"/>
      <c r="Z864" s="34"/>
      <c r="AA864" s="33"/>
      <c r="AB864" s="33"/>
      <c r="AC864" s="33"/>
      <c r="AD864" s="35"/>
      <c r="AE864" s="33"/>
    </row>
    <row r="865" ht="15.75" customHeight="1">
      <c r="A865" s="33"/>
      <c r="H865" s="33"/>
      <c r="L865" s="33"/>
      <c r="N865" s="33"/>
      <c r="O865" s="33"/>
      <c r="P865" s="33"/>
      <c r="Q865" s="33"/>
      <c r="S865" s="33"/>
      <c r="U865" s="33"/>
      <c r="W865" s="33"/>
      <c r="X865" s="34"/>
      <c r="Y865" s="33"/>
      <c r="Z865" s="34"/>
      <c r="AA865" s="33"/>
      <c r="AB865" s="33"/>
      <c r="AC865" s="33"/>
      <c r="AD865" s="35"/>
      <c r="AE865" s="33"/>
    </row>
    <row r="866" ht="15.75" customHeight="1">
      <c r="A866" s="33"/>
      <c r="H866" s="33"/>
      <c r="L866" s="33"/>
      <c r="N866" s="33"/>
      <c r="O866" s="33"/>
      <c r="P866" s="33"/>
      <c r="Q866" s="33"/>
      <c r="S866" s="33"/>
      <c r="U866" s="33"/>
      <c r="W866" s="33"/>
      <c r="X866" s="34"/>
      <c r="Y866" s="33"/>
      <c r="Z866" s="34"/>
      <c r="AA866" s="33"/>
      <c r="AB866" s="33"/>
      <c r="AC866" s="33"/>
      <c r="AD866" s="35"/>
      <c r="AE866" s="33"/>
    </row>
    <row r="867" ht="15.75" customHeight="1">
      <c r="A867" s="33"/>
      <c r="H867" s="33"/>
      <c r="L867" s="33"/>
      <c r="N867" s="33"/>
      <c r="O867" s="33"/>
      <c r="P867" s="33"/>
      <c r="Q867" s="33"/>
      <c r="S867" s="33"/>
      <c r="U867" s="33"/>
      <c r="W867" s="33"/>
      <c r="X867" s="34"/>
      <c r="Y867" s="33"/>
      <c r="Z867" s="34"/>
      <c r="AA867" s="33"/>
      <c r="AB867" s="33"/>
      <c r="AC867" s="33"/>
      <c r="AD867" s="35"/>
      <c r="AE867" s="33"/>
    </row>
    <row r="868" ht="15.75" customHeight="1">
      <c r="A868" s="33"/>
      <c r="H868" s="33"/>
      <c r="L868" s="33"/>
      <c r="N868" s="33"/>
      <c r="O868" s="33"/>
      <c r="P868" s="33"/>
      <c r="Q868" s="33"/>
      <c r="S868" s="33"/>
      <c r="U868" s="33"/>
      <c r="W868" s="33"/>
      <c r="X868" s="34"/>
      <c r="Y868" s="33"/>
      <c r="Z868" s="34"/>
      <c r="AA868" s="33"/>
      <c r="AB868" s="33"/>
      <c r="AC868" s="33"/>
      <c r="AD868" s="35"/>
      <c r="AE868" s="33"/>
    </row>
    <row r="869" ht="15.75" customHeight="1">
      <c r="A869" s="33"/>
      <c r="H869" s="33"/>
      <c r="L869" s="33"/>
      <c r="N869" s="33"/>
      <c r="O869" s="33"/>
      <c r="P869" s="33"/>
      <c r="Q869" s="33"/>
      <c r="S869" s="33"/>
      <c r="U869" s="33"/>
      <c r="W869" s="33"/>
      <c r="X869" s="34"/>
      <c r="Y869" s="33"/>
      <c r="Z869" s="34"/>
      <c r="AA869" s="33"/>
      <c r="AB869" s="33"/>
      <c r="AC869" s="33"/>
      <c r="AD869" s="35"/>
      <c r="AE869" s="33"/>
    </row>
    <row r="870" ht="15.75" customHeight="1">
      <c r="A870" s="33"/>
      <c r="H870" s="33"/>
      <c r="L870" s="33"/>
      <c r="N870" s="33"/>
      <c r="O870" s="33"/>
      <c r="P870" s="33"/>
      <c r="Q870" s="33"/>
      <c r="S870" s="33"/>
      <c r="U870" s="33"/>
      <c r="W870" s="33"/>
      <c r="X870" s="34"/>
      <c r="Y870" s="33"/>
      <c r="Z870" s="34"/>
      <c r="AA870" s="33"/>
      <c r="AB870" s="33"/>
      <c r="AC870" s="33"/>
      <c r="AD870" s="35"/>
      <c r="AE870" s="33"/>
    </row>
    <row r="871" ht="15.75" customHeight="1">
      <c r="A871" s="33"/>
      <c r="H871" s="33"/>
      <c r="L871" s="33"/>
      <c r="N871" s="33"/>
      <c r="O871" s="33"/>
      <c r="P871" s="33"/>
      <c r="Q871" s="33"/>
      <c r="S871" s="33"/>
      <c r="U871" s="33"/>
      <c r="W871" s="33"/>
      <c r="X871" s="34"/>
      <c r="Y871" s="33"/>
      <c r="Z871" s="34"/>
      <c r="AA871" s="33"/>
      <c r="AB871" s="33"/>
      <c r="AC871" s="33"/>
      <c r="AD871" s="35"/>
      <c r="AE871" s="33"/>
    </row>
    <row r="872" ht="15.75" customHeight="1">
      <c r="A872" s="33"/>
      <c r="H872" s="33"/>
      <c r="L872" s="33"/>
      <c r="N872" s="33"/>
      <c r="O872" s="33"/>
      <c r="P872" s="33"/>
      <c r="Q872" s="33"/>
      <c r="S872" s="33"/>
      <c r="U872" s="33"/>
      <c r="W872" s="33"/>
      <c r="X872" s="34"/>
      <c r="Y872" s="33"/>
      <c r="Z872" s="34"/>
      <c r="AA872" s="33"/>
      <c r="AB872" s="33"/>
      <c r="AC872" s="33"/>
      <c r="AD872" s="35"/>
      <c r="AE872" s="33"/>
    </row>
    <row r="873" ht="15.75" customHeight="1">
      <c r="A873" s="33"/>
      <c r="H873" s="33"/>
      <c r="L873" s="33"/>
      <c r="N873" s="33"/>
      <c r="O873" s="33"/>
      <c r="P873" s="33"/>
      <c r="Q873" s="33"/>
      <c r="S873" s="33"/>
      <c r="U873" s="33"/>
      <c r="W873" s="33"/>
      <c r="X873" s="34"/>
      <c r="Y873" s="33"/>
      <c r="Z873" s="34"/>
      <c r="AA873" s="33"/>
      <c r="AB873" s="33"/>
      <c r="AC873" s="33"/>
      <c r="AD873" s="35"/>
      <c r="AE873" s="33"/>
    </row>
    <row r="874" ht="15.75" customHeight="1">
      <c r="A874" s="33"/>
      <c r="H874" s="33"/>
      <c r="L874" s="33"/>
      <c r="N874" s="33"/>
      <c r="O874" s="33"/>
      <c r="P874" s="33"/>
      <c r="Q874" s="33"/>
      <c r="S874" s="33"/>
      <c r="U874" s="33"/>
      <c r="W874" s="33"/>
      <c r="X874" s="34"/>
      <c r="Y874" s="33"/>
      <c r="Z874" s="34"/>
      <c r="AA874" s="33"/>
      <c r="AB874" s="33"/>
      <c r="AC874" s="33"/>
      <c r="AD874" s="35"/>
      <c r="AE874" s="33"/>
    </row>
    <row r="875" ht="15.75" customHeight="1">
      <c r="A875" s="33"/>
      <c r="H875" s="33"/>
      <c r="L875" s="33"/>
      <c r="N875" s="33"/>
      <c r="O875" s="33"/>
      <c r="P875" s="33"/>
      <c r="Q875" s="33"/>
      <c r="S875" s="33"/>
      <c r="U875" s="33"/>
      <c r="W875" s="33"/>
      <c r="X875" s="34"/>
      <c r="Y875" s="33"/>
      <c r="Z875" s="34"/>
      <c r="AA875" s="33"/>
      <c r="AB875" s="33"/>
      <c r="AC875" s="33"/>
      <c r="AD875" s="35"/>
      <c r="AE875" s="33"/>
    </row>
    <row r="876" ht="15.75" customHeight="1">
      <c r="A876" s="33"/>
      <c r="H876" s="33"/>
      <c r="L876" s="33"/>
      <c r="N876" s="33"/>
      <c r="O876" s="33"/>
      <c r="P876" s="33"/>
      <c r="Q876" s="33"/>
      <c r="S876" s="33"/>
      <c r="U876" s="33"/>
      <c r="W876" s="33"/>
      <c r="X876" s="34"/>
      <c r="Y876" s="33"/>
      <c r="Z876" s="34"/>
      <c r="AA876" s="33"/>
      <c r="AB876" s="33"/>
      <c r="AC876" s="33"/>
      <c r="AD876" s="35"/>
      <c r="AE876" s="33"/>
    </row>
    <row r="877" ht="15.75" customHeight="1">
      <c r="A877" s="33"/>
      <c r="H877" s="33"/>
      <c r="L877" s="33"/>
      <c r="N877" s="33"/>
      <c r="O877" s="33"/>
      <c r="P877" s="33"/>
      <c r="Q877" s="33"/>
      <c r="S877" s="33"/>
      <c r="U877" s="33"/>
      <c r="W877" s="33"/>
      <c r="X877" s="34"/>
      <c r="Y877" s="33"/>
      <c r="Z877" s="34"/>
      <c r="AA877" s="33"/>
      <c r="AB877" s="33"/>
      <c r="AC877" s="33"/>
      <c r="AD877" s="35"/>
      <c r="AE877" s="33"/>
    </row>
    <row r="878" ht="15.75" customHeight="1">
      <c r="A878" s="33"/>
      <c r="H878" s="33"/>
      <c r="L878" s="33"/>
      <c r="N878" s="33"/>
      <c r="O878" s="33"/>
      <c r="P878" s="33"/>
      <c r="Q878" s="33"/>
      <c r="S878" s="33"/>
      <c r="U878" s="33"/>
      <c r="W878" s="33"/>
      <c r="X878" s="34"/>
      <c r="Y878" s="33"/>
      <c r="Z878" s="34"/>
      <c r="AA878" s="33"/>
      <c r="AB878" s="33"/>
      <c r="AC878" s="33"/>
      <c r="AD878" s="35"/>
      <c r="AE878" s="33"/>
    </row>
    <row r="879" ht="15.75" customHeight="1">
      <c r="A879" s="33"/>
      <c r="H879" s="33"/>
      <c r="L879" s="33"/>
      <c r="N879" s="33"/>
      <c r="O879" s="33"/>
      <c r="P879" s="33"/>
      <c r="Q879" s="33"/>
      <c r="S879" s="33"/>
      <c r="U879" s="33"/>
      <c r="W879" s="33"/>
      <c r="X879" s="34"/>
      <c r="Y879" s="33"/>
      <c r="Z879" s="34"/>
      <c r="AA879" s="33"/>
      <c r="AB879" s="33"/>
      <c r="AC879" s="33"/>
      <c r="AD879" s="35"/>
      <c r="AE879" s="33"/>
    </row>
    <row r="880" ht="15.75" customHeight="1">
      <c r="A880" s="33"/>
      <c r="H880" s="33"/>
      <c r="L880" s="33"/>
      <c r="N880" s="33"/>
      <c r="O880" s="33"/>
      <c r="P880" s="33"/>
      <c r="Q880" s="33"/>
      <c r="S880" s="33"/>
      <c r="U880" s="33"/>
      <c r="W880" s="33"/>
      <c r="X880" s="34"/>
      <c r="Y880" s="33"/>
      <c r="Z880" s="34"/>
      <c r="AA880" s="33"/>
      <c r="AB880" s="33"/>
      <c r="AC880" s="33"/>
      <c r="AD880" s="35"/>
      <c r="AE880" s="33"/>
    </row>
    <row r="881" ht="15.75" customHeight="1">
      <c r="A881" s="33"/>
      <c r="H881" s="33"/>
      <c r="L881" s="33"/>
      <c r="N881" s="33"/>
      <c r="O881" s="33"/>
      <c r="P881" s="33"/>
      <c r="Q881" s="33"/>
      <c r="S881" s="33"/>
      <c r="U881" s="33"/>
      <c r="W881" s="33"/>
      <c r="X881" s="34"/>
      <c r="Y881" s="33"/>
      <c r="Z881" s="34"/>
      <c r="AA881" s="33"/>
      <c r="AB881" s="33"/>
      <c r="AC881" s="33"/>
      <c r="AD881" s="35"/>
      <c r="AE881" s="33"/>
    </row>
    <row r="882" ht="15.75" customHeight="1">
      <c r="A882" s="33"/>
      <c r="H882" s="33"/>
      <c r="L882" s="33"/>
      <c r="N882" s="33"/>
      <c r="O882" s="33"/>
      <c r="P882" s="33"/>
      <c r="Q882" s="33"/>
      <c r="S882" s="33"/>
      <c r="U882" s="33"/>
      <c r="W882" s="33"/>
      <c r="X882" s="34"/>
      <c r="Y882" s="33"/>
      <c r="Z882" s="34"/>
      <c r="AA882" s="33"/>
      <c r="AB882" s="33"/>
      <c r="AC882" s="33"/>
      <c r="AD882" s="35"/>
      <c r="AE882" s="33"/>
    </row>
    <row r="883" ht="15.75" customHeight="1">
      <c r="A883" s="33"/>
      <c r="H883" s="33"/>
      <c r="L883" s="33"/>
      <c r="N883" s="33"/>
      <c r="O883" s="33"/>
      <c r="P883" s="33"/>
      <c r="Q883" s="33"/>
      <c r="S883" s="33"/>
      <c r="U883" s="33"/>
      <c r="W883" s="33"/>
      <c r="X883" s="34"/>
      <c r="Y883" s="33"/>
      <c r="Z883" s="34"/>
      <c r="AA883" s="33"/>
      <c r="AB883" s="33"/>
      <c r="AC883" s="33"/>
      <c r="AD883" s="35"/>
      <c r="AE883" s="33"/>
    </row>
    <row r="884" ht="15.75" customHeight="1">
      <c r="A884" s="33"/>
      <c r="H884" s="33"/>
      <c r="L884" s="33"/>
      <c r="N884" s="33"/>
      <c r="O884" s="33"/>
      <c r="P884" s="33"/>
      <c r="Q884" s="33"/>
      <c r="S884" s="33"/>
      <c r="U884" s="33"/>
      <c r="W884" s="33"/>
      <c r="X884" s="34"/>
      <c r="Y884" s="33"/>
      <c r="Z884" s="34"/>
      <c r="AA884" s="33"/>
      <c r="AB884" s="33"/>
      <c r="AC884" s="33"/>
      <c r="AD884" s="35"/>
      <c r="AE884" s="33"/>
    </row>
    <row r="885" ht="15.75" customHeight="1">
      <c r="A885" s="33"/>
      <c r="H885" s="33"/>
      <c r="L885" s="33"/>
      <c r="N885" s="33"/>
      <c r="O885" s="33"/>
      <c r="P885" s="33"/>
      <c r="Q885" s="33"/>
      <c r="S885" s="33"/>
      <c r="U885" s="33"/>
      <c r="W885" s="33"/>
      <c r="X885" s="34"/>
      <c r="Y885" s="33"/>
      <c r="Z885" s="34"/>
      <c r="AA885" s="33"/>
      <c r="AB885" s="33"/>
      <c r="AC885" s="33"/>
      <c r="AD885" s="35"/>
      <c r="AE885" s="33"/>
    </row>
    <row r="886" ht="15.75" customHeight="1">
      <c r="A886" s="33"/>
      <c r="H886" s="33"/>
      <c r="L886" s="33"/>
      <c r="N886" s="33"/>
      <c r="O886" s="33"/>
      <c r="P886" s="33"/>
      <c r="Q886" s="33"/>
      <c r="S886" s="33"/>
      <c r="U886" s="33"/>
      <c r="W886" s="33"/>
      <c r="X886" s="34"/>
      <c r="Y886" s="33"/>
      <c r="Z886" s="34"/>
      <c r="AA886" s="33"/>
      <c r="AB886" s="33"/>
      <c r="AC886" s="33"/>
      <c r="AD886" s="35"/>
      <c r="AE886" s="33"/>
    </row>
    <row r="887" ht="15.75" customHeight="1">
      <c r="A887" s="33"/>
      <c r="H887" s="33"/>
      <c r="L887" s="33"/>
      <c r="N887" s="33"/>
      <c r="O887" s="33"/>
      <c r="P887" s="33"/>
      <c r="Q887" s="33"/>
      <c r="S887" s="33"/>
      <c r="U887" s="33"/>
      <c r="W887" s="33"/>
      <c r="X887" s="34"/>
      <c r="Y887" s="33"/>
      <c r="Z887" s="34"/>
      <c r="AA887" s="33"/>
      <c r="AB887" s="33"/>
      <c r="AC887" s="33"/>
      <c r="AD887" s="35"/>
      <c r="AE887" s="33"/>
    </row>
    <row r="888" ht="15.75" customHeight="1">
      <c r="A888" s="33"/>
      <c r="H888" s="33"/>
      <c r="L888" s="33"/>
      <c r="N888" s="33"/>
      <c r="O888" s="33"/>
      <c r="P888" s="33"/>
      <c r="Q888" s="33"/>
      <c r="S888" s="33"/>
      <c r="U888" s="33"/>
      <c r="W888" s="33"/>
      <c r="X888" s="34"/>
      <c r="Y888" s="33"/>
      <c r="Z888" s="34"/>
      <c r="AA888" s="33"/>
      <c r="AB888" s="33"/>
      <c r="AC888" s="33"/>
      <c r="AD888" s="35"/>
      <c r="AE888" s="33"/>
    </row>
    <row r="889" ht="15.75" customHeight="1">
      <c r="A889" s="33"/>
      <c r="H889" s="33"/>
      <c r="L889" s="33"/>
      <c r="N889" s="33"/>
      <c r="O889" s="33"/>
      <c r="P889" s="33"/>
      <c r="Q889" s="33"/>
      <c r="S889" s="33"/>
      <c r="U889" s="33"/>
      <c r="W889" s="33"/>
      <c r="X889" s="34"/>
      <c r="Y889" s="33"/>
      <c r="Z889" s="34"/>
      <c r="AA889" s="33"/>
      <c r="AB889" s="33"/>
      <c r="AC889" s="33"/>
      <c r="AD889" s="35"/>
      <c r="AE889" s="33"/>
    </row>
    <row r="890" ht="15.75" customHeight="1">
      <c r="A890" s="33"/>
      <c r="H890" s="33"/>
      <c r="L890" s="33"/>
      <c r="N890" s="33"/>
      <c r="O890" s="33"/>
      <c r="P890" s="33"/>
      <c r="Q890" s="33"/>
      <c r="S890" s="33"/>
      <c r="U890" s="33"/>
      <c r="W890" s="33"/>
      <c r="X890" s="34"/>
      <c r="Y890" s="33"/>
      <c r="Z890" s="34"/>
      <c r="AA890" s="33"/>
      <c r="AB890" s="33"/>
      <c r="AC890" s="33"/>
      <c r="AD890" s="35"/>
      <c r="AE890" s="33"/>
    </row>
    <row r="891" ht="15.75" customHeight="1">
      <c r="A891" s="33"/>
      <c r="H891" s="33"/>
      <c r="L891" s="33"/>
      <c r="N891" s="33"/>
      <c r="O891" s="33"/>
      <c r="P891" s="33"/>
      <c r="Q891" s="33"/>
      <c r="S891" s="33"/>
      <c r="U891" s="33"/>
      <c r="W891" s="33"/>
      <c r="X891" s="34"/>
      <c r="Y891" s="33"/>
      <c r="Z891" s="34"/>
      <c r="AA891" s="33"/>
      <c r="AB891" s="33"/>
      <c r="AC891" s="33"/>
      <c r="AD891" s="35"/>
      <c r="AE891" s="33"/>
    </row>
    <row r="892" ht="15.75" customHeight="1">
      <c r="A892" s="33"/>
      <c r="H892" s="33"/>
      <c r="L892" s="33"/>
      <c r="N892" s="33"/>
      <c r="O892" s="33"/>
      <c r="P892" s="33"/>
      <c r="Q892" s="33"/>
      <c r="S892" s="33"/>
      <c r="U892" s="33"/>
      <c r="W892" s="33"/>
      <c r="X892" s="34"/>
      <c r="Y892" s="33"/>
      <c r="Z892" s="34"/>
      <c r="AA892" s="33"/>
      <c r="AB892" s="33"/>
      <c r="AC892" s="33"/>
      <c r="AD892" s="35"/>
      <c r="AE892" s="33"/>
    </row>
    <row r="893" ht="15.75" customHeight="1">
      <c r="A893" s="33"/>
      <c r="H893" s="33"/>
      <c r="L893" s="33"/>
      <c r="N893" s="33"/>
      <c r="O893" s="33"/>
      <c r="P893" s="33"/>
      <c r="Q893" s="33"/>
      <c r="S893" s="33"/>
      <c r="U893" s="33"/>
      <c r="W893" s="33"/>
      <c r="X893" s="34"/>
      <c r="Y893" s="33"/>
      <c r="Z893" s="34"/>
      <c r="AA893" s="33"/>
      <c r="AB893" s="33"/>
      <c r="AC893" s="33"/>
      <c r="AD893" s="35"/>
      <c r="AE893" s="33"/>
    </row>
    <row r="894" ht="15.75" customHeight="1">
      <c r="A894" s="33"/>
      <c r="H894" s="33"/>
      <c r="L894" s="33"/>
      <c r="N894" s="33"/>
      <c r="O894" s="33"/>
      <c r="P894" s="33"/>
      <c r="Q894" s="33"/>
      <c r="S894" s="33"/>
      <c r="U894" s="33"/>
      <c r="W894" s="33"/>
      <c r="X894" s="34"/>
      <c r="Y894" s="33"/>
      <c r="Z894" s="34"/>
      <c r="AA894" s="33"/>
      <c r="AB894" s="33"/>
      <c r="AC894" s="33"/>
      <c r="AD894" s="35"/>
      <c r="AE894" s="33"/>
    </row>
    <row r="895" ht="15.75" customHeight="1">
      <c r="A895" s="33"/>
      <c r="H895" s="33"/>
      <c r="L895" s="33"/>
      <c r="N895" s="33"/>
      <c r="O895" s="33"/>
      <c r="P895" s="33"/>
      <c r="Q895" s="33"/>
      <c r="S895" s="33"/>
      <c r="U895" s="33"/>
      <c r="W895" s="33"/>
      <c r="X895" s="34"/>
      <c r="Y895" s="33"/>
      <c r="Z895" s="34"/>
      <c r="AA895" s="33"/>
      <c r="AB895" s="33"/>
      <c r="AC895" s="33"/>
      <c r="AD895" s="35"/>
      <c r="AE895" s="33"/>
    </row>
    <row r="896" ht="15.75" customHeight="1">
      <c r="A896" s="33"/>
      <c r="H896" s="33"/>
      <c r="L896" s="33"/>
      <c r="N896" s="33"/>
      <c r="O896" s="33"/>
      <c r="P896" s="33"/>
      <c r="Q896" s="33"/>
      <c r="S896" s="33"/>
      <c r="U896" s="33"/>
      <c r="W896" s="33"/>
      <c r="X896" s="34"/>
      <c r="Y896" s="33"/>
      <c r="Z896" s="34"/>
      <c r="AA896" s="33"/>
      <c r="AB896" s="33"/>
      <c r="AC896" s="33"/>
      <c r="AD896" s="35"/>
      <c r="AE896" s="33"/>
    </row>
    <row r="897" ht="15.75" customHeight="1">
      <c r="A897" s="33"/>
      <c r="H897" s="33"/>
      <c r="L897" s="33"/>
      <c r="N897" s="33"/>
      <c r="O897" s="33"/>
      <c r="P897" s="33"/>
      <c r="Q897" s="33"/>
      <c r="S897" s="33"/>
      <c r="U897" s="33"/>
      <c r="W897" s="33"/>
      <c r="X897" s="34"/>
      <c r="Y897" s="33"/>
      <c r="Z897" s="34"/>
      <c r="AA897" s="33"/>
      <c r="AB897" s="33"/>
      <c r="AC897" s="33"/>
      <c r="AD897" s="35"/>
      <c r="AE897" s="33"/>
    </row>
    <row r="898" ht="15.75" customHeight="1">
      <c r="A898" s="33"/>
      <c r="H898" s="33"/>
      <c r="L898" s="33"/>
      <c r="N898" s="33"/>
      <c r="O898" s="33"/>
      <c r="P898" s="33"/>
      <c r="Q898" s="33"/>
      <c r="S898" s="33"/>
      <c r="U898" s="33"/>
      <c r="W898" s="33"/>
      <c r="X898" s="34"/>
      <c r="Y898" s="33"/>
      <c r="Z898" s="34"/>
      <c r="AA898" s="33"/>
      <c r="AB898" s="33"/>
      <c r="AC898" s="33"/>
      <c r="AD898" s="35"/>
      <c r="AE898" s="33"/>
    </row>
    <row r="899" ht="15.75" customHeight="1">
      <c r="A899" s="33"/>
      <c r="H899" s="33"/>
      <c r="L899" s="33"/>
      <c r="N899" s="33"/>
      <c r="O899" s="33"/>
      <c r="P899" s="33"/>
      <c r="Q899" s="33"/>
      <c r="S899" s="33"/>
      <c r="U899" s="33"/>
      <c r="W899" s="33"/>
      <c r="X899" s="34"/>
      <c r="Y899" s="33"/>
      <c r="Z899" s="34"/>
      <c r="AA899" s="33"/>
      <c r="AB899" s="33"/>
      <c r="AC899" s="33"/>
      <c r="AD899" s="35"/>
      <c r="AE899" s="33"/>
    </row>
    <row r="900" ht="15.75" customHeight="1">
      <c r="A900" s="33"/>
      <c r="H900" s="33"/>
      <c r="L900" s="33"/>
      <c r="N900" s="33"/>
      <c r="O900" s="33"/>
      <c r="P900" s="33"/>
      <c r="Q900" s="33"/>
      <c r="S900" s="33"/>
      <c r="U900" s="33"/>
      <c r="W900" s="33"/>
      <c r="X900" s="34"/>
      <c r="Y900" s="33"/>
      <c r="Z900" s="34"/>
      <c r="AA900" s="33"/>
      <c r="AB900" s="33"/>
      <c r="AC900" s="33"/>
      <c r="AD900" s="35"/>
      <c r="AE900" s="33"/>
    </row>
    <row r="901" ht="15.75" customHeight="1">
      <c r="A901" s="33"/>
      <c r="H901" s="33"/>
      <c r="L901" s="33"/>
      <c r="N901" s="33"/>
      <c r="O901" s="33"/>
      <c r="P901" s="33"/>
      <c r="Q901" s="33"/>
      <c r="S901" s="33"/>
      <c r="U901" s="33"/>
      <c r="W901" s="33"/>
      <c r="X901" s="34"/>
      <c r="Y901" s="33"/>
      <c r="Z901" s="34"/>
      <c r="AA901" s="33"/>
      <c r="AB901" s="33"/>
      <c r="AC901" s="33"/>
      <c r="AD901" s="35"/>
      <c r="AE901" s="33"/>
    </row>
    <row r="902" ht="15.75" customHeight="1">
      <c r="A902" s="33"/>
      <c r="H902" s="33"/>
      <c r="L902" s="33"/>
      <c r="N902" s="33"/>
      <c r="O902" s="33"/>
      <c r="P902" s="33"/>
      <c r="Q902" s="33"/>
      <c r="S902" s="33"/>
      <c r="U902" s="33"/>
      <c r="W902" s="33"/>
      <c r="X902" s="34"/>
      <c r="Y902" s="33"/>
      <c r="Z902" s="34"/>
      <c r="AA902" s="33"/>
      <c r="AB902" s="33"/>
      <c r="AC902" s="33"/>
      <c r="AD902" s="35"/>
      <c r="AE902" s="33"/>
    </row>
    <row r="903" ht="15.75" customHeight="1">
      <c r="A903" s="33"/>
      <c r="H903" s="33"/>
      <c r="L903" s="33"/>
      <c r="N903" s="33"/>
      <c r="O903" s="33"/>
      <c r="P903" s="33"/>
      <c r="Q903" s="33"/>
      <c r="S903" s="33"/>
      <c r="U903" s="33"/>
      <c r="W903" s="33"/>
      <c r="X903" s="34"/>
      <c r="Y903" s="33"/>
      <c r="Z903" s="34"/>
      <c r="AA903" s="33"/>
      <c r="AB903" s="33"/>
      <c r="AC903" s="33"/>
      <c r="AD903" s="35"/>
      <c r="AE903" s="33"/>
    </row>
    <row r="904" ht="15.75" customHeight="1">
      <c r="A904" s="33"/>
      <c r="H904" s="33"/>
      <c r="L904" s="33"/>
      <c r="N904" s="33"/>
      <c r="O904" s="33"/>
      <c r="P904" s="33"/>
      <c r="Q904" s="33"/>
      <c r="S904" s="33"/>
      <c r="U904" s="33"/>
      <c r="W904" s="33"/>
      <c r="X904" s="34"/>
      <c r="Y904" s="33"/>
      <c r="Z904" s="34"/>
      <c r="AA904" s="33"/>
      <c r="AB904" s="33"/>
      <c r="AC904" s="33"/>
      <c r="AD904" s="35"/>
      <c r="AE904" s="33"/>
    </row>
    <row r="905" ht="15.75" customHeight="1">
      <c r="A905" s="33"/>
      <c r="H905" s="33"/>
      <c r="L905" s="33"/>
      <c r="N905" s="33"/>
      <c r="O905" s="33"/>
      <c r="P905" s="33"/>
      <c r="Q905" s="33"/>
      <c r="S905" s="33"/>
      <c r="U905" s="33"/>
      <c r="W905" s="33"/>
      <c r="X905" s="34"/>
      <c r="Y905" s="33"/>
      <c r="Z905" s="34"/>
      <c r="AA905" s="33"/>
      <c r="AB905" s="33"/>
      <c r="AC905" s="33"/>
      <c r="AD905" s="35"/>
      <c r="AE905" s="33"/>
    </row>
    <row r="906" ht="15.75" customHeight="1">
      <c r="A906" s="33"/>
      <c r="H906" s="33"/>
      <c r="L906" s="33"/>
      <c r="N906" s="33"/>
      <c r="O906" s="33"/>
      <c r="P906" s="33"/>
      <c r="Q906" s="33"/>
      <c r="S906" s="33"/>
      <c r="U906" s="33"/>
      <c r="W906" s="33"/>
      <c r="X906" s="34"/>
      <c r="Y906" s="33"/>
      <c r="Z906" s="34"/>
      <c r="AA906" s="33"/>
      <c r="AB906" s="33"/>
      <c r="AC906" s="33"/>
      <c r="AD906" s="35"/>
      <c r="AE906" s="33"/>
    </row>
    <row r="907" ht="15.75" customHeight="1">
      <c r="A907" s="33"/>
      <c r="H907" s="33"/>
      <c r="L907" s="33"/>
      <c r="N907" s="33"/>
      <c r="O907" s="33"/>
      <c r="P907" s="33"/>
      <c r="Q907" s="33"/>
      <c r="S907" s="33"/>
      <c r="U907" s="33"/>
      <c r="W907" s="33"/>
      <c r="X907" s="34"/>
      <c r="Y907" s="33"/>
      <c r="Z907" s="34"/>
      <c r="AA907" s="33"/>
      <c r="AB907" s="33"/>
      <c r="AC907" s="33"/>
      <c r="AD907" s="35"/>
      <c r="AE907" s="33"/>
    </row>
    <row r="908" ht="15.75" customHeight="1">
      <c r="A908" s="33"/>
      <c r="H908" s="33"/>
      <c r="L908" s="33"/>
      <c r="N908" s="33"/>
      <c r="O908" s="33"/>
      <c r="P908" s="33"/>
      <c r="Q908" s="33"/>
      <c r="S908" s="33"/>
      <c r="U908" s="33"/>
      <c r="W908" s="33"/>
      <c r="X908" s="34"/>
      <c r="Y908" s="33"/>
      <c r="Z908" s="34"/>
      <c r="AA908" s="33"/>
      <c r="AB908" s="33"/>
      <c r="AC908" s="33"/>
      <c r="AD908" s="35"/>
      <c r="AE908" s="33"/>
    </row>
    <row r="909" ht="15.75" customHeight="1">
      <c r="A909" s="33"/>
      <c r="H909" s="33"/>
      <c r="L909" s="33"/>
      <c r="N909" s="33"/>
      <c r="O909" s="33"/>
      <c r="P909" s="33"/>
      <c r="Q909" s="33"/>
      <c r="S909" s="33"/>
      <c r="U909" s="33"/>
      <c r="W909" s="33"/>
      <c r="X909" s="34"/>
      <c r="Y909" s="33"/>
      <c r="Z909" s="34"/>
      <c r="AA909" s="33"/>
      <c r="AB909" s="33"/>
      <c r="AC909" s="33"/>
      <c r="AD909" s="35"/>
      <c r="AE909" s="33"/>
    </row>
    <row r="910" ht="15.75" customHeight="1">
      <c r="A910" s="33"/>
      <c r="H910" s="33"/>
      <c r="L910" s="33"/>
      <c r="N910" s="33"/>
      <c r="O910" s="33"/>
      <c r="P910" s="33"/>
      <c r="Q910" s="33"/>
      <c r="S910" s="33"/>
      <c r="U910" s="33"/>
      <c r="W910" s="33"/>
      <c r="X910" s="34"/>
      <c r="Y910" s="33"/>
      <c r="Z910" s="34"/>
      <c r="AA910" s="33"/>
      <c r="AB910" s="33"/>
      <c r="AC910" s="33"/>
      <c r="AD910" s="35"/>
      <c r="AE910" s="33"/>
    </row>
    <row r="911" ht="15.75" customHeight="1">
      <c r="A911" s="33"/>
      <c r="H911" s="33"/>
      <c r="L911" s="33"/>
      <c r="N911" s="33"/>
      <c r="O911" s="33"/>
      <c r="P911" s="33"/>
      <c r="Q911" s="33"/>
      <c r="S911" s="33"/>
      <c r="U911" s="33"/>
      <c r="W911" s="33"/>
      <c r="X911" s="34"/>
      <c r="Y911" s="33"/>
      <c r="Z911" s="34"/>
      <c r="AA911" s="33"/>
      <c r="AB911" s="33"/>
      <c r="AC911" s="33"/>
      <c r="AD911" s="35"/>
      <c r="AE911" s="33"/>
    </row>
    <row r="912" ht="15.75" customHeight="1">
      <c r="A912" s="33"/>
      <c r="H912" s="33"/>
      <c r="L912" s="33"/>
      <c r="N912" s="33"/>
      <c r="O912" s="33"/>
      <c r="P912" s="33"/>
      <c r="Q912" s="33"/>
      <c r="S912" s="33"/>
      <c r="U912" s="33"/>
      <c r="W912" s="33"/>
      <c r="X912" s="34"/>
      <c r="Y912" s="33"/>
      <c r="Z912" s="34"/>
      <c r="AA912" s="33"/>
      <c r="AB912" s="33"/>
      <c r="AC912" s="33"/>
      <c r="AD912" s="35"/>
      <c r="AE912" s="33"/>
    </row>
    <row r="913" ht="15.75" customHeight="1">
      <c r="A913" s="33"/>
      <c r="H913" s="33"/>
      <c r="L913" s="33"/>
      <c r="N913" s="33"/>
      <c r="O913" s="33"/>
      <c r="P913" s="33"/>
      <c r="Q913" s="33"/>
      <c r="S913" s="33"/>
      <c r="U913" s="33"/>
      <c r="W913" s="33"/>
      <c r="X913" s="34"/>
      <c r="Y913" s="33"/>
      <c r="Z913" s="34"/>
      <c r="AA913" s="33"/>
      <c r="AB913" s="33"/>
      <c r="AC913" s="33"/>
      <c r="AD913" s="35"/>
      <c r="AE913" s="33"/>
    </row>
    <row r="914" ht="15.75" customHeight="1">
      <c r="A914" s="33"/>
      <c r="H914" s="33"/>
      <c r="L914" s="33"/>
      <c r="N914" s="33"/>
      <c r="O914" s="33"/>
      <c r="P914" s="33"/>
      <c r="Q914" s="33"/>
      <c r="S914" s="33"/>
      <c r="U914" s="33"/>
      <c r="W914" s="33"/>
      <c r="X914" s="34"/>
      <c r="Y914" s="33"/>
      <c r="Z914" s="34"/>
      <c r="AA914" s="33"/>
      <c r="AB914" s="33"/>
      <c r="AC914" s="33"/>
      <c r="AD914" s="35"/>
      <c r="AE914" s="33"/>
    </row>
    <row r="915" ht="15.75" customHeight="1">
      <c r="A915" s="33"/>
      <c r="H915" s="33"/>
      <c r="L915" s="33"/>
      <c r="N915" s="33"/>
      <c r="O915" s="33"/>
      <c r="P915" s="33"/>
      <c r="Q915" s="33"/>
      <c r="S915" s="33"/>
      <c r="U915" s="33"/>
      <c r="W915" s="33"/>
      <c r="X915" s="34"/>
      <c r="Y915" s="33"/>
      <c r="Z915" s="34"/>
      <c r="AA915" s="33"/>
      <c r="AB915" s="33"/>
      <c r="AC915" s="33"/>
      <c r="AD915" s="35"/>
      <c r="AE915" s="33"/>
    </row>
    <row r="916" ht="15.75" customHeight="1">
      <c r="A916" s="33"/>
      <c r="H916" s="33"/>
      <c r="L916" s="33"/>
      <c r="N916" s="33"/>
      <c r="O916" s="33"/>
      <c r="P916" s="33"/>
      <c r="Q916" s="33"/>
      <c r="S916" s="33"/>
      <c r="U916" s="33"/>
      <c r="W916" s="33"/>
      <c r="X916" s="34"/>
      <c r="Y916" s="33"/>
      <c r="Z916" s="34"/>
      <c r="AA916" s="33"/>
      <c r="AB916" s="33"/>
      <c r="AC916" s="33"/>
      <c r="AD916" s="35"/>
      <c r="AE916" s="33"/>
    </row>
    <row r="917" ht="15.75" customHeight="1">
      <c r="A917" s="33"/>
      <c r="H917" s="33"/>
      <c r="L917" s="33"/>
      <c r="N917" s="33"/>
      <c r="O917" s="33"/>
      <c r="P917" s="33"/>
      <c r="Q917" s="33"/>
      <c r="S917" s="33"/>
      <c r="U917" s="33"/>
      <c r="W917" s="33"/>
      <c r="X917" s="34"/>
      <c r="Y917" s="33"/>
      <c r="Z917" s="34"/>
      <c r="AA917" s="33"/>
      <c r="AB917" s="33"/>
      <c r="AC917" s="33"/>
      <c r="AD917" s="35"/>
      <c r="AE917" s="33"/>
    </row>
    <row r="918" ht="15.75" customHeight="1">
      <c r="A918" s="33"/>
      <c r="H918" s="33"/>
      <c r="L918" s="33"/>
      <c r="N918" s="33"/>
      <c r="O918" s="33"/>
      <c r="P918" s="33"/>
      <c r="Q918" s="33"/>
      <c r="S918" s="33"/>
      <c r="U918" s="33"/>
      <c r="W918" s="33"/>
      <c r="X918" s="34"/>
      <c r="Y918" s="33"/>
      <c r="Z918" s="34"/>
      <c r="AA918" s="33"/>
      <c r="AB918" s="33"/>
      <c r="AC918" s="33"/>
      <c r="AD918" s="35"/>
      <c r="AE918" s="33"/>
    </row>
    <row r="919" ht="15.75" customHeight="1">
      <c r="A919" s="33"/>
      <c r="H919" s="33"/>
      <c r="L919" s="33"/>
      <c r="N919" s="33"/>
      <c r="O919" s="33"/>
      <c r="P919" s="33"/>
      <c r="Q919" s="33"/>
      <c r="S919" s="33"/>
      <c r="U919" s="33"/>
      <c r="W919" s="33"/>
      <c r="X919" s="34"/>
      <c r="Y919" s="33"/>
      <c r="Z919" s="34"/>
      <c r="AA919" s="33"/>
      <c r="AB919" s="33"/>
      <c r="AC919" s="33"/>
      <c r="AD919" s="35"/>
      <c r="AE919" s="33"/>
    </row>
    <row r="920" ht="15.75" customHeight="1">
      <c r="A920" s="33"/>
      <c r="H920" s="33"/>
      <c r="L920" s="33"/>
      <c r="N920" s="33"/>
      <c r="O920" s="33"/>
      <c r="P920" s="33"/>
      <c r="Q920" s="33"/>
      <c r="S920" s="33"/>
      <c r="U920" s="33"/>
      <c r="W920" s="33"/>
      <c r="X920" s="34"/>
      <c r="Y920" s="33"/>
      <c r="Z920" s="34"/>
      <c r="AA920" s="33"/>
      <c r="AB920" s="33"/>
      <c r="AC920" s="33"/>
      <c r="AD920" s="35"/>
      <c r="AE920" s="33"/>
    </row>
    <row r="921" ht="15.75" customHeight="1">
      <c r="A921" s="33"/>
      <c r="H921" s="33"/>
      <c r="L921" s="33"/>
      <c r="N921" s="33"/>
      <c r="O921" s="33"/>
      <c r="P921" s="33"/>
      <c r="Q921" s="33"/>
      <c r="S921" s="33"/>
      <c r="U921" s="33"/>
      <c r="W921" s="33"/>
      <c r="X921" s="34"/>
      <c r="Y921" s="33"/>
      <c r="Z921" s="34"/>
      <c r="AA921" s="33"/>
      <c r="AB921" s="33"/>
      <c r="AC921" s="33"/>
      <c r="AD921" s="35"/>
      <c r="AE921" s="33"/>
    </row>
    <row r="922" ht="15.75" customHeight="1">
      <c r="A922" s="33"/>
      <c r="H922" s="33"/>
      <c r="L922" s="33"/>
      <c r="N922" s="33"/>
      <c r="O922" s="33"/>
      <c r="P922" s="33"/>
      <c r="Q922" s="33"/>
      <c r="S922" s="33"/>
      <c r="U922" s="33"/>
      <c r="W922" s="33"/>
      <c r="X922" s="34"/>
      <c r="Y922" s="33"/>
      <c r="Z922" s="34"/>
      <c r="AA922" s="33"/>
      <c r="AB922" s="33"/>
      <c r="AC922" s="33"/>
      <c r="AD922" s="35"/>
      <c r="AE922" s="33"/>
    </row>
    <row r="923" ht="15.75" customHeight="1">
      <c r="A923" s="33"/>
      <c r="H923" s="33"/>
      <c r="L923" s="33"/>
      <c r="N923" s="33"/>
      <c r="O923" s="33"/>
      <c r="P923" s="33"/>
      <c r="Q923" s="33"/>
      <c r="S923" s="33"/>
      <c r="U923" s="33"/>
      <c r="W923" s="33"/>
      <c r="X923" s="34"/>
      <c r="Y923" s="33"/>
      <c r="Z923" s="34"/>
      <c r="AA923" s="33"/>
      <c r="AB923" s="33"/>
      <c r="AC923" s="33"/>
      <c r="AD923" s="35"/>
      <c r="AE923" s="33"/>
    </row>
    <row r="924" ht="15.75" customHeight="1">
      <c r="A924" s="33"/>
      <c r="H924" s="33"/>
      <c r="L924" s="33"/>
      <c r="N924" s="33"/>
      <c r="O924" s="33"/>
      <c r="P924" s="33"/>
      <c r="Q924" s="33"/>
      <c r="S924" s="33"/>
      <c r="U924" s="33"/>
      <c r="W924" s="33"/>
      <c r="X924" s="34"/>
      <c r="Y924" s="33"/>
      <c r="Z924" s="34"/>
      <c r="AA924" s="33"/>
      <c r="AB924" s="33"/>
      <c r="AC924" s="33"/>
      <c r="AD924" s="35"/>
      <c r="AE924" s="33"/>
    </row>
    <row r="925" ht="15.75" customHeight="1">
      <c r="A925" s="33"/>
      <c r="H925" s="33"/>
      <c r="L925" s="33"/>
      <c r="N925" s="33"/>
      <c r="O925" s="33"/>
      <c r="P925" s="33"/>
      <c r="Q925" s="33"/>
      <c r="S925" s="33"/>
      <c r="U925" s="33"/>
      <c r="W925" s="33"/>
      <c r="X925" s="34"/>
      <c r="Y925" s="33"/>
      <c r="Z925" s="34"/>
      <c r="AA925" s="33"/>
      <c r="AB925" s="33"/>
      <c r="AC925" s="33"/>
      <c r="AD925" s="35"/>
      <c r="AE925" s="33"/>
    </row>
    <row r="926" ht="15.75" customHeight="1">
      <c r="A926" s="33"/>
      <c r="H926" s="33"/>
      <c r="L926" s="33"/>
      <c r="N926" s="33"/>
      <c r="O926" s="33"/>
      <c r="P926" s="33"/>
      <c r="Q926" s="33"/>
      <c r="S926" s="33"/>
      <c r="U926" s="33"/>
      <c r="W926" s="33"/>
      <c r="X926" s="34"/>
      <c r="Y926" s="33"/>
      <c r="Z926" s="34"/>
      <c r="AA926" s="33"/>
      <c r="AB926" s="33"/>
      <c r="AC926" s="33"/>
      <c r="AD926" s="35"/>
      <c r="AE926" s="33"/>
    </row>
    <row r="927" ht="15.75" customHeight="1">
      <c r="A927" s="33"/>
      <c r="H927" s="33"/>
      <c r="L927" s="33"/>
      <c r="N927" s="33"/>
      <c r="O927" s="33"/>
      <c r="P927" s="33"/>
      <c r="Q927" s="33"/>
      <c r="S927" s="33"/>
      <c r="U927" s="33"/>
      <c r="W927" s="33"/>
      <c r="X927" s="34"/>
      <c r="Y927" s="33"/>
      <c r="Z927" s="34"/>
      <c r="AA927" s="33"/>
      <c r="AB927" s="33"/>
      <c r="AC927" s="33"/>
      <c r="AD927" s="35"/>
      <c r="AE927" s="33"/>
    </row>
    <row r="928" ht="15.75" customHeight="1">
      <c r="A928" s="33"/>
      <c r="H928" s="33"/>
      <c r="L928" s="33"/>
      <c r="N928" s="33"/>
      <c r="O928" s="33"/>
      <c r="P928" s="33"/>
      <c r="Q928" s="33"/>
      <c r="S928" s="33"/>
      <c r="U928" s="33"/>
      <c r="W928" s="33"/>
      <c r="X928" s="34"/>
      <c r="Y928" s="33"/>
      <c r="Z928" s="34"/>
      <c r="AA928" s="33"/>
      <c r="AB928" s="33"/>
      <c r="AC928" s="33"/>
      <c r="AD928" s="35"/>
      <c r="AE928" s="33"/>
    </row>
    <row r="929" ht="15.75" customHeight="1">
      <c r="A929" s="33"/>
      <c r="H929" s="33"/>
      <c r="L929" s="33"/>
      <c r="N929" s="33"/>
      <c r="O929" s="33"/>
      <c r="P929" s="33"/>
      <c r="Q929" s="33"/>
      <c r="S929" s="33"/>
      <c r="U929" s="33"/>
      <c r="W929" s="33"/>
      <c r="X929" s="34"/>
      <c r="Y929" s="33"/>
      <c r="Z929" s="34"/>
      <c r="AA929" s="33"/>
      <c r="AB929" s="33"/>
      <c r="AC929" s="33"/>
      <c r="AD929" s="35"/>
      <c r="AE929" s="33"/>
    </row>
    <row r="930" ht="15.75" customHeight="1">
      <c r="A930" s="33"/>
      <c r="H930" s="33"/>
      <c r="L930" s="33"/>
      <c r="N930" s="33"/>
      <c r="O930" s="33"/>
      <c r="P930" s="33"/>
      <c r="Q930" s="33"/>
      <c r="S930" s="33"/>
      <c r="U930" s="33"/>
      <c r="W930" s="33"/>
      <c r="X930" s="34"/>
      <c r="Y930" s="33"/>
      <c r="Z930" s="34"/>
      <c r="AA930" s="33"/>
      <c r="AB930" s="33"/>
      <c r="AC930" s="33"/>
      <c r="AD930" s="35"/>
      <c r="AE930" s="33"/>
    </row>
    <row r="931" ht="15.75" customHeight="1">
      <c r="A931" s="33"/>
      <c r="H931" s="33"/>
      <c r="L931" s="33"/>
      <c r="N931" s="33"/>
      <c r="O931" s="33"/>
      <c r="P931" s="33"/>
      <c r="Q931" s="33"/>
      <c r="S931" s="33"/>
      <c r="U931" s="33"/>
      <c r="W931" s="33"/>
      <c r="X931" s="34"/>
      <c r="Y931" s="33"/>
      <c r="Z931" s="34"/>
      <c r="AA931" s="33"/>
      <c r="AB931" s="33"/>
      <c r="AC931" s="33"/>
      <c r="AD931" s="35"/>
      <c r="AE931" s="33"/>
    </row>
    <row r="932" ht="15.75" customHeight="1">
      <c r="A932" s="33"/>
      <c r="H932" s="33"/>
      <c r="L932" s="33"/>
      <c r="N932" s="33"/>
      <c r="O932" s="33"/>
      <c r="P932" s="33"/>
      <c r="Q932" s="33"/>
      <c r="S932" s="33"/>
      <c r="U932" s="33"/>
      <c r="W932" s="33"/>
      <c r="X932" s="34"/>
      <c r="Y932" s="33"/>
      <c r="Z932" s="34"/>
      <c r="AA932" s="33"/>
      <c r="AB932" s="33"/>
      <c r="AC932" s="33"/>
      <c r="AD932" s="35"/>
      <c r="AE932" s="33"/>
    </row>
    <row r="933" ht="15.75" customHeight="1">
      <c r="A933" s="33"/>
      <c r="H933" s="33"/>
      <c r="L933" s="33"/>
      <c r="N933" s="33"/>
      <c r="O933" s="33"/>
      <c r="P933" s="33"/>
      <c r="Q933" s="33"/>
      <c r="S933" s="33"/>
      <c r="U933" s="33"/>
      <c r="W933" s="33"/>
      <c r="X933" s="34"/>
      <c r="Y933" s="33"/>
      <c r="Z933" s="34"/>
      <c r="AA933" s="33"/>
      <c r="AB933" s="33"/>
      <c r="AC933" s="33"/>
      <c r="AD933" s="35"/>
      <c r="AE933" s="33"/>
    </row>
    <row r="934" ht="15.75" customHeight="1">
      <c r="A934" s="33"/>
      <c r="H934" s="33"/>
      <c r="L934" s="33"/>
      <c r="N934" s="33"/>
      <c r="O934" s="33"/>
      <c r="P934" s="33"/>
      <c r="Q934" s="33"/>
      <c r="S934" s="33"/>
      <c r="U934" s="33"/>
      <c r="W934" s="33"/>
      <c r="X934" s="34"/>
      <c r="Y934" s="33"/>
      <c r="Z934" s="34"/>
      <c r="AA934" s="33"/>
      <c r="AB934" s="33"/>
      <c r="AC934" s="33"/>
      <c r="AD934" s="35"/>
      <c r="AE934" s="33"/>
    </row>
    <row r="935" ht="15.75" customHeight="1">
      <c r="A935" s="33"/>
      <c r="H935" s="33"/>
      <c r="L935" s="33"/>
      <c r="N935" s="33"/>
      <c r="O935" s="33"/>
      <c r="P935" s="33"/>
      <c r="Q935" s="33"/>
      <c r="S935" s="33"/>
      <c r="U935" s="33"/>
      <c r="W935" s="33"/>
      <c r="X935" s="34"/>
      <c r="Y935" s="33"/>
      <c r="Z935" s="34"/>
      <c r="AA935" s="33"/>
      <c r="AB935" s="33"/>
      <c r="AC935" s="33"/>
      <c r="AD935" s="35"/>
      <c r="AE935" s="33"/>
    </row>
    <row r="936" ht="15.75" customHeight="1">
      <c r="A936" s="33"/>
      <c r="H936" s="33"/>
      <c r="L936" s="33"/>
      <c r="N936" s="33"/>
      <c r="O936" s="33"/>
      <c r="P936" s="33"/>
      <c r="Q936" s="33"/>
      <c r="S936" s="33"/>
      <c r="U936" s="33"/>
      <c r="W936" s="33"/>
      <c r="X936" s="34"/>
      <c r="Y936" s="33"/>
      <c r="Z936" s="34"/>
      <c r="AA936" s="33"/>
      <c r="AB936" s="33"/>
      <c r="AC936" s="33"/>
      <c r="AD936" s="35"/>
      <c r="AE936" s="33"/>
    </row>
    <row r="937" ht="15.75" customHeight="1">
      <c r="A937" s="33"/>
      <c r="H937" s="33"/>
      <c r="L937" s="33"/>
      <c r="N937" s="33"/>
      <c r="O937" s="33"/>
      <c r="P937" s="33"/>
      <c r="Q937" s="33"/>
      <c r="S937" s="33"/>
      <c r="U937" s="33"/>
      <c r="W937" s="33"/>
      <c r="X937" s="34"/>
      <c r="Y937" s="33"/>
      <c r="Z937" s="34"/>
      <c r="AA937" s="33"/>
      <c r="AB937" s="33"/>
      <c r="AC937" s="33"/>
      <c r="AD937" s="35"/>
      <c r="AE937" s="33"/>
    </row>
    <row r="938" ht="15.75" customHeight="1">
      <c r="A938" s="33"/>
      <c r="H938" s="33"/>
      <c r="L938" s="33"/>
      <c r="N938" s="33"/>
      <c r="O938" s="33"/>
      <c r="P938" s="33"/>
      <c r="Q938" s="33"/>
      <c r="S938" s="33"/>
      <c r="U938" s="33"/>
      <c r="W938" s="33"/>
      <c r="X938" s="34"/>
      <c r="Y938" s="33"/>
      <c r="Z938" s="34"/>
      <c r="AA938" s="33"/>
      <c r="AB938" s="33"/>
      <c r="AC938" s="33"/>
      <c r="AD938" s="35"/>
      <c r="AE938" s="33"/>
    </row>
    <row r="939" ht="15.75" customHeight="1">
      <c r="A939" s="33"/>
      <c r="H939" s="33"/>
      <c r="L939" s="33"/>
      <c r="N939" s="33"/>
      <c r="O939" s="33"/>
      <c r="P939" s="33"/>
      <c r="Q939" s="33"/>
      <c r="S939" s="33"/>
      <c r="U939" s="33"/>
      <c r="W939" s="33"/>
      <c r="X939" s="34"/>
      <c r="Y939" s="33"/>
      <c r="Z939" s="34"/>
      <c r="AA939" s="33"/>
      <c r="AB939" s="33"/>
      <c r="AC939" s="33"/>
      <c r="AD939" s="35"/>
      <c r="AE939" s="33"/>
    </row>
    <row r="940" ht="15.75" customHeight="1">
      <c r="A940" s="33"/>
      <c r="H940" s="33"/>
      <c r="L940" s="33"/>
      <c r="N940" s="33"/>
      <c r="O940" s="33"/>
      <c r="P940" s="33"/>
      <c r="Q940" s="33"/>
      <c r="S940" s="33"/>
      <c r="U940" s="33"/>
      <c r="W940" s="33"/>
      <c r="X940" s="34"/>
      <c r="Y940" s="33"/>
      <c r="Z940" s="34"/>
      <c r="AA940" s="33"/>
      <c r="AB940" s="33"/>
      <c r="AC940" s="33"/>
      <c r="AD940" s="35"/>
      <c r="AE940" s="33"/>
    </row>
    <row r="941" ht="15.75" customHeight="1">
      <c r="A941" s="33"/>
      <c r="H941" s="33"/>
      <c r="L941" s="33"/>
      <c r="N941" s="33"/>
      <c r="O941" s="33"/>
      <c r="P941" s="33"/>
      <c r="Q941" s="33"/>
      <c r="S941" s="33"/>
      <c r="U941" s="33"/>
      <c r="W941" s="33"/>
      <c r="X941" s="34"/>
      <c r="Y941" s="33"/>
      <c r="Z941" s="34"/>
      <c r="AA941" s="33"/>
      <c r="AB941" s="33"/>
      <c r="AC941" s="33"/>
      <c r="AD941" s="35"/>
      <c r="AE941" s="33"/>
    </row>
    <row r="942" ht="15.75" customHeight="1">
      <c r="A942" s="33"/>
      <c r="H942" s="33"/>
      <c r="L942" s="33"/>
      <c r="N942" s="33"/>
      <c r="O942" s="33"/>
      <c r="P942" s="33"/>
      <c r="Q942" s="33"/>
      <c r="S942" s="33"/>
      <c r="U942" s="33"/>
      <c r="W942" s="33"/>
      <c r="X942" s="34"/>
      <c r="Y942" s="33"/>
      <c r="Z942" s="34"/>
      <c r="AA942" s="33"/>
      <c r="AB942" s="33"/>
      <c r="AC942" s="33"/>
      <c r="AD942" s="35"/>
      <c r="AE942" s="33"/>
    </row>
    <row r="943" ht="15.75" customHeight="1">
      <c r="A943" s="33"/>
      <c r="H943" s="33"/>
      <c r="L943" s="33"/>
      <c r="N943" s="33"/>
      <c r="O943" s="33"/>
      <c r="P943" s="33"/>
      <c r="Q943" s="33"/>
      <c r="S943" s="33"/>
      <c r="U943" s="33"/>
      <c r="W943" s="33"/>
      <c r="X943" s="34"/>
      <c r="Y943" s="33"/>
      <c r="Z943" s="34"/>
      <c r="AA943" s="33"/>
      <c r="AB943" s="33"/>
      <c r="AC943" s="33"/>
      <c r="AD943" s="35"/>
      <c r="AE943" s="33"/>
    </row>
    <row r="944" ht="15.75" customHeight="1">
      <c r="A944" s="33"/>
      <c r="H944" s="33"/>
      <c r="L944" s="33"/>
      <c r="N944" s="33"/>
      <c r="O944" s="33"/>
      <c r="P944" s="33"/>
      <c r="Q944" s="33"/>
      <c r="S944" s="33"/>
      <c r="U944" s="33"/>
      <c r="W944" s="33"/>
      <c r="X944" s="34"/>
      <c r="Y944" s="33"/>
      <c r="Z944" s="34"/>
      <c r="AA944" s="33"/>
      <c r="AB944" s="33"/>
      <c r="AC944" s="33"/>
      <c r="AD944" s="35"/>
      <c r="AE944" s="33"/>
    </row>
    <row r="945" ht="15.75" customHeight="1">
      <c r="A945" s="33"/>
      <c r="H945" s="33"/>
      <c r="L945" s="33"/>
      <c r="N945" s="33"/>
      <c r="O945" s="33"/>
      <c r="P945" s="33"/>
      <c r="Q945" s="33"/>
      <c r="S945" s="33"/>
      <c r="U945" s="33"/>
      <c r="W945" s="33"/>
      <c r="X945" s="34"/>
      <c r="Y945" s="33"/>
      <c r="Z945" s="34"/>
      <c r="AA945" s="33"/>
      <c r="AB945" s="33"/>
      <c r="AC945" s="33"/>
      <c r="AD945" s="35"/>
      <c r="AE945" s="33"/>
    </row>
    <row r="946" ht="15.75" customHeight="1">
      <c r="A946" s="33"/>
      <c r="H946" s="33"/>
      <c r="L946" s="33"/>
      <c r="N946" s="33"/>
      <c r="O946" s="33"/>
      <c r="P946" s="33"/>
      <c r="Q946" s="33"/>
      <c r="S946" s="33"/>
      <c r="U946" s="33"/>
      <c r="W946" s="33"/>
      <c r="X946" s="34"/>
      <c r="Y946" s="33"/>
      <c r="Z946" s="34"/>
      <c r="AA946" s="33"/>
      <c r="AB946" s="33"/>
      <c r="AC946" s="33"/>
      <c r="AD946" s="35"/>
      <c r="AE946" s="33"/>
    </row>
    <row r="947" ht="15.75" customHeight="1">
      <c r="A947" s="33"/>
      <c r="H947" s="33"/>
      <c r="L947" s="33"/>
      <c r="N947" s="33"/>
      <c r="O947" s="33"/>
      <c r="P947" s="33"/>
      <c r="Q947" s="33"/>
      <c r="S947" s="33"/>
      <c r="U947" s="33"/>
      <c r="W947" s="33"/>
      <c r="X947" s="34"/>
      <c r="Y947" s="33"/>
      <c r="Z947" s="34"/>
      <c r="AA947" s="33"/>
      <c r="AB947" s="33"/>
      <c r="AC947" s="33"/>
      <c r="AD947" s="35"/>
      <c r="AE947" s="33"/>
    </row>
    <row r="948" ht="15.75" customHeight="1">
      <c r="A948" s="33"/>
      <c r="H948" s="33"/>
      <c r="L948" s="33"/>
      <c r="N948" s="33"/>
      <c r="O948" s="33"/>
      <c r="P948" s="33"/>
      <c r="Q948" s="33"/>
      <c r="S948" s="33"/>
      <c r="U948" s="33"/>
      <c r="W948" s="33"/>
      <c r="X948" s="34"/>
      <c r="Y948" s="33"/>
      <c r="Z948" s="34"/>
      <c r="AA948" s="33"/>
      <c r="AB948" s="33"/>
      <c r="AC948" s="33"/>
      <c r="AD948" s="35"/>
      <c r="AE948" s="33"/>
    </row>
    <row r="949" ht="15.75" customHeight="1">
      <c r="A949" s="33"/>
      <c r="H949" s="33"/>
      <c r="L949" s="33"/>
      <c r="N949" s="33"/>
      <c r="O949" s="33"/>
      <c r="P949" s="33"/>
      <c r="Q949" s="33"/>
      <c r="S949" s="33"/>
      <c r="U949" s="33"/>
      <c r="W949" s="33"/>
      <c r="X949" s="34"/>
      <c r="Y949" s="33"/>
      <c r="Z949" s="34"/>
      <c r="AA949" s="33"/>
      <c r="AB949" s="33"/>
      <c r="AC949" s="33"/>
      <c r="AD949" s="35"/>
      <c r="AE949" s="33"/>
    </row>
    <row r="950" ht="15.75" customHeight="1">
      <c r="A950" s="33"/>
      <c r="H950" s="33"/>
      <c r="L950" s="33"/>
      <c r="N950" s="33"/>
      <c r="O950" s="33"/>
      <c r="P950" s="33"/>
      <c r="Q950" s="33"/>
      <c r="S950" s="33"/>
      <c r="U950" s="33"/>
      <c r="W950" s="33"/>
      <c r="X950" s="34"/>
      <c r="Y950" s="33"/>
      <c r="Z950" s="34"/>
      <c r="AA950" s="33"/>
      <c r="AB950" s="33"/>
      <c r="AC950" s="33"/>
      <c r="AD950" s="35"/>
      <c r="AE950" s="33"/>
    </row>
    <row r="951" ht="15.75" customHeight="1">
      <c r="A951" s="33"/>
      <c r="H951" s="33"/>
      <c r="L951" s="33"/>
      <c r="N951" s="33"/>
      <c r="O951" s="33"/>
      <c r="P951" s="33"/>
      <c r="Q951" s="33"/>
      <c r="S951" s="33"/>
      <c r="U951" s="33"/>
      <c r="W951" s="33"/>
      <c r="X951" s="34"/>
      <c r="Y951" s="33"/>
      <c r="Z951" s="34"/>
      <c r="AA951" s="33"/>
      <c r="AB951" s="33"/>
      <c r="AC951" s="33"/>
      <c r="AD951" s="35"/>
      <c r="AE951" s="33"/>
    </row>
    <row r="952" ht="15.75" customHeight="1">
      <c r="A952" s="33"/>
      <c r="H952" s="33"/>
      <c r="L952" s="33"/>
      <c r="N952" s="33"/>
      <c r="O952" s="33"/>
      <c r="P952" s="33"/>
      <c r="Q952" s="33"/>
      <c r="S952" s="33"/>
      <c r="U952" s="33"/>
      <c r="W952" s="33"/>
      <c r="X952" s="34"/>
      <c r="Y952" s="33"/>
      <c r="Z952" s="34"/>
      <c r="AA952" s="33"/>
      <c r="AB952" s="33"/>
      <c r="AC952" s="33"/>
      <c r="AD952" s="35"/>
      <c r="AE952" s="33"/>
    </row>
    <row r="953" ht="15.75" customHeight="1">
      <c r="A953" s="33"/>
      <c r="H953" s="33"/>
      <c r="L953" s="33"/>
      <c r="N953" s="33"/>
      <c r="O953" s="33"/>
      <c r="P953" s="33"/>
      <c r="Q953" s="33"/>
      <c r="S953" s="33"/>
      <c r="U953" s="33"/>
      <c r="W953" s="33"/>
      <c r="X953" s="34"/>
      <c r="Y953" s="33"/>
      <c r="Z953" s="34"/>
      <c r="AA953" s="33"/>
      <c r="AB953" s="33"/>
      <c r="AC953" s="33"/>
      <c r="AD953" s="35"/>
      <c r="AE953" s="33"/>
    </row>
    <row r="954" ht="15.75" customHeight="1">
      <c r="A954" s="33"/>
      <c r="H954" s="33"/>
      <c r="L954" s="33"/>
      <c r="N954" s="33"/>
      <c r="O954" s="33"/>
      <c r="P954" s="33"/>
      <c r="Q954" s="33"/>
      <c r="S954" s="33"/>
      <c r="U954" s="33"/>
      <c r="W954" s="33"/>
      <c r="X954" s="34"/>
      <c r="Y954" s="33"/>
      <c r="Z954" s="34"/>
      <c r="AA954" s="33"/>
      <c r="AB954" s="33"/>
      <c r="AC954" s="33"/>
      <c r="AD954" s="35"/>
      <c r="AE954" s="33"/>
    </row>
    <row r="955" ht="15.75" customHeight="1">
      <c r="A955" s="33"/>
      <c r="H955" s="33"/>
      <c r="L955" s="33"/>
      <c r="N955" s="33"/>
      <c r="O955" s="33"/>
      <c r="P955" s="33"/>
      <c r="Q955" s="33"/>
      <c r="S955" s="33"/>
      <c r="U955" s="33"/>
      <c r="W955" s="33"/>
      <c r="X955" s="34"/>
      <c r="Y955" s="33"/>
      <c r="Z955" s="34"/>
      <c r="AA955" s="33"/>
      <c r="AB955" s="33"/>
      <c r="AC955" s="33"/>
      <c r="AD955" s="35"/>
      <c r="AE955" s="33"/>
    </row>
    <row r="956" ht="15.75" customHeight="1">
      <c r="A956" s="33"/>
      <c r="H956" s="33"/>
      <c r="L956" s="33"/>
      <c r="N956" s="33"/>
      <c r="O956" s="33"/>
      <c r="P956" s="33"/>
      <c r="Q956" s="33"/>
      <c r="S956" s="33"/>
      <c r="U956" s="33"/>
      <c r="W956" s="33"/>
      <c r="X956" s="34"/>
      <c r="Y956" s="33"/>
      <c r="Z956" s="34"/>
      <c r="AA956" s="33"/>
      <c r="AB956" s="33"/>
      <c r="AC956" s="33"/>
      <c r="AD956" s="35"/>
      <c r="AE956" s="33"/>
    </row>
    <row r="957" ht="15.75" customHeight="1">
      <c r="A957" s="33"/>
      <c r="H957" s="33"/>
      <c r="L957" s="33"/>
      <c r="N957" s="33"/>
      <c r="O957" s="33"/>
      <c r="P957" s="33"/>
      <c r="Q957" s="33"/>
      <c r="S957" s="33"/>
      <c r="U957" s="33"/>
      <c r="W957" s="33"/>
      <c r="X957" s="34"/>
      <c r="Y957" s="33"/>
      <c r="Z957" s="34"/>
      <c r="AA957" s="33"/>
      <c r="AB957" s="33"/>
      <c r="AC957" s="33"/>
      <c r="AD957" s="35"/>
      <c r="AE957" s="33"/>
    </row>
    <row r="958" ht="15.75" customHeight="1">
      <c r="A958" s="33"/>
      <c r="H958" s="33"/>
      <c r="L958" s="33"/>
      <c r="N958" s="33"/>
      <c r="O958" s="33"/>
      <c r="P958" s="33"/>
      <c r="Q958" s="33"/>
      <c r="S958" s="33"/>
      <c r="U958" s="33"/>
      <c r="W958" s="33"/>
      <c r="X958" s="34"/>
      <c r="Y958" s="33"/>
      <c r="Z958" s="34"/>
      <c r="AA958" s="33"/>
      <c r="AB958" s="33"/>
      <c r="AC958" s="33"/>
      <c r="AD958" s="35"/>
      <c r="AE958" s="33"/>
    </row>
    <row r="959" ht="15.75" customHeight="1">
      <c r="A959" s="33"/>
      <c r="H959" s="33"/>
      <c r="L959" s="33"/>
      <c r="N959" s="33"/>
      <c r="O959" s="33"/>
      <c r="P959" s="33"/>
      <c r="Q959" s="33"/>
      <c r="S959" s="33"/>
      <c r="U959" s="33"/>
      <c r="W959" s="33"/>
      <c r="X959" s="34"/>
      <c r="Y959" s="33"/>
      <c r="Z959" s="34"/>
      <c r="AA959" s="33"/>
      <c r="AB959" s="33"/>
      <c r="AC959" s="33"/>
      <c r="AD959" s="35"/>
      <c r="AE959" s="33"/>
    </row>
    <row r="960" ht="15.75" customHeight="1">
      <c r="A960" s="33"/>
      <c r="H960" s="33"/>
      <c r="L960" s="33"/>
      <c r="N960" s="33"/>
      <c r="O960" s="33"/>
      <c r="P960" s="33"/>
      <c r="Q960" s="33"/>
      <c r="S960" s="33"/>
      <c r="U960" s="33"/>
      <c r="W960" s="33"/>
      <c r="X960" s="34"/>
      <c r="Y960" s="33"/>
      <c r="Z960" s="34"/>
      <c r="AA960" s="33"/>
      <c r="AB960" s="33"/>
      <c r="AC960" s="33"/>
      <c r="AD960" s="35"/>
      <c r="AE960" s="33"/>
    </row>
    <row r="961" ht="15.75" customHeight="1">
      <c r="A961" s="33"/>
      <c r="H961" s="33"/>
      <c r="L961" s="33"/>
      <c r="N961" s="33"/>
      <c r="O961" s="33"/>
      <c r="P961" s="33"/>
      <c r="Q961" s="33"/>
      <c r="S961" s="33"/>
      <c r="U961" s="33"/>
      <c r="W961" s="33"/>
      <c r="X961" s="34"/>
      <c r="Y961" s="33"/>
      <c r="Z961" s="34"/>
      <c r="AA961" s="33"/>
      <c r="AB961" s="33"/>
      <c r="AC961" s="33"/>
      <c r="AD961" s="35"/>
      <c r="AE961" s="33"/>
    </row>
    <row r="962" ht="15.75" customHeight="1">
      <c r="A962" s="33"/>
      <c r="H962" s="33"/>
      <c r="L962" s="33"/>
      <c r="N962" s="33"/>
      <c r="O962" s="33"/>
      <c r="P962" s="33"/>
      <c r="Q962" s="33"/>
      <c r="S962" s="33"/>
      <c r="U962" s="33"/>
      <c r="W962" s="33"/>
      <c r="X962" s="34"/>
      <c r="Y962" s="33"/>
      <c r="Z962" s="34"/>
      <c r="AA962" s="33"/>
      <c r="AB962" s="33"/>
      <c r="AC962" s="33"/>
      <c r="AD962" s="35"/>
      <c r="AE962" s="33"/>
    </row>
    <row r="963" ht="15.75" customHeight="1">
      <c r="A963" s="33"/>
      <c r="H963" s="33"/>
      <c r="L963" s="33"/>
      <c r="N963" s="33"/>
      <c r="O963" s="33"/>
      <c r="P963" s="33"/>
      <c r="Q963" s="33"/>
      <c r="S963" s="33"/>
      <c r="U963" s="33"/>
      <c r="W963" s="33"/>
      <c r="X963" s="34"/>
      <c r="Y963" s="33"/>
      <c r="Z963" s="34"/>
      <c r="AA963" s="33"/>
      <c r="AB963" s="33"/>
      <c r="AC963" s="33"/>
      <c r="AD963" s="35"/>
      <c r="AE963" s="33"/>
    </row>
    <row r="964" ht="15.75" customHeight="1">
      <c r="A964" s="33"/>
      <c r="H964" s="33"/>
      <c r="L964" s="33"/>
      <c r="N964" s="33"/>
      <c r="O964" s="33"/>
      <c r="P964" s="33"/>
      <c r="Q964" s="33"/>
      <c r="S964" s="33"/>
      <c r="U964" s="33"/>
      <c r="W964" s="33"/>
      <c r="X964" s="34"/>
      <c r="Y964" s="33"/>
      <c r="Z964" s="34"/>
      <c r="AA964" s="33"/>
      <c r="AB964" s="33"/>
      <c r="AC964" s="33"/>
      <c r="AD964" s="35"/>
      <c r="AE964" s="33"/>
    </row>
    <row r="965" ht="15.75" customHeight="1">
      <c r="A965" s="33"/>
      <c r="H965" s="33"/>
      <c r="L965" s="33"/>
      <c r="N965" s="33"/>
      <c r="O965" s="33"/>
      <c r="P965" s="33"/>
      <c r="Q965" s="33"/>
      <c r="S965" s="33"/>
      <c r="U965" s="33"/>
      <c r="W965" s="33"/>
      <c r="X965" s="34"/>
      <c r="Y965" s="33"/>
      <c r="Z965" s="34"/>
      <c r="AA965" s="33"/>
      <c r="AB965" s="33"/>
      <c r="AC965" s="33"/>
      <c r="AD965" s="35"/>
      <c r="AE965" s="33"/>
    </row>
    <row r="966" ht="15.75" customHeight="1">
      <c r="A966" s="33"/>
      <c r="H966" s="33"/>
      <c r="L966" s="33"/>
      <c r="N966" s="33"/>
      <c r="O966" s="33"/>
      <c r="P966" s="33"/>
      <c r="Q966" s="33"/>
      <c r="S966" s="33"/>
      <c r="U966" s="33"/>
      <c r="W966" s="33"/>
      <c r="X966" s="34"/>
      <c r="Y966" s="33"/>
      <c r="Z966" s="34"/>
      <c r="AA966" s="33"/>
      <c r="AB966" s="33"/>
      <c r="AC966" s="33"/>
      <c r="AD966" s="35"/>
      <c r="AE966" s="33"/>
    </row>
    <row r="967" ht="15.75" customHeight="1">
      <c r="A967" s="33"/>
      <c r="H967" s="33"/>
      <c r="L967" s="33"/>
      <c r="N967" s="33"/>
      <c r="O967" s="33"/>
      <c r="P967" s="33"/>
      <c r="Q967" s="33"/>
      <c r="S967" s="33"/>
      <c r="U967" s="33"/>
      <c r="W967" s="33"/>
      <c r="X967" s="34"/>
      <c r="Y967" s="33"/>
      <c r="Z967" s="34"/>
      <c r="AA967" s="33"/>
      <c r="AB967" s="33"/>
      <c r="AC967" s="33"/>
      <c r="AD967" s="35"/>
      <c r="AE967" s="33"/>
    </row>
    <row r="968" ht="15.75" customHeight="1">
      <c r="A968" s="33"/>
      <c r="H968" s="33"/>
      <c r="L968" s="33"/>
      <c r="N968" s="33"/>
      <c r="O968" s="33"/>
      <c r="P968" s="33"/>
      <c r="Q968" s="33"/>
      <c r="S968" s="33"/>
      <c r="U968" s="33"/>
      <c r="W968" s="33"/>
      <c r="X968" s="34"/>
      <c r="Y968" s="33"/>
      <c r="Z968" s="34"/>
      <c r="AA968" s="33"/>
      <c r="AB968" s="33"/>
      <c r="AC968" s="33"/>
      <c r="AD968" s="35"/>
      <c r="AE968" s="33"/>
    </row>
    <row r="969" ht="15.75" customHeight="1">
      <c r="A969" s="33"/>
      <c r="H969" s="33"/>
      <c r="L969" s="33"/>
      <c r="N969" s="33"/>
      <c r="O969" s="33"/>
      <c r="P969" s="33"/>
      <c r="Q969" s="33"/>
      <c r="S969" s="33"/>
      <c r="U969" s="33"/>
      <c r="W969" s="33"/>
      <c r="X969" s="34"/>
      <c r="Y969" s="33"/>
      <c r="Z969" s="34"/>
      <c r="AA969" s="33"/>
      <c r="AB969" s="33"/>
      <c r="AC969" s="33"/>
      <c r="AD969" s="35"/>
      <c r="AE969" s="33"/>
    </row>
    <row r="970" ht="15.75" customHeight="1">
      <c r="A970" s="33"/>
      <c r="H970" s="33"/>
      <c r="L970" s="33"/>
      <c r="N970" s="33"/>
      <c r="O970" s="33"/>
      <c r="P970" s="33"/>
      <c r="Q970" s="33"/>
      <c r="S970" s="33"/>
      <c r="U970" s="33"/>
      <c r="W970" s="33"/>
      <c r="X970" s="34"/>
      <c r="Y970" s="33"/>
      <c r="Z970" s="34"/>
      <c r="AA970" s="33"/>
      <c r="AB970" s="33"/>
      <c r="AC970" s="33"/>
      <c r="AD970" s="35"/>
      <c r="AE970" s="33"/>
    </row>
    <row r="971" ht="15.75" customHeight="1">
      <c r="A971" s="33"/>
      <c r="H971" s="33"/>
      <c r="L971" s="33"/>
      <c r="N971" s="33"/>
      <c r="O971" s="33"/>
      <c r="P971" s="33"/>
      <c r="Q971" s="33"/>
      <c r="S971" s="33"/>
      <c r="U971" s="33"/>
      <c r="W971" s="33"/>
      <c r="X971" s="34"/>
      <c r="Y971" s="33"/>
      <c r="Z971" s="34"/>
      <c r="AA971" s="33"/>
      <c r="AB971" s="33"/>
      <c r="AC971" s="33"/>
      <c r="AD971" s="35"/>
      <c r="AE971" s="33"/>
    </row>
    <row r="972" ht="15.75" customHeight="1">
      <c r="A972" s="33"/>
      <c r="H972" s="33"/>
      <c r="L972" s="33"/>
      <c r="N972" s="33"/>
      <c r="O972" s="33"/>
      <c r="P972" s="33"/>
      <c r="Q972" s="33"/>
      <c r="S972" s="33"/>
      <c r="U972" s="33"/>
      <c r="W972" s="33"/>
      <c r="X972" s="34"/>
      <c r="Y972" s="33"/>
      <c r="Z972" s="34"/>
      <c r="AA972" s="33"/>
      <c r="AB972" s="33"/>
      <c r="AC972" s="33"/>
      <c r="AD972" s="35"/>
      <c r="AE972" s="33"/>
    </row>
    <row r="973" ht="15.75" customHeight="1">
      <c r="A973" s="33"/>
      <c r="H973" s="33"/>
      <c r="L973" s="33"/>
      <c r="N973" s="33"/>
      <c r="O973" s="33"/>
      <c r="P973" s="33"/>
      <c r="Q973" s="33"/>
      <c r="S973" s="33"/>
      <c r="U973" s="33"/>
      <c r="W973" s="33"/>
      <c r="X973" s="34"/>
      <c r="Y973" s="33"/>
      <c r="Z973" s="34"/>
      <c r="AA973" s="33"/>
      <c r="AB973" s="33"/>
      <c r="AC973" s="33"/>
      <c r="AD973" s="35"/>
      <c r="AE973" s="33"/>
    </row>
    <row r="974" ht="15.75" customHeight="1">
      <c r="A974" s="33"/>
      <c r="H974" s="33"/>
      <c r="L974" s="33"/>
      <c r="N974" s="33"/>
      <c r="O974" s="33"/>
      <c r="P974" s="33"/>
      <c r="Q974" s="33"/>
      <c r="S974" s="33"/>
      <c r="U974" s="33"/>
      <c r="W974" s="33"/>
      <c r="X974" s="34"/>
      <c r="Y974" s="33"/>
      <c r="Z974" s="34"/>
      <c r="AA974" s="33"/>
      <c r="AB974" s="33"/>
      <c r="AC974" s="33"/>
      <c r="AD974" s="35"/>
      <c r="AE974" s="33"/>
    </row>
    <row r="975" ht="15.75" customHeight="1">
      <c r="A975" s="33"/>
      <c r="H975" s="33"/>
      <c r="L975" s="33"/>
      <c r="N975" s="33"/>
      <c r="O975" s="33"/>
      <c r="P975" s="33"/>
      <c r="Q975" s="33"/>
      <c r="S975" s="33"/>
      <c r="U975" s="33"/>
      <c r="W975" s="33"/>
      <c r="X975" s="34"/>
      <c r="Y975" s="33"/>
      <c r="Z975" s="34"/>
      <c r="AA975" s="33"/>
      <c r="AB975" s="33"/>
      <c r="AC975" s="33"/>
      <c r="AD975" s="35"/>
      <c r="AE975" s="33"/>
    </row>
    <row r="976" ht="15.75" customHeight="1">
      <c r="A976" s="33"/>
      <c r="H976" s="33"/>
      <c r="L976" s="33"/>
      <c r="N976" s="33"/>
      <c r="O976" s="33"/>
      <c r="P976" s="33"/>
      <c r="Q976" s="33"/>
      <c r="S976" s="33"/>
      <c r="U976" s="33"/>
      <c r="W976" s="33"/>
      <c r="X976" s="34"/>
      <c r="Y976" s="33"/>
      <c r="Z976" s="34"/>
      <c r="AA976" s="33"/>
      <c r="AB976" s="33"/>
      <c r="AC976" s="33"/>
      <c r="AD976" s="35"/>
      <c r="AE976" s="33"/>
    </row>
    <row r="977" ht="15.75" customHeight="1">
      <c r="A977" s="33"/>
      <c r="H977" s="33"/>
      <c r="L977" s="33"/>
      <c r="N977" s="33"/>
      <c r="O977" s="33"/>
      <c r="P977" s="33"/>
      <c r="Q977" s="33"/>
      <c r="S977" s="33"/>
      <c r="U977" s="33"/>
      <c r="W977" s="33"/>
      <c r="X977" s="34"/>
      <c r="Y977" s="33"/>
      <c r="Z977" s="34"/>
      <c r="AA977" s="33"/>
      <c r="AB977" s="33"/>
      <c r="AC977" s="33"/>
      <c r="AD977" s="35"/>
      <c r="AE977" s="33"/>
    </row>
    <row r="978" ht="15.75" customHeight="1">
      <c r="A978" s="33"/>
      <c r="H978" s="33"/>
      <c r="L978" s="33"/>
      <c r="N978" s="33"/>
      <c r="O978" s="33"/>
      <c r="P978" s="33"/>
      <c r="Q978" s="33"/>
      <c r="S978" s="33"/>
      <c r="U978" s="33"/>
      <c r="W978" s="33"/>
      <c r="X978" s="34"/>
      <c r="Y978" s="33"/>
      <c r="Z978" s="34"/>
      <c r="AA978" s="33"/>
      <c r="AB978" s="33"/>
      <c r="AC978" s="33"/>
      <c r="AD978" s="35"/>
      <c r="AE978" s="33"/>
    </row>
    <row r="979" ht="15.75" customHeight="1">
      <c r="A979" s="33"/>
      <c r="H979" s="33"/>
      <c r="L979" s="33"/>
      <c r="N979" s="33"/>
      <c r="O979" s="33"/>
      <c r="P979" s="33"/>
      <c r="Q979" s="33"/>
      <c r="S979" s="33"/>
      <c r="U979" s="33"/>
      <c r="W979" s="33"/>
      <c r="X979" s="34"/>
      <c r="Y979" s="33"/>
      <c r="Z979" s="34"/>
      <c r="AA979" s="33"/>
      <c r="AB979" s="33"/>
      <c r="AC979" s="33"/>
      <c r="AD979" s="35"/>
      <c r="AE979" s="33"/>
    </row>
    <row r="980" ht="15.75" customHeight="1">
      <c r="A980" s="33"/>
      <c r="H980" s="33"/>
      <c r="L980" s="33"/>
      <c r="N980" s="33"/>
      <c r="O980" s="33"/>
      <c r="P980" s="33"/>
      <c r="Q980" s="33"/>
      <c r="S980" s="33"/>
      <c r="U980" s="33"/>
      <c r="W980" s="33"/>
      <c r="X980" s="34"/>
      <c r="Y980" s="33"/>
      <c r="Z980" s="34"/>
      <c r="AA980" s="33"/>
      <c r="AB980" s="33"/>
      <c r="AC980" s="33"/>
      <c r="AD980" s="35"/>
      <c r="AE980" s="33"/>
    </row>
    <row r="981" ht="15.75" customHeight="1">
      <c r="A981" s="33"/>
      <c r="H981" s="33"/>
      <c r="L981" s="33"/>
      <c r="N981" s="33"/>
      <c r="O981" s="33"/>
      <c r="P981" s="33"/>
      <c r="Q981" s="33"/>
      <c r="S981" s="33"/>
      <c r="U981" s="33"/>
      <c r="W981" s="33"/>
      <c r="X981" s="34"/>
      <c r="Y981" s="33"/>
      <c r="Z981" s="34"/>
      <c r="AA981" s="33"/>
      <c r="AB981" s="33"/>
      <c r="AC981" s="33"/>
      <c r="AD981" s="35"/>
      <c r="AE981" s="33"/>
    </row>
    <row r="982" ht="15.75" customHeight="1">
      <c r="A982" s="33"/>
      <c r="H982" s="33"/>
      <c r="L982" s="33"/>
      <c r="N982" s="33"/>
      <c r="O982" s="33"/>
      <c r="P982" s="33"/>
      <c r="Q982" s="33"/>
      <c r="S982" s="33"/>
      <c r="U982" s="33"/>
      <c r="W982" s="33"/>
      <c r="X982" s="34"/>
      <c r="Y982" s="33"/>
      <c r="Z982" s="34"/>
      <c r="AA982" s="33"/>
      <c r="AB982" s="33"/>
      <c r="AC982" s="33"/>
      <c r="AD982" s="35"/>
      <c r="AE982" s="33"/>
    </row>
    <row r="983" ht="15.75" customHeight="1">
      <c r="A983" s="33"/>
      <c r="H983" s="33"/>
      <c r="L983" s="33"/>
      <c r="N983" s="33"/>
      <c r="O983" s="33"/>
      <c r="P983" s="33"/>
      <c r="Q983" s="33"/>
      <c r="S983" s="33"/>
      <c r="U983" s="33"/>
      <c r="W983" s="33"/>
      <c r="X983" s="34"/>
      <c r="Y983" s="33"/>
      <c r="Z983" s="34"/>
      <c r="AA983" s="33"/>
      <c r="AB983" s="33"/>
      <c r="AC983" s="33"/>
      <c r="AD983" s="35"/>
      <c r="AE983" s="33"/>
    </row>
    <row r="984" ht="15.75" customHeight="1">
      <c r="A984" s="33"/>
      <c r="H984" s="33"/>
      <c r="L984" s="33"/>
      <c r="N984" s="33"/>
      <c r="O984" s="33"/>
      <c r="P984" s="33"/>
      <c r="Q984" s="33"/>
      <c r="S984" s="33"/>
      <c r="U984" s="33"/>
      <c r="W984" s="33"/>
      <c r="X984" s="34"/>
      <c r="Y984" s="33"/>
      <c r="Z984" s="34"/>
      <c r="AA984" s="33"/>
      <c r="AB984" s="33"/>
      <c r="AC984" s="33"/>
      <c r="AD984" s="35"/>
      <c r="AE984" s="33"/>
    </row>
    <row r="985" ht="15.75" customHeight="1">
      <c r="A985" s="33"/>
      <c r="H985" s="33"/>
      <c r="L985" s="33"/>
      <c r="N985" s="33"/>
      <c r="O985" s="33"/>
      <c r="P985" s="33"/>
      <c r="Q985" s="33"/>
      <c r="S985" s="33"/>
      <c r="U985" s="33"/>
      <c r="W985" s="33"/>
      <c r="X985" s="34"/>
      <c r="Y985" s="33"/>
      <c r="Z985" s="34"/>
      <c r="AA985" s="33"/>
      <c r="AB985" s="33"/>
      <c r="AC985" s="33"/>
      <c r="AD985" s="35"/>
      <c r="AE985" s="33"/>
    </row>
    <row r="986" ht="15.75" customHeight="1">
      <c r="A986" s="33"/>
      <c r="H986" s="33"/>
      <c r="L986" s="33"/>
      <c r="N986" s="33"/>
      <c r="O986" s="33"/>
      <c r="P986" s="33"/>
      <c r="Q986" s="33"/>
      <c r="S986" s="33"/>
      <c r="U986" s="33"/>
      <c r="W986" s="33"/>
      <c r="X986" s="34"/>
      <c r="Y986" s="33"/>
      <c r="Z986" s="34"/>
      <c r="AA986" s="33"/>
      <c r="AB986" s="33"/>
      <c r="AC986" s="33"/>
      <c r="AD986" s="35"/>
      <c r="AE986" s="33"/>
    </row>
    <row r="987" ht="15.75" customHeight="1">
      <c r="A987" s="33"/>
      <c r="H987" s="33"/>
      <c r="L987" s="33"/>
      <c r="N987" s="33"/>
      <c r="O987" s="33"/>
      <c r="P987" s="33"/>
      <c r="Q987" s="33"/>
      <c r="S987" s="33"/>
      <c r="U987" s="33"/>
      <c r="W987" s="33"/>
      <c r="X987" s="34"/>
      <c r="Y987" s="33"/>
      <c r="Z987" s="34"/>
      <c r="AA987" s="33"/>
      <c r="AB987" s="33"/>
      <c r="AC987" s="33"/>
      <c r="AD987" s="35"/>
      <c r="AE987" s="33"/>
    </row>
    <row r="988" ht="15.75" customHeight="1">
      <c r="A988" s="33"/>
      <c r="H988" s="33"/>
      <c r="L988" s="33"/>
      <c r="N988" s="33"/>
      <c r="O988" s="33"/>
      <c r="P988" s="33"/>
      <c r="Q988" s="33"/>
      <c r="S988" s="33"/>
      <c r="U988" s="33"/>
      <c r="W988" s="33"/>
      <c r="X988" s="34"/>
      <c r="Y988" s="33"/>
      <c r="Z988" s="34"/>
      <c r="AA988" s="33"/>
      <c r="AB988" s="33"/>
      <c r="AC988" s="33"/>
      <c r="AD988" s="35"/>
      <c r="AE988" s="33"/>
    </row>
    <row r="989" ht="15.75" customHeight="1">
      <c r="A989" s="33"/>
      <c r="H989" s="33"/>
      <c r="L989" s="33"/>
      <c r="N989" s="33"/>
      <c r="O989" s="33"/>
      <c r="P989" s="33"/>
      <c r="Q989" s="33"/>
      <c r="S989" s="33"/>
      <c r="U989" s="33"/>
      <c r="W989" s="33"/>
      <c r="X989" s="34"/>
      <c r="Y989" s="33"/>
      <c r="Z989" s="34"/>
      <c r="AA989" s="33"/>
      <c r="AB989" s="33"/>
      <c r="AC989" s="33"/>
      <c r="AD989" s="35"/>
      <c r="AE989" s="33"/>
    </row>
    <row r="990" ht="15.75" customHeight="1">
      <c r="A990" s="33"/>
      <c r="H990" s="33"/>
      <c r="L990" s="33"/>
      <c r="N990" s="33"/>
      <c r="O990" s="33"/>
      <c r="P990" s="33"/>
      <c r="Q990" s="33"/>
      <c r="S990" s="33"/>
      <c r="U990" s="33"/>
      <c r="W990" s="33"/>
      <c r="X990" s="34"/>
      <c r="Y990" s="33"/>
      <c r="Z990" s="34"/>
      <c r="AA990" s="33"/>
      <c r="AB990" s="33"/>
      <c r="AC990" s="33"/>
      <c r="AD990" s="35"/>
      <c r="AE990" s="33"/>
    </row>
    <row r="991" ht="15.75" customHeight="1">
      <c r="A991" s="33"/>
      <c r="H991" s="33"/>
      <c r="L991" s="33"/>
      <c r="N991" s="33"/>
      <c r="O991" s="33"/>
      <c r="P991" s="33"/>
      <c r="Q991" s="33"/>
      <c r="S991" s="33"/>
      <c r="U991" s="33"/>
      <c r="W991" s="33"/>
      <c r="X991" s="34"/>
      <c r="Y991" s="33"/>
      <c r="Z991" s="34"/>
      <c r="AA991" s="33"/>
      <c r="AB991" s="33"/>
      <c r="AC991" s="33"/>
      <c r="AD991" s="35"/>
      <c r="AE991" s="33"/>
    </row>
    <row r="992" ht="15.75" customHeight="1">
      <c r="A992" s="33"/>
      <c r="H992" s="33"/>
      <c r="L992" s="33"/>
      <c r="N992" s="33"/>
      <c r="O992" s="33"/>
      <c r="P992" s="33"/>
      <c r="Q992" s="33"/>
      <c r="S992" s="33"/>
      <c r="U992" s="33"/>
      <c r="W992" s="33"/>
      <c r="X992" s="34"/>
      <c r="Y992" s="33"/>
      <c r="Z992" s="34"/>
      <c r="AA992" s="33"/>
      <c r="AB992" s="33"/>
      <c r="AC992" s="33"/>
      <c r="AD992" s="35"/>
      <c r="AE992" s="33"/>
    </row>
    <row r="993" ht="15.75" customHeight="1">
      <c r="A993" s="33"/>
      <c r="H993" s="33"/>
      <c r="L993" s="33"/>
      <c r="N993" s="33"/>
      <c r="O993" s="33"/>
      <c r="P993" s="33"/>
      <c r="Q993" s="33"/>
      <c r="S993" s="33"/>
      <c r="U993" s="33"/>
      <c r="W993" s="33"/>
      <c r="X993" s="34"/>
      <c r="Y993" s="33"/>
      <c r="Z993" s="34"/>
      <c r="AA993" s="33"/>
      <c r="AB993" s="33"/>
      <c r="AC993" s="33"/>
      <c r="AD993" s="35"/>
      <c r="AE993" s="33"/>
    </row>
    <row r="994" ht="15.75" customHeight="1">
      <c r="A994" s="33"/>
      <c r="H994" s="33"/>
      <c r="L994" s="33"/>
      <c r="N994" s="33"/>
      <c r="O994" s="33"/>
      <c r="P994" s="33"/>
      <c r="Q994" s="33"/>
      <c r="S994" s="33"/>
      <c r="U994" s="33"/>
      <c r="W994" s="33"/>
      <c r="X994" s="34"/>
      <c r="Y994" s="33"/>
      <c r="Z994" s="34"/>
      <c r="AA994" s="33"/>
      <c r="AB994" s="33"/>
      <c r="AC994" s="33"/>
      <c r="AD994" s="35"/>
      <c r="AE994" s="33"/>
    </row>
    <row r="995" ht="15.75" customHeight="1">
      <c r="A995" s="33"/>
      <c r="H995" s="33"/>
      <c r="L995" s="33"/>
      <c r="N995" s="33"/>
      <c r="O995" s="33"/>
      <c r="P995" s="33"/>
      <c r="Q995" s="33"/>
      <c r="S995" s="33"/>
      <c r="U995" s="33"/>
      <c r="W995" s="33"/>
      <c r="X995" s="34"/>
      <c r="Y995" s="33"/>
      <c r="Z995" s="34"/>
      <c r="AA995" s="33"/>
      <c r="AB995" s="33"/>
      <c r="AC995" s="33"/>
      <c r="AD995" s="35"/>
      <c r="AE995" s="33"/>
    </row>
    <row r="996" ht="15.75" customHeight="1">
      <c r="A996" s="33"/>
      <c r="H996" s="33"/>
      <c r="L996" s="33"/>
      <c r="N996" s="33"/>
      <c r="O996" s="33"/>
      <c r="P996" s="33"/>
      <c r="Q996" s="33"/>
      <c r="S996" s="33"/>
      <c r="U996" s="33"/>
      <c r="W996" s="33"/>
      <c r="X996" s="34"/>
      <c r="Y996" s="33"/>
      <c r="Z996" s="34"/>
      <c r="AA996" s="33"/>
      <c r="AB996" s="33"/>
      <c r="AC996" s="33"/>
      <c r="AD996" s="35"/>
      <c r="AE996" s="33"/>
    </row>
    <row r="997" ht="15.75" customHeight="1">
      <c r="A997" s="33"/>
      <c r="H997" s="33"/>
      <c r="L997" s="33"/>
      <c r="N997" s="33"/>
      <c r="O997" s="33"/>
      <c r="P997" s="33"/>
      <c r="Q997" s="33"/>
      <c r="S997" s="33"/>
      <c r="U997" s="33"/>
      <c r="W997" s="33"/>
      <c r="X997" s="34"/>
      <c r="Y997" s="33"/>
      <c r="Z997" s="34"/>
      <c r="AA997" s="33"/>
      <c r="AB997" s="33"/>
      <c r="AC997" s="33"/>
      <c r="AD997" s="35"/>
      <c r="AE997" s="33"/>
    </row>
    <row r="998" ht="15.75" customHeight="1">
      <c r="A998" s="33"/>
      <c r="H998" s="33"/>
      <c r="L998" s="33"/>
      <c r="N998" s="33"/>
      <c r="O998" s="33"/>
      <c r="P998" s="33"/>
      <c r="Q998" s="33"/>
      <c r="S998" s="33"/>
      <c r="U998" s="33"/>
      <c r="W998" s="33"/>
      <c r="X998" s="34"/>
      <c r="Y998" s="33"/>
      <c r="Z998" s="34"/>
      <c r="AA998" s="33"/>
      <c r="AB998" s="33"/>
      <c r="AC998" s="33"/>
      <c r="AD998" s="35"/>
      <c r="AE998" s="33"/>
    </row>
    <row r="999" ht="15.75" customHeight="1">
      <c r="A999" s="33"/>
      <c r="H999" s="33"/>
      <c r="L999" s="33"/>
      <c r="N999" s="33"/>
      <c r="O999" s="33"/>
      <c r="P999" s="33"/>
      <c r="Q999" s="33"/>
      <c r="S999" s="33"/>
      <c r="U999" s="33"/>
      <c r="W999" s="33"/>
      <c r="X999" s="34"/>
      <c r="Y999" s="33"/>
      <c r="Z999" s="34"/>
      <c r="AA999" s="33"/>
      <c r="AB999" s="33"/>
      <c r="AC999" s="33"/>
      <c r="AD999" s="35"/>
      <c r="AE999" s="33"/>
    </row>
  </sheetData>
  <autoFilter ref="$A$1:$AI$172"/>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2.43"/>
    <col customWidth="1" min="3" max="3" width="20.14"/>
    <col customWidth="1" min="4" max="5" width="13.14"/>
    <col customWidth="1" min="6" max="6" width="11.57"/>
    <col customWidth="1" min="7" max="7" width="10.71"/>
    <col customWidth="1" min="8" max="8" width="31.43"/>
    <col customWidth="1" min="9" max="9" width="7.0"/>
    <col customWidth="1" min="10" max="10" width="12.86"/>
    <col customWidth="1" min="11" max="11" width="12.29"/>
    <col customWidth="1" min="12" max="12" width="17.14"/>
    <col customWidth="1" min="13" max="13" width="7.71"/>
    <col customWidth="1" min="14" max="14" width="5.29"/>
    <col customWidth="1" min="15" max="15" width="7.0"/>
    <col customWidth="1" min="16" max="16" width="5.29"/>
    <col customWidth="1" min="17" max="17" width="5.86"/>
    <col customWidth="1" min="18" max="18" width="5.29"/>
    <col customWidth="1" min="19" max="19" width="5.14"/>
    <col customWidth="1" min="20" max="20" width="5.29"/>
    <col customWidth="1" min="21" max="21" width="11.0"/>
    <col customWidth="1" min="22" max="22" width="8.29"/>
    <col customWidth="1" min="23" max="24" width="10.71"/>
    <col customWidth="1" min="25" max="25" width="22.86"/>
    <col customWidth="1" min="26" max="29" width="10.71"/>
    <col customWidth="1" min="30" max="30" width="516.14"/>
    <col customWidth="1" min="31" max="33" width="10.71"/>
  </cols>
  <sheetData>
    <row r="1">
      <c r="A1" s="36" t="s">
        <v>0</v>
      </c>
      <c r="B1" s="1" t="s">
        <v>1</v>
      </c>
      <c r="C1" s="1" t="s">
        <v>2</v>
      </c>
      <c r="D1" s="36" t="s">
        <v>3</v>
      </c>
      <c r="E1" s="36" t="s">
        <v>519</v>
      </c>
      <c r="F1" s="36" t="s">
        <v>520</v>
      </c>
      <c r="G1" s="36" t="s">
        <v>5</v>
      </c>
      <c r="H1" s="36" t="s">
        <v>6</v>
      </c>
      <c r="I1" s="36" t="s">
        <v>7</v>
      </c>
      <c r="J1" s="36" t="s">
        <v>8</v>
      </c>
      <c r="K1" s="36" t="s">
        <v>9</v>
      </c>
      <c r="L1" s="36" t="s">
        <v>10</v>
      </c>
      <c r="M1" s="36" t="s">
        <v>11</v>
      </c>
      <c r="N1" s="37" t="s">
        <v>521</v>
      </c>
      <c r="O1" s="36" t="s">
        <v>16</v>
      </c>
      <c r="P1" s="37" t="s">
        <v>521</v>
      </c>
      <c r="Q1" s="36" t="s">
        <v>17</v>
      </c>
      <c r="R1" s="37" t="s">
        <v>521</v>
      </c>
      <c r="S1" s="36" t="s">
        <v>18</v>
      </c>
      <c r="T1" s="37" t="s">
        <v>521</v>
      </c>
      <c r="U1" s="36" t="s">
        <v>20</v>
      </c>
      <c r="V1" s="37" t="s">
        <v>21</v>
      </c>
      <c r="W1" s="36" t="s">
        <v>22</v>
      </c>
      <c r="X1" s="38" t="s">
        <v>26</v>
      </c>
      <c r="Y1" s="38" t="s">
        <v>27</v>
      </c>
      <c r="Z1" s="38" t="s">
        <v>28</v>
      </c>
      <c r="AA1" s="38" t="s">
        <v>29</v>
      </c>
      <c r="AB1" s="38" t="s">
        <v>30</v>
      </c>
      <c r="AC1" s="38" t="s">
        <v>31</v>
      </c>
      <c r="AD1" s="39" t="s">
        <v>32</v>
      </c>
    </row>
    <row r="2">
      <c r="A2" s="40">
        <v>22571.0</v>
      </c>
      <c r="B2" s="5" t="s">
        <v>33</v>
      </c>
      <c r="C2" s="5" t="s">
        <v>34</v>
      </c>
      <c r="D2" s="33" t="s">
        <v>522</v>
      </c>
      <c r="E2" s="40" t="s">
        <v>523</v>
      </c>
      <c r="F2" s="40" t="s">
        <v>524</v>
      </c>
      <c r="G2" s="40" t="s">
        <v>525</v>
      </c>
      <c r="H2" s="40" t="s">
        <v>526</v>
      </c>
      <c r="I2" s="40" t="s">
        <v>527</v>
      </c>
      <c r="J2" s="40" t="s">
        <v>528</v>
      </c>
      <c r="K2" s="40" t="s">
        <v>529</v>
      </c>
      <c r="L2" s="33" t="s">
        <v>530</v>
      </c>
      <c r="M2" s="40">
        <v>10.0</v>
      </c>
      <c r="N2" s="40" t="s">
        <v>42</v>
      </c>
      <c r="O2" s="40">
        <v>160.0</v>
      </c>
      <c r="P2" s="40" t="s">
        <v>42</v>
      </c>
      <c r="Q2" s="40">
        <v>1000.0</v>
      </c>
      <c r="R2" s="40" t="s">
        <v>42</v>
      </c>
      <c r="S2" s="40">
        <v>1.13</v>
      </c>
      <c r="T2" s="40" t="s">
        <v>46</v>
      </c>
      <c r="U2" s="41">
        <v>20.65</v>
      </c>
      <c r="V2" s="40" t="s">
        <v>61</v>
      </c>
      <c r="W2" s="34">
        <f t="shared" ref="W2:W67" si="1">U2*S2</f>
        <v>23.3345</v>
      </c>
      <c r="Y2" s="32" t="s">
        <v>531</v>
      </c>
      <c r="AD2" s="42" t="s">
        <v>532</v>
      </c>
    </row>
    <row r="3">
      <c r="A3" s="40">
        <v>22573.0</v>
      </c>
      <c r="B3" s="5" t="s">
        <v>33</v>
      </c>
      <c r="C3" s="5" t="s">
        <v>34</v>
      </c>
      <c r="D3" s="33" t="s">
        <v>522</v>
      </c>
      <c r="E3" s="40" t="s">
        <v>523</v>
      </c>
      <c r="F3" s="40" t="s">
        <v>524</v>
      </c>
      <c r="G3" s="40" t="s">
        <v>525</v>
      </c>
      <c r="H3" s="40" t="s">
        <v>533</v>
      </c>
      <c r="I3" s="40" t="s">
        <v>527</v>
      </c>
      <c r="J3" s="40" t="s">
        <v>528</v>
      </c>
      <c r="K3" s="40" t="s">
        <v>529</v>
      </c>
      <c r="L3" s="33" t="s">
        <v>530</v>
      </c>
      <c r="M3" s="40">
        <v>10.0</v>
      </c>
      <c r="N3" s="40" t="s">
        <v>42</v>
      </c>
      <c r="O3" s="40">
        <v>160.0</v>
      </c>
      <c r="P3" s="40" t="s">
        <v>42</v>
      </c>
      <c r="Q3" s="40">
        <v>1000.0</v>
      </c>
      <c r="R3" s="40" t="s">
        <v>42</v>
      </c>
      <c r="S3" s="40">
        <v>1.13</v>
      </c>
      <c r="T3" s="40" t="s">
        <v>46</v>
      </c>
      <c r="U3" s="41">
        <v>20.65</v>
      </c>
      <c r="V3" s="40" t="s">
        <v>61</v>
      </c>
      <c r="W3" s="34">
        <f t="shared" si="1"/>
        <v>23.3345</v>
      </c>
      <c r="Y3" s="40" t="s">
        <v>534</v>
      </c>
      <c r="AD3" s="42" t="s">
        <v>535</v>
      </c>
    </row>
    <row r="4">
      <c r="A4" s="40">
        <v>22572.0</v>
      </c>
      <c r="B4" s="5" t="s">
        <v>33</v>
      </c>
      <c r="C4" s="5" t="s">
        <v>34</v>
      </c>
      <c r="D4" s="33" t="s">
        <v>522</v>
      </c>
      <c r="E4" s="40" t="s">
        <v>523</v>
      </c>
      <c r="F4" s="40" t="s">
        <v>524</v>
      </c>
      <c r="G4" s="40" t="s">
        <v>525</v>
      </c>
      <c r="H4" s="40" t="s">
        <v>536</v>
      </c>
      <c r="I4" s="40" t="s">
        <v>527</v>
      </c>
      <c r="J4" s="40" t="s">
        <v>528</v>
      </c>
      <c r="K4" s="40" t="s">
        <v>529</v>
      </c>
      <c r="L4" s="33" t="s">
        <v>530</v>
      </c>
      <c r="M4" s="40">
        <v>10.0</v>
      </c>
      <c r="N4" s="40" t="s">
        <v>42</v>
      </c>
      <c r="O4" s="40">
        <v>160.0</v>
      </c>
      <c r="P4" s="40" t="s">
        <v>42</v>
      </c>
      <c r="Q4" s="40">
        <v>1000.0</v>
      </c>
      <c r="R4" s="40" t="s">
        <v>42</v>
      </c>
      <c r="S4" s="40">
        <v>1.13</v>
      </c>
      <c r="T4" s="40" t="s">
        <v>46</v>
      </c>
      <c r="U4" s="41">
        <v>20.65</v>
      </c>
      <c r="V4" s="40" t="s">
        <v>61</v>
      </c>
      <c r="W4" s="34">
        <f t="shared" si="1"/>
        <v>23.3345</v>
      </c>
      <c r="Y4" s="40" t="s">
        <v>537</v>
      </c>
      <c r="AD4" s="42" t="s">
        <v>538</v>
      </c>
    </row>
    <row r="5">
      <c r="A5" s="40">
        <v>22610.0</v>
      </c>
      <c r="B5" s="5" t="s">
        <v>33</v>
      </c>
      <c r="C5" s="5" t="s">
        <v>34</v>
      </c>
      <c r="D5" s="33" t="s">
        <v>522</v>
      </c>
      <c r="E5" s="40" t="s">
        <v>523</v>
      </c>
      <c r="F5" s="40" t="s">
        <v>524</v>
      </c>
      <c r="G5" s="40" t="s">
        <v>525</v>
      </c>
      <c r="H5" s="40" t="s">
        <v>539</v>
      </c>
      <c r="I5" s="40" t="s">
        <v>527</v>
      </c>
      <c r="J5" s="40" t="s">
        <v>528</v>
      </c>
      <c r="K5" s="40" t="s">
        <v>529</v>
      </c>
      <c r="L5" s="33" t="s">
        <v>530</v>
      </c>
      <c r="M5" s="40">
        <v>10.0</v>
      </c>
      <c r="N5" s="40" t="s">
        <v>42</v>
      </c>
      <c r="O5" s="40">
        <v>160.0</v>
      </c>
      <c r="P5" s="40" t="s">
        <v>42</v>
      </c>
      <c r="Q5" s="40">
        <v>1000.0</v>
      </c>
      <c r="R5" s="40" t="s">
        <v>42</v>
      </c>
      <c r="S5" s="40">
        <v>1.13</v>
      </c>
      <c r="T5" s="40" t="s">
        <v>46</v>
      </c>
      <c r="U5" s="41">
        <v>20.65</v>
      </c>
      <c r="V5" s="40" t="s">
        <v>61</v>
      </c>
      <c r="W5" s="34">
        <f t="shared" si="1"/>
        <v>23.3345</v>
      </c>
      <c r="Y5" s="40" t="s">
        <v>540</v>
      </c>
      <c r="AD5" s="42" t="s">
        <v>541</v>
      </c>
    </row>
    <row r="6">
      <c r="A6" s="40">
        <v>22611.0</v>
      </c>
      <c r="B6" s="5" t="s">
        <v>33</v>
      </c>
      <c r="C6" s="5" t="s">
        <v>34</v>
      </c>
      <c r="D6" s="33" t="s">
        <v>522</v>
      </c>
      <c r="E6" s="40" t="s">
        <v>523</v>
      </c>
      <c r="F6" s="40" t="s">
        <v>524</v>
      </c>
      <c r="G6" s="40" t="s">
        <v>525</v>
      </c>
      <c r="H6" s="40" t="s">
        <v>542</v>
      </c>
      <c r="I6" s="40" t="s">
        <v>527</v>
      </c>
      <c r="J6" s="40" t="s">
        <v>528</v>
      </c>
      <c r="K6" s="40" t="s">
        <v>529</v>
      </c>
      <c r="L6" s="33" t="s">
        <v>530</v>
      </c>
      <c r="M6" s="40">
        <v>10.0</v>
      </c>
      <c r="N6" s="40" t="s">
        <v>42</v>
      </c>
      <c r="O6" s="40">
        <v>160.0</v>
      </c>
      <c r="P6" s="40" t="s">
        <v>42</v>
      </c>
      <c r="Q6" s="40">
        <v>1000.0</v>
      </c>
      <c r="R6" s="40" t="s">
        <v>42</v>
      </c>
      <c r="S6" s="40">
        <v>1.13</v>
      </c>
      <c r="T6" s="40" t="s">
        <v>46</v>
      </c>
      <c r="U6" s="41">
        <v>20.65</v>
      </c>
      <c r="V6" s="40" t="s">
        <v>61</v>
      </c>
      <c r="W6" s="34">
        <f t="shared" si="1"/>
        <v>23.3345</v>
      </c>
      <c r="Y6" s="40" t="s">
        <v>543</v>
      </c>
      <c r="AD6" s="42" t="s">
        <v>544</v>
      </c>
    </row>
    <row r="7">
      <c r="A7" s="40">
        <v>22609.0</v>
      </c>
      <c r="B7" s="5" t="s">
        <v>33</v>
      </c>
      <c r="C7" s="5" t="s">
        <v>34</v>
      </c>
      <c r="D7" s="33" t="s">
        <v>522</v>
      </c>
      <c r="E7" s="40" t="s">
        <v>523</v>
      </c>
      <c r="F7" s="40" t="s">
        <v>524</v>
      </c>
      <c r="G7" s="40" t="s">
        <v>525</v>
      </c>
      <c r="H7" s="40" t="s">
        <v>545</v>
      </c>
      <c r="I7" s="40" t="s">
        <v>527</v>
      </c>
      <c r="J7" s="40" t="s">
        <v>528</v>
      </c>
      <c r="K7" s="40" t="s">
        <v>529</v>
      </c>
      <c r="L7" s="33" t="s">
        <v>530</v>
      </c>
      <c r="M7" s="40">
        <v>10.0</v>
      </c>
      <c r="N7" s="40" t="s">
        <v>42</v>
      </c>
      <c r="O7" s="40">
        <v>160.0</v>
      </c>
      <c r="P7" s="40" t="s">
        <v>42</v>
      </c>
      <c r="Q7" s="40">
        <v>1000.0</v>
      </c>
      <c r="R7" s="40" t="s">
        <v>42</v>
      </c>
      <c r="S7" s="40">
        <v>1.13</v>
      </c>
      <c r="T7" s="40" t="s">
        <v>46</v>
      </c>
      <c r="U7" s="41">
        <v>20.65</v>
      </c>
      <c r="V7" s="40" t="s">
        <v>61</v>
      </c>
      <c r="W7" s="34">
        <f t="shared" si="1"/>
        <v>23.3345</v>
      </c>
      <c r="Y7" s="40" t="s">
        <v>546</v>
      </c>
      <c r="AD7" s="42" t="s">
        <v>547</v>
      </c>
    </row>
    <row r="8">
      <c r="A8" s="40">
        <v>22566.0</v>
      </c>
      <c r="B8" s="5" t="s">
        <v>33</v>
      </c>
      <c r="C8" s="5" t="s">
        <v>34</v>
      </c>
      <c r="D8" s="33" t="s">
        <v>522</v>
      </c>
      <c r="E8" s="40" t="s">
        <v>523</v>
      </c>
      <c r="F8" s="40" t="s">
        <v>524</v>
      </c>
      <c r="G8" s="40" t="s">
        <v>525</v>
      </c>
      <c r="H8" s="40" t="s">
        <v>548</v>
      </c>
      <c r="I8" s="40" t="s">
        <v>527</v>
      </c>
      <c r="J8" s="40" t="s">
        <v>528</v>
      </c>
      <c r="K8" s="40" t="s">
        <v>529</v>
      </c>
      <c r="L8" s="33" t="s">
        <v>530</v>
      </c>
      <c r="M8" s="40">
        <v>9.0</v>
      </c>
      <c r="N8" s="40" t="s">
        <v>42</v>
      </c>
      <c r="O8" s="40">
        <v>300.0</v>
      </c>
      <c r="P8" s="40" t="s">
        <v>42</v>
      </c>
      <c r="Q8" s="40">
        <v>1200.0</v>
      </c>
      <c r="R8" s="40" t="s">
        <v>42</v>
      </c>
      <c r="S8" s="40">
        <v>1.44</v>
      </c>
      <c r="T8" s="40" t="s">
        <v>46</v>
      </c>
      <c r="U8" s="41">
        <v>20.65</v>
      </c>
      <c r="V8" s="40" t="s">
        <v>61</v>
      </c>
      <c r="W8" s="34">
        <f t="shared" si="1"/>
        <v>29.736</v>
      </c>
      <c r="Y8" s="43" t="s">
        <v>549</v>
      </c>
      <c r="AD8" s="42" t="s">
        <v>550</v>
      </c>
    </row>
    <row r="9">
      <c r="A9" s="40">
        <v>22564.0</v>
      </c>
      <c r="B9" s="5" t="s">
        <v>33</v>
      </c>
      <c r="C9" s="5" t="s">
        <v>34</v>
      </c>
      <c r="D9" s="33" t="s">
        <v>522</v>
      </c>
      <c r="E9" s="40" t="s">
        <v>523</v>
      </c>
      <c r="F9" s="40" t="s">
        <v>524</v>
      </c>
      <c r="G9" s="40" t="s">
        <v>525</v>
      </c>
      <c r="H9" s="40" t="s">
        <v>551</v>
      </c>
      <c r="I9" s="40" t="s">
        <v>527</v>
      </c>
      <c r="J9" s="40" t="s">
        <v>528</v>
      </c>
      <c r="K9" s="40" t="s">
        <v>529</v>
      </c>
      <c r="L9" s="33" t="s">
        <v>530</v>
      </c>
      <c r="M9" s="40">
        <v>9.0</v>
      </c>
      <c r="N9" s="40" t="s">
        <v>42</v>
      </c>
      <c r="O9" s="40">
        <v>300.0</v>
      </c>
      <c r="P9" s="40" t="s">
        <v>42</v>
      </c>
      <c r="Q9" s="40">
        <v>1200.0</v>
      </c>
      <c r="R9" s="40" t="s">
        <v>42</v>
      </c>
      <c r="S9" s="40">
        <v>1.44</v>
      </c>
      <c r="T9" s="40" t="s">
        <v>46</v>
      </c>
      <c r="U9" s="41">
        <v>20.65</v>
      </c>
      <c r="V9" s="40" t="s">
        <v>61</v>
      </c>
      <c r="W9" s="34">
        <f t="shared" si="1"/>
        <v>29.736</v>
      </c>
      <c r="Y9" s="43" t="s">
        <v>552</v>
      </c>
      <c r="AD9" s="42" t="s">
        <v>553</v>
      </c>
    </row>
    <row r="10">
      <c r="A10" s="40">
        <v>22565.0</v>
      </c>
      <c r="B10" s="5" t="s">
        <v>33</v>
      </c>
      <c r="C10" s="5" t="s">
        <v>34</v>
      </c>
      <c r="D10" s="33" t="s">
        <v>522</v>
      </c>
      <c r="E10" s="40" t="s">
        <v>523</v>
      </c>
      <c r="F10" s="40" t="s">
        <v>524</v>
      </c>
      <c r="G10" s="40" t="s">
        <v>525</v>
      </c>
      <c r="H10" s="40" t="s">
        <v>554</v>
      </c>
      <c r="I10" s="40" t="s">
        <v>527</v>
      </c>
      <c r="J10" s="40" t="s">
        <v>528</v>
      </c>
      <c r="K10" s="40" t="s">
        <v>529</v>
      </c>
      <c r="L10" s="33" t="s">
        <v>530</v>
      </c>
      <c r="M10" s="40">
        <v>9.0</v>
      </c>
      <c r="N10" s="40" t="s">
        <v>42</v>
      </c>
      <c r="O10" s="40">
        <v>300.0</v>
      </c>
      <c r="P10" s="40" t="s">
        <v>42</v>
      </c>
      <c r="Q10" s="40">
        <v>1200.0</v>
      </c>
      <c r="R10" s="40" t="s">
        <v>42</v>
      </c>
      <c r="S10" s="40">
        <v>1.44</v>
      </c>
      <c r="T10" s="40" t="s">
        <v>46</v>
      </c>
      <c r="U10" s="41">
        <v>20.65</v>
      </c>
      <c r="V10" s="40" t="s">
        <v>61</v>
      </c>
      <c r="W10" s="34">
        <f t="shared" si="1"/>
        <v>29.736</v>
      </c>
      <c r="Y10" s="43" t="s">
        <v>555</v>
      </c>
      <c r="AD10" s="42" t="s">
        <v>556</v>
      </c>
    </row>
    <row r="11">
      <c r="A11" s="40">
        <v>19314.0</v>
      </c>
      <c r="B11" s="5" t="s">
        <v>33</v>
      </c>
      <c r="C11" s="5" t="s">
        <v>34</v>
      </c>
      <c r="D11" s="33" t="s">
        <v>522</v>
      </c>
      <c r="E11" s="40" t="s">
        <v>523</v>
      </c>
      <c r="F11" s="40" t="s">
        <v>524</v>
      </c>
      <c r="G11" s="40" t="s">
        <v>557</v>
      </c>
      <c r="H11" s="40" t="s">
        <v>558</v>
      </c>
      <c r="I11" s="40" t="s">
        <v>527</v>
      </c>
      <c r="J11" s="40" t="s">
        <v>559</v>
      </c>
      <c r="K11" s="40" t="s">
        <v>529</v>
      </c>
      <c r="L11" s="33" t="s">
        <v>530</v>
      </c>
      <c r="M11" s="40">
        <v>8.0</v>
      </c>
      <c r="N11" s="40" t="s">
        <v>42</v>
      </c>
      <c r="O11" s="40">
        <v>233.0</v>
      </c>
      <c r="P11" s="40" t="s">
        <v>42</v>
      </c>
      <c r="Q11" s="40">
        <v>1200.0</v>
      </c>
      <c r="R11" s="40" t="s">
        <v>42</v>
      </c>
      <c r="S11" s="40">
        <v>1.68</v>
      </c>
      <c r="T11" s="40" t="s">
        <v>46</v>
      </c>
      <c r="U11" s="41">
        <v>21.7</v>
      </c>
      <c r="V11" s="40" t="s">
        <v>61</v>
      </c>
      <c r="W11" s="34">
        <f t="shared" si="1"/>
        <v>36.456</v>
      </c>
      <c r="Y11" s="43" t="s">
        <v>560</v>
      </c>
      <c r="AD11" s="42" t="s">
        <v>561</v>
      </c>
    </row>
    <row r="12">
      <c r="A12" s="40">
        <v>19561.0</v>
      </c>
      <c r="B12" s="5" t="s">
        <v>33</v>
      </c>
      <c r="C12" s="5" t="s">
        <v>34</v>
      </c>
      <c r="D12" s="33" t="s">
        <v>522</v>
      </c>
      <c r="E12" s="40" t="s">
        <v>523</v>
      </c>
      <c r="F12" s="40" t="s">
        <v>524</v>
      </c>
      <c r="G12" s="40" t="s">
        <v>557</v>
      </c>
      <c r="H12" s="40" t="s">
        <v>562</v>
      </c>
      <c r="I12" s="40" t="s">
        <v>527</v>
      </c>
      <c r="J12" s="40" t="s">
        <v>559</v>
      </c>
      <c r="K12" s="40" t="s">
        <v>529</v>
      </c>
      <c r="L12" s="33" t="s">
        <v>530</v>
      </c>
      <c r="M12" s="40">
        <v>8.0</v>
      </c>
      <c r="N12" s="40" t="s">
        <v>42</v>
      </c>
      <c r="O12" s="40">
        <v>233.0</v>
      </c>
      <c r="P12" s="40" t="s">
        <v>42</v>
      </c>
      <c r="Q12" s="40">
        <v>1200.0</v>
      </c>
      <c r="R12" s="40" t="s">
        <v>42</v>
      </c>
      <c r="S12" s="40">
        <v>1.68</v>
      </c>
      <c r="T12" s="40" t="s">
        <v>46</v>
      </c>
      <c r="U12" s="41">
        <v>21.7</v>
      </c>
      <c r="V12" s="40" t="s">
        <v>61</v>
      </c>
      <c r="W12" s="34">
        <f t="shared" si="1"/>
        <v>36.456</v>
      </c>
      <c r="Y12" s="43" t="s">
        <v>563</v>
      </c>
      <c r="AD12" s="42" t="s">
        <v>564</v>
      </c>
    </row>
    <row r="13">
      <c r="A13" s="40">
        <v>18872.0</v>
      </c>
      <c r="B13" s="5" t="s">
        <v>33</v>
      </c>
      <c r="C13" s="5" t="s">
        <v>34</v>
      </c>
      <c r="D13" s="33" t="s">
        <v>522</v>
      </c>
      <c r="E13" s="40" t="s">
        <v>523</v>
      </c>
      <c r="F13" s="40" t="s">
        <v>524</v>
      </c>
      <c r="G13" s="40" t="s">
        <v>557</v>
      </c>
      <c r="H13" s="40" t="s">
        <v>565</v>
      </c>
      <c r="I13" s="40" t="s">
        <v>527</v>
      </c>
      <c r="J13" s="40" t="s">
        <v>559</v>
      </c>
      <c r="K13" s="40" t="s">
        <v>529</v>
      </c>
      <c r="L13" s="33" t="s">
        <v>530</v>
      </c>
      <c r="M13" s="40">
        <v>8.0</v>
      </c>
      <c r="N13" s="40" t="s">
        <v>42</v>
      </c>
      <c r="O13" s="40">
        <v>233.0</v>
      </c>
      <c r="P13" s="40" t="s">
        <v>42</v>
      </c>
      <c r="Q13" s="40">
        <v>1200.0</v>
      </c>
      <c r="R13" s="40" t="s">
        <v>42</v>
      </c>
      <c r="S13" s="40">
        <v>1.68</v>
      </c>
      <c r="T13" s="40" t="s">
        <v>46</v>
      </c>
      <c r="U13" s="41">
        <v>21.7</v>
      </c>
      <c r="V13" s="40" t="s">
        <v>61</v>
      </c>
      <c r="W13" s="34">
        <f t="shared" si="1"/>
        <v>36.456</v>
      </c>
      <c r="Y13" s="43" t="s">
        <v>566</v>
      </c>
      <c r="AD13" s="42" t="s">
        <v>567</v>
      </c>
    </row>
    <row r="14">
      <c r="A14" s="40">
        <v>18871.0</v>
      </c>
      <c r="B14" s="5" t="s">
        <v>33</v>
      </c>
      <c r="C14" s="5" t="s">
        <v>34</v>
      </c>
      <c r="D14" s="33" t="s">
        <v>522</v>
      </c>
      <c r="E14" s="40" t="s">
        <v>523</v>
      </c>
      <c r="F14" s="40" t="s">
        <v>524</v>
      </c>
      <c r="G14" s="40" t="s">
        <v>557</v>
      </c>
      <c r="H14" s="40" t="s">
        <v>568</v>
      </c>
      <c r="I14" s="40" t="s">
        <v>527</v>
      </c>
      <c r="J14" s="40" t="s">
        <v>559</v>
      </c>
      <c r="K14" s="40" t="s">
        <v>529</v>
      </c>
      <c r="L14" s="33" t="s">
        <v>530</v>
      </c>
      <c r="M14" s="40">
        <v>8.0</v>
      </c>
      <c r="N14" s="40" t="s">
        <v>42</v>
      </c>
      <c r="O14" s="40">
        <v>233.0</v>
      </c>
      <c r="P14" s="40" t="s">
        <v>42</v>
      </c>
      <c r="Q14" s="40">
        <v>1200.0</v>
      </c>
      <c r="R14" s="40" t="s">
        <v>42</v>
      </c>
      <c r="S14" s="40">
        <v>1.68</v>
      </c>
      <c r="T14" s="40" t="s">
        <v>46</v>
      </c>
      <c r="U14" s="41">
        <v>21.7</v>
      </c>
      <c r="V14" s="40" t="s">
        <v>61</v>
      </c>
      <c r="W14" s="34">
        <f t="shared" si="1"/>
        <v>36.456</v>
      </c>
      <c r="Y14" s="43" t="s">
        <v>569</v>
      </c>
      <c r="AD14" s="42" t="s">
        <v>570</v>
      </c>
    </row>
    <row r="15">
      <c r="A15" s="40">
        <v>18873.0</v>
      </c>
      <c r="B15" s="5" t="s">
        <v>33</v>
      </c>
      <c r="C15" s="5" t="s">
        <v>34</v>
      </c>
      <c r="D15" s="33" t="s">
        <v>522</v>
      </c>
      <c r="E15" s="40" t="s">
        <v>523</v>
      </c>
      <c r="F15" s="40" t="s">
        <v>524</v>
      </c>
      <c r="G15" s="40" t="s">
        <v>557</v>
      </c>
      <c r="H15" s="40" t="s">
        <v>571</v>
      </c>
      <c r="I15" s="40" t="s">
        <v>527</v>
      </c>
      <c r="J15" s="40" t="s">
        <v>559</v>
      </c>
      <c r="K15" s="40" t="s">
        <v>529</v>
      </c>
      <c r="L15" s="33" t="s">
        <v>530</v>
      </c>
      <c r="M15" s="40">
        <v>8.0</v>
      </c>
      <c r="N15" s="40" t="s">
        <v>42</v>
      </c>
      <c r="O15" s="40">
        <v>233.0</v>
      </c>
      <c r="P15" s="40" t="s">
        <v>42</v>
      </c>
      <c r="Q15" s="40">
        <v>1200.0</v>
      </c>
      <c r="R15" s="40" t="s">
        <v>42</v>
      </c>
      <c r="S15" s="40">
        <v>1.68</v>
      </c>
      <c r="T15" s="40" t="s">
        <v>46</v>
      </c>
      <c r="U15" s="41">
        <v>21.7</v>
      </c>
      <c r="V15" s="40" t="s">
        <v>61</v>
      </c>
      <c r="W15" s="34">
        <f t="shared" si="1"/>
        <v>36.456</v>
      </c>
      <c r="Y15" s="43" t="s">
        <v>572</v>
      </c>
      <c r="AD15" s="42" t="s">
        <v>573</v>
      </c>
    </row>
    <row r="16">
      <c r="A16" s="40">
        <v>18874.0</v>
      </c>
      <c r="B16" s="5" t="s">
        <v>33</v>
      </c>
      <c r="C16" s="5" t="s">
        <v>34</v>
      </c>
      <c r="D16" s="33" t="s">
        <v>522</v>
      </c>
      <c r="E16" s="40" t="s">
        <v>523</v>
      </c>
      <c r="F16" s="40" t="s">
        <v>524</v>
      </c>
      <c r="G16" s="40" t="s">
        <v>557</v>
      </c>
      <c r="H16" s="40" t="s">
        <v>574</v>
      </c>
      <c r="I16" s="40" t="s">
        <v>527</v>
      </c>
      <c r="J16" s="40" t="s">
        <v>559</v>
      </c>
      <c r="K16" s="40" t="s">
        <v>529</v>
      </c>
      <c r="L16" s="33" t="s">
        <v>530</v>
      </c>
      <c r="M16" s="40">
        <v>8.0</v>
      </c>
      <c r="N16" s="40" t="s">
        <v>42</v>
      </c>
      <c r="O16" s="40">
        <v>233.0</v>
      </c>
      <c r="P16" s="40" t="s">
        <v>42</v>
      </c>
      <c r="Q16" s="40">
        <v>1200.0</v>
      </c>
      <c r="R16" s="40" t="s">
        <v>42</v>
      </c>
      <c r="S16" s="40">
        <v>1.68</v>
      </c>
      <c r="T16" s="40" t="s">
        <v>46</v>
      </c>
      <c r="U16" s="41">
        <v>21.7</v>
      </c>
      <c r="V16" s="40" t="s">
        <v>61</v>
      </c>
      <c r="W16" s="34">
        <f t="shared" si="1"/>
        <v>36.456</v>
      </c>
      <c r="Y16" s="43" t="s">
        <v>575</v>
      </c>
      <c r="AD16" s="42" t="s">
        <v>576</v>
      </c>
    </row>
    <row r="17">
      <c r="A17" s="40">
        <v>19362.0</v>
      </c>
      <c r="B17" s="5" t="s">
        <v>33</v>
      </c>
      <c r="C17" s="5" t="s">
        <v>34</v>
      </c>
      <c r="D17" s="33" t="s">
        <v>522</v>
      </c>
      <c r="E17" s="40" t="s">
        <v>523</v>
      </c>
      <c r="F17" s="40" t="s">
        <v>524</v>
      </c>
      <c r="G17" s="40" t="s">
        <v>557</v>
      </c>
      <c r="H17" s="40" t="s">
        <v>577</v>
      </c>
      <c r="I17" s="40" t="s">
        <v>527</v>
      </c>
      <c r="J17" s="40" t="s">
        <v>578</v>
      </c>
      <c r="K17" s="40" t="s">
        <v>579</v>
      </c>
      <c r="L17" s="33" t="s">
        <v>530</v>
      </c>
      <c r="M17" s="40">
        <v>8.0</v>
      </c>
      <c r="N17" s="40" t="s">
        <v>42</v>
      </c>
      <c r="O17" s="40">
        <v>750.0</v>
      </c>
      <c r="P17" s="40" t="s">
        <v>42</v>
      </c>
      <c r="Q17" s="40">
        <v>750.0</v>
      </c>
      <c r="R17" s="40" t="s">
        <v>42</v>
      </c>
      <c r="S17" s="40">
        <v>1.13</v>
      </c>
      <c r="T17" s="40" t="s">
        <v>46</v>
      </c>
      <c r="U17" s="41">
        <v>25.0</v>
      </c>
      <c r="V17" s="40" t="s">
        <v>61</v>
      </c>
      <c r="W17" s="34">
        <f t="shared" si="1"/>
        <v>28.25</v>
      </c>
      <c r="Y17" s="43" t="s">
        <v>580</v>
      </c>
      <c r="AD17" s="44" t="s">
        <v>581</v>
      </c>
    </row>
    <row r="18">
      <c r="A18" s="40">
        <v>22385.0</v>
      </c>
      <c r="B18" s="5" t="s">
        <v>33</v>
      </c>
      <c r="C18" s="5" t="s">
        <v>34</v>
      </c>
      <c r="D18" s="33" t="s">
        <v>522</v>
      </c>
      <c r="E18" s="40" t="s">
        <v>523</v>
      </c>
      <c r="F18" s="40" t="s">
        <v>524</v>
      </c>
      <c r="G18" s="40" t="s">
        <v>557</v>
      </c>
      <c r="H18" s="40" t="s">
        <v>582</v>
      </c>
      <c r="I18" s="40" t="s">
        <v>527</v>
      </c>
      <c r="J18" s="40" t="s">
        <v>578</v>
      </c>
      <c r="K18" s="40" t="s">
        <v>579</v>
      </c>
      <c r="L18" s="33" t="s">
        <v>530</v>
      </c>
      <c r="M18" s="40">
        <v>8.0</v>
      </c>
      <c r="N18" s="40" t="s">
        <v>42</v>
      </c>
      <c r="O18" s="40">
        <v>600.0</v>
      </c>
      <c r="P18" s="40" t="s">
        <v>42</v>
      </c>
      <c r="Q18" s="40">
        <v>600.0</v>
      </c>
      <c r="R18" s="40" t="s">
        <v>42</v>
      </c>
      <c r="S18" s="40">
        <v>1.44</v>
      </c>
      <c r="T18" s="40" t="s">
        <v>46</v>
      </c>
      <c r="U18" s="41">
        <v>25.0</v>
      </c>
      <c r="V18" s="40" t="s">
        <v>61</v>
      </c>
      <c r="W18" s="34">
        <f t="shared" si="1"/>
        <v>36</v>
      </c>
      <c r="Y18" s="43" t="s">
        <v>583</v>
      </c>
      <c r="AD18" s="42" t="s">
        <v>584</v>
      </c>
    </row>
    <row r="19">
      <c r="A19" s="40">
        <v>22386.0</v>
      </c>
      <c r="B19" s="5" t="s">
        <v>33</v>
      </c>
      <c r="C19" s="5" t="s">
        <v>34</v>
      </c>
      <c r="D19" s="33" t="s">
        <v>522</v>
      </c>
      <c r="E19" s="40" t="s">
        <v>523</v>
      </c>
      <c r="F19" s="40" t="s">
        <v>524</v>
      </c>
      <c r="G19" s="40" t="s">
        <v>557</v>
      </c>
      <c r="H19" s="40" t="s">
        <v>585</v>
      </c>
      <c r="I19" s="40" t="s">
        <v>527</v>
      </c>
      <c r="J19" s="40" t="s">
        <v>578</v>
      </c>
      <c r="K19" s="40" t="s">
        <v>579</v>
      </c>
      <c r="L19" s="33" t="s">
        <v>530</v>
      </c>
      <c r="M19" s="40">
        <v>8.0</v>
      </c>
      <c r="N19" s="40" t="s">
        <v>42</v>
      </c>
      <c r="O19" s="40">
        <v>600.0</v>
      </c>
      <c r="P19" s="40" t="s">
        <v>42</v>
      </c>
      <c r="Q19" s="40">
        <v>600.0</v>
      </c>
      <c r="R19" s="40" t="s">
        <v>42</v>
      </c>
      <c r="S19" s="40">
        <v>1.44</v>
      </c>
      <c r="T19" s="40" t="s">
        <v>46</v>
      </c>
      <c r="U19" s="41">
        <v>25.0</v>
      </c>
      <c r="V19" s="40" t="s">
        <v>61</v>
      </c>
      <c r="W19" s="34">
        <f t="shared" si="1"/>
        <v>36</v>
      </c>
      <c r="Y19" s="43" t="s">
        <v>586</v>
      </c>
      <c r="AD19" s="42" t="s">
        <v>587</v>
      </c>
    </row>
    <row r="20">
      <c r="A20" s="40">
        <v>22387.0</v>
      </c>
      <c r="B20" s="5" t="s">
        <v>33</v>
      </c>
      <c r="C20" s="5" t="s">
        <v>34</v>
      </c>
      <c r="D20" s="33" t="s">
        <v>522</v>
      </c>
      <c r="E20" s="40" t="s">
        <v>523</v>
      </c>
      <c r="F20" s="40" t="s">
        <v>524</v>
      </c>
      <c r="G20" s="40" t="s">
        <v>557</v>
      </c>
      <c r="H20" s="40" t="s">
        <v>588</v>
      </c>
      <c r="I20" s="40" t="s">
        <v>527</v>
      </c>
      <c r="J20" s="40" t="s">
        <v>578</v>
      </c>
      <c r="K20" s="40" t="s">
        <v>579</v>
      </c>
      <c r="L20" s="33" t="s">
        <v>530</v>
      </c>
      <c r="M20" s="40">
        <v>8.0</v>
      </c>
      <c r="N20" s="40" t="s">
        <v>42</v>
      </c>
      <c r="O20" s="40">
        <v>600.0</v>
      </c>
      <c r="P20" s="40" t="s">
        <v>42</v>
      </c>
      <c r="Q20" s="40">
        <v>600.0</v>
      </c>
      <c r="R20" s="40" t="s">
        <v>42</v>
      </c>
      <c r="S20" s="40">
        <v>1.44</v>
      </c>
      <c r="T20" s="40" t="s">
        <v>46</v>
      </c>
      <c r="U20" s="41">
        <v>25.0</v>
      </c>
      <c r="V20" s="40" t="s">
        <v>61</v>
      </c>
      <c r="W20" s="34">
        <f t="shared" si="1"/>
        <v>36</v>
      </c>
      <c r="Y20" s="43" t="s">
        <v>589</v>
      </c>
      <c r="AD20" s="42" t="s">
        <v>590</v>
      </c>
    </row>
    <row r="21" ht="15.75" customHeight="1">
      <c r="A21" s="40">
        <v>22388.0</v>
      </c>
      <c r="B21" s="5" t="s">
        <v>33</v>
      </c>
      <c r="C21" s="5" t="s">
        <v>34</v>
      </c>
      <c r="D21" s="45" t="s">
        <v>522</v>
      </c>
      <c r="E21" s="45" t="s">
        <v>523</v>
      </c>
      <c r="F21" s="45" t="s">
        <v>524</v>
      </c>
      <c r="G21" s="45" t="s">
        <v>557</v>
      </c>
      <c r="H21" s="46" t="s">
        <v>591</v>
      </c>
      <c r="I21" s="40" t="s">
        <v>527</v>
      </c>
      <c r="J21" s="45" t="s">
        <v>578</v>
      </c>
      <c r="K21" s="46" t="s">
        <v>592</v>
      </c>
      <c r="L21" s="45" t="s">
        <v>530</v>
      </c>
      <c r="M21" s="45">
        <v>8.0</v>
      </c>
      <c r="N21" s="45" t="s">
        <v>42</v>
      </c>
      <c r="O21" s="45">
        <v>600.0</v>
      </c>
      <c r="P21" s="45" t="s">
        <v>42</v>
      </c>
      <c r="Q21" s="45">
        <v>600.0</v>
      </c>
      <c r="R21" s="45" t="s">
        <v>42</v>
      </c>
      <c r="S21" s="45">
        <v>1.44</v>
      </c>
      <c r="T21" s="45" t="s">
        <v>46</v>
      </c>
      <c r="U21" s="47">
        <v>25.0</v>
      </c>
      <c r="V21" s="45" t="s">
        <v>61</v>
      </c>
      <c r="W21" s="47">
        <f t="shared" si="1"/>
        <v>36</v>
      </c>
      <c r="X21" s="48"/>
      <c r="Y21" s="43" t="s">
        <v>593</v>
      </c>
      <c r="Z21" s="48"/>
      <c r="AA21" s="48"/>
      <c r="AB21" s="48"/>
      <c r="AC21" s="48"/>
      <c r="AD21" s="49" t="s">
        <v>594</v>
      </c>
      <c r="AE21" s="48"/>
      <c r="AF21" s="48"/>
      <c r="AG21" s="48"/>
    </row>
    <row r="22" ht="15.75" customHeight="1">
      <c r="A22" s="40">
        <v>22390.0</v>
      </c>
      <c r="B22" s="5" t="s">
        <v>33</v>
      </c>
      <c r="C22" s="5" t="s">
        <v>34</v>
      </c>
      <c r="D22" s="45" t="s">
        <v>522</v>
      </c>
      <c r="E22" s="45" t="s">
        <v>523</v>
      </c>
      <c r="F22" s="45" t="s">
        <v>524</v>
      </c>
      <c r="G22" s="46" t="s">
        <v>595</v>
      </c>
      <c r="H22" s="46" t="s">
        <v>596</v>
      </c>
      <c r="I22" s="40" t="s">
        <v>527</v>
      </c>
      <c r="J22" s="46" t="s">
        <v>597</v>
      </c>
      <c r="K22" s="46" t="s">
        <v>592</v>
      </c>
      <c r="L22" s="45" t="s">
        <v>530</v>
      </c>
      <c r="M22" s="45">
        <v>8.0</v>
      </c>
      <c r="N22" s="45" t="s">
        <v>42</v>
      </c>
      <c r="O22" s="45">
        <v>600.0</v>
      </c>
      <c r="P22" s="45" t="s">
        <v>42</v>
      </c>
      <c r="Q22" s="45">
        <v>600.0</v>
      </c>
      <c r="R22" s="45" t="s">
        <v>42</v>
      </c>
      <c r="S22" s="45">
        <v>1.44</v>
      </c>
      <c r="T22" s="45" t="s">
        <v>46</v>
      </c>
      <c r="U22" s="47">
        <v>25.0</v>
      </c>
      <c r="V22" s="45" t="s">
        <v>61</v>
      </c>
      <c r="W22" s="47">
        <f t="shared" si="1"/>
        <v>36</v>
      </c>
      <c r="X22" s="48"/>
      <c r="Y22" s="43" t="s">
        <v>598</v>
      </c>
      <c r="Z22" s="48"/>
      <c r="AA22" s="48"/>
      <c r="AB22" s="48"/>
      <c r="AC22" s="48"/>
      <c r="AD22" s="49" t="s">
        <v>599</v>
      </c>
      <c r="AE22" s="48"/>
      <c r="AF22" s="48"/>
      <c r="AG22" s="48"/>
    </row>
    <row r="23" ht="15.75" customHeight="1">
      <c r="A23" s="40">
        <v>19365.0</v>
      </c>
      <c r="B23" s="5" t="s">
        <v>33</v>
      </c>
      <c r="C23" s="5" t="s">
        <v>34</v>
      </c>
      <c r="D23" s="45" t="s">
        <v>522</v>
      </c>
      <c r="E23" s="45" t="s">
        <v>523</v>
      </c>
      <c r="F23" s="45" t="s">
        <v>524</v>
      </c>
      <c r="G23" s="45" t="s">
        <v>557</v>
      </c>
      <c r="H23" s="46" t="s">
        <v>600</v>
      </c>
      <c r="I23" s="40" t="s">
        <v>527</v>
      </c>
      <c r="J23" s="46" t="s">
        <v>601</v>
      </c>
      <c r="K23" s="40" t="s">
        <v>529</v>
      </c>
      <c r="L23" s="45" t="s">
        <v>530</v>
      </c>
      <c r="M23" s="45">
        <v>8.0</v>
      </c>
      <c r="N23" s="45" t="s">
        <v>42</v>
      </c>
      <c r="O23" s="46">
        <v>250.0</v>
      </c>
      <c r="P23" s="45" t="s">
        <v>42</v>
      </c>
      <c r="Q23" s="46">
        <v>1000.0</v>
      </c>
      <c r="R23" s="45" t="s">
        <v>42</v>
      </c>
      <c r="S23" s="50">
        <v>1.5</v>
      </c>
      <c r="T23" s="45" t="s">
        <v>46</v>
      </c>
      <c r="U23" s="50">
        <v>21.7</v>
      </c>
      <c r="V23" s="45" t="s">
        <v>61</v>
      </c>
      <c r="W23" s="47">
        <f t="shared" si="1"/>
        <v>32.55</v>
      </c>
      <c r="X23" s="48"/>
      <c r="Y23" s="43" t="s">
        <v>602</v>
      </c>
      <c r="Z23" s="48"/>
      <c r="AA23" s="48"/>
      <c r="AB23" s="48"/>
      <c r="AC23" s="48"/>
      <c r="AD23" s="49" t="s">
        <v>603</v>
      </c>
      <c r="AE23" s="48"/>
      <c r="AF23" s="48"/>
      <c r="AG23" s="48"/>
    </row>
    <row r="24" ht="15.75" customHeight="1">
      <c r="A24" s="40">
        <v>22080.0</v>
      </c>
      <c r="B24" s="5" t="s">
        <v>33</v>
      </c>
      <c r="C24" s="5" t="s">
        <v>34</v>
      </c>
      <c r="D24" s="45" t="s">
        <v>522</v>
      </c>
      <c r="E24" s="45" t="s">
        <v>523</v>
      </c>
      <c r="F24" s="45" t="s">
        <v>524</v>
      </c>
      <c r="G24" s="45" t="s">
        <v>557</v>
      </c>
      <c r="H24" s="46" t="s">
        <v>604</v>
      </c>
      <c r="I24" s="40" t="s">
        <v>527</v>
      </c>
      <c r="J24" s="46" t="s">
        <v>605</v>
      </c>
      <c r="K24" s="40" t="s">
        <v>529</v>
      </c>
      <c r="L24" s="45" t="s">
        <v>530</v>
      </c>
      <c r="M24" s="45">
        <v>8.0</v>
      </c>
      <c r="N24" s="45" t="s">
        <v>42</v>
      </c>
      <c r="O24" s="46">
        <v>230.0</v>
      </c>
      <c r="P24" s="45" t="s">
        <v>42</v>
      </c>
      <c r="Q24" s="46">
        <v>1200.0</v>
      </c>
      <c r="R24" s="45" t="s">
        <v>42</v>
      </c>
      <c r="S24" s="50">
        <v>1.38</v>
      </c>
      <c r="T24" s="45" t="s">
        <v>46</v>
      </c>
      <c r="U24" s="50">
        <v>21.7</v>
      </c>
      <c r="V24" s="45" t="s">
        <v>61</v>
      </c>
      <c r="W24" s="47">
        <f t="shared" si="1"/>
        <v>29.946</v>
      </c>
      <c r="X24" s="48"/>
      <c r="Y24" s="43" t="s">
        <v>606</v>
      </c>
      <c r="Z24" s="48"/>
      <c r="AA24" s="48"/>
      <c r="AB24" s="48"/>
      <c r="AC24" s="48"/>
      <c r="AD24" s="49" t="s">
        <v>607</v>
      </c>
      <c r="AE24" s="48"/>
      <c r="AF24" s="48"/>
      <c r="AG24" s="48"/>
    </row>
    <row r="25" ht="15.75" customHeight="1">
      <c r="A25" s="40">
        <v>22081.0</v>
      </c>
      <c r="B25" s="5" t="s">
        <v>33</v>
      </c>
      <c r="C25" s="5" t="s">
        <v>34</v>
      </c>
      <c r="D25" s="45" t="s">
        <v>522</v>
      </c>
      <c r="E25" s="45" t="s">
        <v>523</v>
      </c>
      <c r="F25" s="45" t="s">
        <v>524</v>
      </c>
      <c r="G25" s="45" t="s">
        <v>557</v>
      </c>
      <c r="H25" s="46" t="s">
        <v>608</v>
      </c>
      <c r="I25" s="40" t="s">
        <v>527</v>
      </c>
      <c r="J25" s="46" t="s">
        <v>605</v>
      </c>
      <c r="K25" s="40" t="s">
        <v>529</v>
      </c>
      <c r="L25" s="45" t="s">
        <v>530</v>
      </c>
      <c r="M25" s="45">
        <v>8.0</v>
      </c>
      <c r="N25" s="45" t="s">
        <v>42</v>
      </c>
      <c r="O25" s="46">
        <v>230.0</v>
      </c>
      <c r="P25" s="45" t="s">
        <v>42</v>
      </c>
      <c r="Q25" s="46">
        <v>1200.0</v>
      </c>
      <c r="R25" s="45" t="s">
        <v>42</v>
      </c>
      <c r="S25" s="50">
        <v>1.38</v>
      </c>
      <c r="T25" s="45" t="s">
        <v>46</v>
      </c>
      <c r="U25" s="50">
        <v>21.7</v>
      </c>
      <c r="V25" s="45" t="s">
        <v>61</v>
      </c>
      <c r="W25" s="47">
        <f t="shared" si="1"/>
        <v>29.946</v>
      </c>
      <c r="X25" s="48"/>
      <c r="Y25" s="43" t="s">
        <v>609</v>
      </c>
      <c r="Z25" s="48"/>
      <c r="AA25" s="48"/>
      <c r="AB25" s="48"/>
      <c r="AC25" s="48"/>
      <c r="AD25" s="49" t="s">
        <v>610</v>
      </c>
      <c r="AE25" s="48"/>
      <c r="AF25" s="48"/>
      <c r="AG25" s="48"/>
    </row>
    <row r="26" ht="15.75" customHeight="1">
      <c r="A26" s="40">
        <v>22405.0</v>
      </c>
      <c r="B26" s="5" t="s">
        <v>33</v>
      </c>
      <c r="C26" s="5" t="s">
        <v>34</v>
      </c>
      <c r="D26" s="45" t="s">
        <v>522</v>
      </c>
      <c r="E26" s="45" t="s">
        <v>523</v>
      </c>
      <c r="F26" s="45" t="s">
        <v>524</v>
      </c>
      <c r="G26" s="45" t="s">
        <v>557</v>
      </c>
      <c r="H26" s="46" t="s">
        <v>611</v>
      </c>
      <c r="I26" s="40" t="s">
        <v>527</v>
      </c>
      <c r="J26" s="46" t="s">
        <v>605</v>
      </c>
      <c r="K26" s="40" t="s">
        <v>529</v>
      </c>
      <c r="L26" s="45" t="s">
        <v>530</v>
      </c>
      <c r="M26" s="45">
        <v>8.0</v>
      </c>
      <c r="N26" s="45" t="s">
        <v>42</v>
      </c>
      <c r="O26" s="46">
        <v>230.0</v>
      </c>
      <c r="P26" s="45" t="s">
        <v>42</v>
      </c>
      <c r="Q26" s="46">
        <v>1200.0</v>
      </c>
      <c r="R26" s="45" t="s">
        <v>42</v>
      </c>
      <c r="S26" s="50">
        <v>1.38</v>
      </c>
      <c r="T26" s="45" t="s">
        <v>46</v>
      </c>
      <c r="U26" s="50">
        <v>21.7</v>
      </c>
      <c r="V26" s="45" t="s">
        <v>61</v>
      </c>
      <c r="W26" s="47">
        <f t="shared" si="1"/>
        <v>29.946</v>
      </c>
      <c r="X26" s="48"/>
      <c r="Y26" s="43" t="s">
        <v>612</v>
      </c>
      <c r="Z26" s="48"/>
      <c r="AA26" s="48"/>
      <c r="AB26" s="48"/>
      <c r="AC26" s="48"/>
      <c r="AD26" s="49" t="s">
        <v>613</v>
      </c>
      <c r="AE26" s="48"/>
      <c r="AF26" s="48"/>
      <c r="AG26" s="48"/>
    </row>
    <row r="27" ht="15.75" customHeight="1">
      <c r="A27" s="40">
        <v>22082.0</v>
      </c>
      <c r="B27" s="5" t="s">
        <v>33</v>
      </c>
      <c r="C27" s="5" t="s">
        <v>34</v>
      </c>
      <c r="D27" s="45" t="s">
        <v>522</v>
      </c>
      <c r="E27" s="45" t="s">
        <v>523</v>
      </c>
      <c r="F27" s="45" t="s">
        <v>524</v>
      </c>
      <c r="G27" s="45" t="s">
        <v>557</v>
      </c>
      <c r="H27" s="46" t="s">
        <v>614</v>
      </c>
      <c r="I27" s="40" t="s">
        <v>527</v>
      </c>
      <c r="J27" s="46" t="s">
        <v>605</v>
      </c>
      <c r="K27" s="40" t="s">
        <v>529</v>
      </c>
      <c r="L27" s="45" t="s">
        <v>530</v>
      </c>
      <c r="M27" s="45">
        <v>8.0</v>
      </c>
      <c r="N27" s="45" t="s">
        <v>42</v>
      </c>
      <c r="O27" s="46">
        <v>230.0</v>
      </c>
      <c r="P27" s="45" t="s">
        <v>42</v>
      </c>
      <c r="Q27" s="46">
        <v>1200.0</v>
      </c>
      <c r="R27" s="45" t="s">
        <v>42</v>
      </c>
      <c r="S27" s="50">
        <v>1.38</v>
      </c>
      <c r="T27" s="45" t="s">
        <v>46</v>
      </c>
      <c r="U27" s="50">
        <v>21.7</v>
      </c>
      <c r="V27" s="45" t="s">
        <v>61</v>
      </c>
      <c r="W27" s="47">
        <f t="shared" si="1"/>
        <v>29.946</v>
      </c>
      <c r="X27" s="48"/>
      <c r="Y27" s="43" t="s">
        <v>615</v>
      </c>
      <c r="Z27" s="48"/>
      <c r="AA27" s="48"/>
      <c r="AB27" s="48"/>
      <c r="AC27" s="48"/>
      <c r="AD27" s="49" t="s">
        <v>616</v>
      </c>
      <c r="AE27" s="48"/>
      <c r="AF27" s="48"/>
      <c r="AG27" s="48"/>
    </row>
    <row r="28" ht="15.75" customHeight="1">
      <c r="A28" s="40">
        <v>22083.0</v>
      </c>
      <c r="B28" s="5" t="s">
        <v>33</v>
      </c>
      <c r="C28" s="5" t="s">
        <v>34</v>
      </c>
      <c r="D28" s="45" t="s">
        <v>522</v>
      </c>
      <c r="E28" s="45" t="s">
        <v>523</v>
      </c>
      <c r="F28" s="45" t="s">
        <v>524</v>
      </c>
      <c r="G28" s="45" t="s">
        <v>557</v>
      </c>
      <c r="H28" s="46" t="s">
        <v>617</v>
      </c>
      <c r="I28" s="40" t="s">
        <v>527</v>
      </c>
      <c r="J28" s="46" t="s">
        <v>605</v>
      </c>
      <c r="K28" s="40" t="s">
        <v>529</v>
      </c>
      <c r="L28" s="45" t="s">
        <v>530</v>
      </c>
      <c r="M28" s="45">
        <v>8.0</v>
      </c>
      <c r="N28" s="45" t="s">
        <v>42</v>
      </c>
      <c r="O28" s="46">
        <v>230.0</v>
      </c>
      <c r="P28" s="45" t="s">
        <v>42</v>
      </c>
      <c r="Q28" s="46">
        <v>1200.0</v>
      </c>
      <c r="R28" s="45" t="s">
        <v>42</v>
      </c>
      <c r="S28" s="50">
        <v>1.38</v>
      </c>
      <c r="T28" s="45" t="s">
        <v>46</v>
      </c>
      <c r="U28" s="50">
        <v>21.7</v>
      </c>
      <c r="V28" s="45" t="s">
        <v>61</v>
      </c>
      <c r="W28" s="47">
        <f t="shared" si="1"/>
        <v>29.946</v>
      </c>
      <c r="X28" s="48"/>
      <c r="Y28" s="43" t="s">
        <v>618</v>
      </c>
      <c r="Z28" s="48"/>
      <c r="AA28" s="48"/>
      <c r="AB28" s="48"/>
      <c r="AC28" s="48"/>
      <c r="AD28" s="49" t="s">
        <v>619</v>
      </c>
      <c r="AE28" s="48"/>
      <c r="AF28" s="48"/>
      <c r="AG28" s="48"/>
    </row>
    <row r="29" ht="15.75" customHeight="1">
      <c r="A29" s="40">
        <v>22084.0</v>
      </c>
      <c r="B29" s="5" t="s">
        <v>33</v>
      </c>
      <c r="C29" s="5" t="s">
        <v>34</v>
      </c>
      <c r="D29" s="45" t="s">
        <v>522</v>
      </c>
      <c r="E29" s="45" t="s">
        <v>523</v>
      </c>
      <c r="F29" s="45" t="s">
        <v>524</v>
      </c>
      <c r="G29" s="45" t="s">
        <v>557</v>
      </c>
      <c r="H29" s="46" t="s">
        <v>620</v>
      </c>
      <c r="I29" s="40" t="s">
        <v>527</v>
      </c>
      <c r="J29" s="46" t="s">
        <v>605</v>
      </c>
      <c r="K29" s="40" t="s">
        <v>529</v>
      </c>
      <c r="L29" s="45" t="s">
        <v>530</v>
      </c>
      <c r="M29" s="45">
        <v>8.0</v>
      </c>
      <c r="N29" s="45" t="s">
        <v>42</v>
      </c>
      <c r="O29" s="46">
        <v>230.0</v>
      </c>
      <c r="P29" s="45" t="s">
        <v>42</v>
      </c>
      <c r="Q29" s="46">
        <v>1200.0</v>
      </c>
      <c r="R29" s="45" t="s">
        <v>42</v>
      </c>
      <c r="S29" s="50">
        <v>1.38</v>
      </c>
      <c r="T29" s="45" t="s">
        <v>46</v>
      </c>
      <c r="U29" s="50">
        <v>21.7</v>
      </c>
      <c r="V29" s="45" t="s">
        <v>61</v>
      </c>
      <c r="W29" s="47">
        <f t="shared" si="1"/>
        <v>29.946</v>
      </c>
      <c r="X29" s="48"/>
      <c r="Y29" s="43" t="s">
        <v>621</v>
      </c>
      <c r="Z29" s="48"/>
      <c r="AA29" s="48"/>
      <c r="AB29" s="48"/>
      <c r="AC29" s="48"/>
      <c r="AD29" s="49" t="s">
        <v>622</v>
      </c>
      <c r="AE29" s="48"/>
      <c r="AF29" s="48"/>
      <c r="AG29" s="48"/>
    </row>
    <row r="30" ht="15.75" customHeight="1">
      <c r="A30" s="40">
        <v>24809.0</v>
      </c>
      <c r="B30" s="5" t="s">
        <v>33</v>
      </c>
      <c r="C30" s="5" t="s">
        <v>34</v>
      </c>
      <c r="D30" s="33" t="s">
        <v>522</v>
      </c>
      <c r="E30" s="40" t="s">
        <v>623</v>
      </c>
      <c r="F30" s="45" t="s">
        <v>524</v>
      </c>
      <c r="G30" s="40" t="s">
        <v>525</v>
      </c>
      <c r="H30" s="40" t="s">
        <v>624</v>
      </c>
      <c r="I30" s="40" t="s">
        <v>527</v>
      </c>
      <c r="J30" s="40" t="s">
        <v>625</v>
      </c>
      <c r="K30" s="40" t="s">
        <v>626</v>
      </c>
      <c r="L30" s="40" t="s">
        <v>627</v>
      </c>
      <c r="M30" s="40">
        <v>8.0</v>
      </c>
      <c r="N30" s="40" t="s">
        <v>42</v>
      </c>
      <c r="O30" s="40">
        <v>320.0</v>
      </c>
      <c r="P30" s="40" t="s">
        <v>42</v>
      </c>
      <c r="Q30" s="40">
        <v>600.0</v>
      </c>
      <c r="R30" s="40" t="s">
        <v>42</v>
      </c>
      <c r="S30" s="41">
        <v>2.3</v>
      </c>
      <c r="T30" s="45" t="s">
        <v>46</v>
      </c>
      <c r="U30" s="41">
        <v>11.7</v>
      </c>
      <c r="V30" s="45" t="s">
        <v>61</v>
      </c>
      <c r="W30" s="47">
        <f t="shared" si="1"/>
        <v>26.91</v>
      </c>
      <c r="Y30" s="43" t="s">
        <v>628</v>
      </c>
      <c r="AD30" s="42" t="s">
        <v>629</v>
      </c>
    </row>
    <row r="31" ht="15.75" customHeight="1">
      <c r="A31" s="40">
        <v>24808.0</v>
      </c>
      <c r="B31" s="5" t="s">
        <v>33</v>
      </c>
      <c r="C31" s="5" t="s">
        <v>34</v>
      </c>
      <c r="D31" s="33" t="s">
        <v>522</v>
      </c>
      <c r="E31" s="40" t="s">
        <v>630</v>
      </c>
      <c r="F31" s="45" t="s">
        <v>524</v>
      </c>
      <c r="G31" s="40" t="s">
        <v>525</v>
      </c>
      <c r="H31" s="40" t="s">
        <v>631</v>
      </c>
      <c r="I31" s="40" t="s">
        <v>527</v>
      </c>
      <c r="J31" s="40" t="s">
        <v>625</v>
      </c>
      <c r="K31" s="40" t="s">
        <v>626</v>
      </c>
      <c r="L31" s="40" t="s">
        <v>627</v>
      </c>
      <c r="M31" s="40">
        <v>8.0</v>
      </c>
      <c r="N31" s="40" t="s">
        <v>42</v>
      </c>
      <c r="O31" s="40">
        <v>320.0</v>
      </c>
      <c r="P31" s="40" t="s">
        <v>42</v>
      </c>
      <c r="Q31" s="40">
        <v>600.0</v>
      </c>
      <c r="R31" s="40" t="s">
        <v>42</v>
      </c>
      <c r="S31" s="41">
        <v>2.3</v>
      </c>
      <c r="T31" s="45" t="s">
        <v>46</v>
      </c>
      <c r="U31" s="41">
        <v>11.7</v>
      </c>
      <c r="V31" s="45" t="s">
        <v>61</v>
      </c>
      <c r="W31" s="47">
        <f t="shared" si="1"/>
        <v>26.91</v>
      </c>
      <c r="Y31" s="43" t="s">
        <v>632</v>
      </c>
      <c r="AD31" s="42" t="s">
        <v>633</v>
      </c>
    </row>
    <row r="32" ht="15.75" customHeight="1">
      <c r="A32" s="40">
        <v>22893.0</v>
      </c>
      <c r="B32" s="5" t="s">
        <v>33</v>
      </c>
      <c r="C32" s="5" t="s">
        <v>34</v>
      </c>
      <c r="D32" s="33" t="s">
        <v>522</v>
      </c>
      <c r="E32" s="40" t="s">
        <v>623</v>
      </c>
      <c r="F32" s="45" t="s">
        <v>524</v>
      </c>
      <c r="G32" s="40" t="s">
        <v>525</v>
      </c>
      <c r="H32" s="40" t="s">
        <v>634</v>
      </c>
      <c r="I32" s="40" t="s">
        <v>527</v>
      </c>
      <c r="J32" s="40" t="s">
        <v>625</v>
      </c>
      <c r="K32" s="46" t="s">
        <v>592</v>
      </c>
      <c r="L32" s="45" t="s">
        <v>530</v>
      </c>
      <c r="M32" s="40">
        <v>10.0</v>
      </c>
      <c r="N32" s="40" t="s">
        <v>42</v>
      </c>
      <c r="O32" s="40">
        <v>620.0</v>
      </c>
      <c r="P32" s="40" t="s">
        <v>42</v>
      </c>
      <c r="Q32" s="40">
        <v>1250.0</v>
      </c>
      <c r="R32" s="40" t="s">
        <v>42</v>
      </c>
      <c r="S32" s="40">
        <v>1.56</v>
      </c>
      <c r="T32" s="45" t="s">
        <v>46</v>
      </c>
      <c r="U32" s="41">
        <v>11.7</v>
      </c>
      <c r="V32" s="45" t="s">
        <v>61</v>
      </c>
      <c r="W32" s="47">
        <f t="shared" si="1"/>
        <v>18.252</v>
      </c>
      <c r="Y32" s="43" t="s">
        <v>635</v>
      </c>
      <c r="AD32" s="32" t="s">
        <v>636</v>
      </c>
    </row>
    <row r="33" ht="15.75" customHeight="1">
      <c r="A33" s="46">
        <v>22899.0</v>
      </c>
      <c r="B33" s="5" t="s">
        <v>33</v>
      </c>
      <c r="C33" s="5" t="s">
        <v>34</v>
      </c>
      <c r="D33" s="45" t="s">
        <v>522</v>
      </c>
      <c r="E33" s="45" t="s">
        <v>623</v>
      </c>
      <c r="F33" s="45" t="s">
        <v>524</v>
      </c>
      <c r="G33" s="45" t="s">
        <v>525</v>
      </c>
      <c r="H33" s="46" t="s">
        <v>637</v>
      </c>
      <c r="I33" s="40" t="s">
        <v>527</v>
      </c>
      <c r="J33" s="45" t="s">
        <v>625</v>
      </c>
      <c r="K33" s="45" t="s">
        <v>592</v>
      </c>
      <c r="L33" s="45" t="s">
        <v>530</v>
      </c>
      <c r="M33" s="45">
        <v>10.0</v>
      </c>
      <c r="N33" s="45" t="s">
        <v>42</v>
      </c>
      <c r="O33" s="45">
        <v>625.0</v>
      </c>
      <c r="P33" s="45" t="s">
        <v>42</v>
      </c>
      <c r="Q33" s="45">
        <v>625.0</v>
      </c>
      <c r="R33" s="45" t="s">
        <v>42</v>
      </c>
      <c r="S33" s="46">
        <v>1.97</v>
      </c>
      <c r="T33" s="45" t="s">
        <v>46</v>
      </c>
      <c r="U33" s="50">
        <v>15.75</v>
      </c>
      <c r="V33" s="45" t="s">
        <v>61</v>
      </c>
      <c r="W33" s="47">
        <f t="shared" si="1"/>
        <v>31.0275</v>
      </c>
      <c r="X33" s="48"/>
      <c r="Y33" s="43" t="s">
        <v>638</v>
      </c>
      <c r="Z33" s="48"/>
      <c r="AA33" s="48"/>
      <c r="AB33" s="48"/>
      <c r="AC33" s="48"/>
      <c r="AD33" s="49" t="s">
        <v>639</v>
      </c>
      <c r="AE33" s="48"/>
      <c r="AF33" s="48"/>
      <c r="AG33" s="48"/>
    </row>
    <row r="34" ht="15.75" customHeight="1">
      <c r="A34" s="46">
        <v>22900.0</v>
      </c>
      <c r="B34" s="5" t="s">
        <v>33</v>
      </c>
      <c r="C34" s="5" t="s">
        <v>34</v>
      </c>
      <c r="D34" s="45" t="s">
        <v>522</v>
      </c>
      <c r="E34" s="45" t="s">
        <v>623</v>
      </c>
      <c r="F34" s="45" t="s">
        <v>524</v>
      </c>
      <c r="G34" s="45" t="s">
        <v>525</v>
      </c>
      <c r="H34" s="46" t="s">
        <v>640</v>
      </c>
      <c r="I34" s="40" t="s">
        <v>527</v>
      </c>
      <c r="J34" s="45" t="s">
        <v>625</v>
      </c>
      <c r="K34" s="45" t="s">
        <v>592</v>
      </c>
      <c r="L34" s="45" t="s">
        <v>530</v>
      </c>
      <c r="M34" s="45">
        <v>10.0</v>
      </c>
      <c r="N34" s="45" t="s">
        <v>42</v>
      </c>
      <c r="O34" s="46">
        <v>620.0</v>
      </c>
      <c r="P34" s="45" t="s">
        <v>42</v>
      </c>
      <c r="Q34" s="46">
        <v>620.0</v>
      </c>
      <c r="R34" s="45" t="s">
        <v>42</v>
      </c>
      <c r="S34" s="46">
        <v>1.54</v>
      </c>
      <c r="T34" s="45" t="s">
        <v>46</v>
      </c>
      <c r="U34" s="50">
        <v>15.75</v>
      </c>
      <c r="V34" s="45" t="s">
        <v>61</v>
      </c>
      <c r="W34" s="47">
        <f t="shared" si="1"/>
        <v>24.255</v>
      </c>
      <c r="X34" s="48"/>
      <c r="Y34" s="43" t="s">
        <v>641</v>
      </c>
      <c r="Z34" s="48"/>
      <c r="AA34" s="48"/>
      <c r="AB34" s="48"/>
      <c r="AC34" s="48"/>
      <c r="AD34" s="49" t="s">
        <v>642</v>
      </c>
      <c r="AE34" s="48"/>
      <c r="AF34" s="48"/>
      <c r="AG34" s="48"/>
    </row>
    <row r="35" ht="15.75" customHeight="1">
      <c r="A35" s="46">
        <v>22799.0</v>
      </c>
      <c r="B35" s="5" t="s">
        <v>33</v>
      </c>
      <c r="C35" s="5" t="s">
        <v>34</v>
      </c>
      <c r="D35" s="45" t="s">
        <v>522</v>
      </c>
      <c r="E35" s="45" t="s">
        <v>623</v>
      </c>
      <c r="F35" s="45" t="s">
        <v>524</v>
      </c>
      <c r="G35" s="45" t="s">
        <v>525</v>
      </c>
      <c r="H35" s="46" t="s">
        <v>640</v>
      </c>
      <c r="I35" s="40" t="s">
        <v>527</v>
      </c>
      <c r="J35" s="45" t="s">
        <v>625</v>
      </c>
      <c r="K35" s="45" t="s">
        <v>592</v>
      </c>
      <c r="L35" s="45" t="s">
        <v>530</v>
      </c>
      <c r="M35" s="45">
        <v>10.0</v>
      </c>
      <c r="N35" s="45" t="s">
        <v>42</v>
      </c>
      <c r="O35" s="46">
        <v>600.0</v>
      </c>
      <c r="P35" s="45" t="s">
        <v>42</v>
      </c>
      <c r="Q35" s="46">
        <v>600.0</v>
      </c>
      <c r="R35" s="45" t="s">
        <v>42</v>
      </c>
      <c r="S35" s="46">
        <v>1.8</v>
      </c>
      <c r="T35" s="45" t="s">
        <v>46</v>
      </c>
      <c r="U35" s="50">
        <v>15.75</v>
      </c>
      <c r="V35" s="45" t="s">
        <v>61</v>
      </c>
      <c r="W35" s="47">
        <f t="shared" si="1"/>
        <v>28.35</v>
      </c>
      <c r="X35" s="48"/>
      <c r="Y35" s="43" t="s">
        <v>643</v>
      </c>
      <c r="Z35" s="48"/>
      <c r="AA35" s="48"/>
      <c r="AB35" s="48"/>
      <c r="AC35" s="48"/>
      <c r="AD35" s="49" t="s">
        <v>642</v>
      </c>
      <c r="AE35" s="48"/>
      <c r="AF35" s="48"/>
      <c r="AG35" s="48"/>
    </row>
    <row r="36" ht="15.75" customHeight="1">
      <c r="A36" s="46">
        <v>22895.0</v>
      </c>
      <c r="B36" s="5" t="s">
        <v>33</v>
      </c>
      <c r="C36" s="5" t="s">
        <v>34</v>
      </c>
      <c r="D36" s="45" t="s">
        <v>522</v>
      </c>
      <c r="E36" s="45" t="s">
        <v>623</v>
      </c>
      <c r="F36" s="45" t="s">
        <v>524</v>
      </c>
      <c r="G36" s="45" t="s">
        <v>525</v>
      </c>
      <c r="H36" s="46" t="s">
        <v>640</v>
      </c>
      <c r="I36" s="40" t="s">
        <v>527</v>
      </c>
      <c r="J36" s="45" t="s">
        <v>625</v>
      </c>
      <c r="K36" s="45" t="s">
        <v>592</v>
      </c>
      <c r="L36" s="45" t="s">
        <v>530</v>
      </c>
      <c r="M36" s="45">
        <v>10.0</v>
      </c>
      <c r="N36" s="45" t="s">
        <v>42</v>
      </c>
      <c r="O36" s="46">
        <v>840.0</v>
      </c>
      <c r="P36" s="45" t="s">
        <v>42</v>
      </c>
      <c r="Q36" s="46">
        <v>840.0</v>
      </c>
      <c r="R36" s="45" t="s">
        <v>42</v>
      </c>
      <c r="S36" s="46">
        <v>2.12</v>
      </c>
      <c r="T36" s="45" t="s">
        <v>46</v>
      </c>
      <c r="U36" s="50">
        <v>20.65</v>
      </c>
      <c r="V36" s="45" t="s">
        <v>61</v>
      </c>
      <c r="W36" s="47">
        <f t="shared" si="1"/>
        <v>43.778</v>
      </c>
      <c r="X36" s="48"/>
      <c r="Y36" s="43" t="s">
        <v>644</v>
      </c>
      <c r="Z36" s="48"/>
      <c r="AA36" s="48"/>
      <c r="AB36" s="48"/>
      <c r="AC36" s="48"/>
      <c r="AD36" s="49" t="s">
        <v>642</v>
      </c>
      <c r="AE36" s="48"/>
      <c r="AF36" s="48"/>
      <c r="AG36" s="48"/>
    </row>
    <row r="37" ht="15.75" customHeight="1">
      <c r="A37" s="40">
        <v>23063.0</v>
      </c>
      <c r="B37" s="5" t="s">
        <v>33</v>
      </c>
      <c r="C37" s="5" t="s">
        <v>34</v>
      </c>
      <c r="D37" s="33" t="s">
        <v>522</v>
      </c>
      <c r="E37" s="46" t="s">
        <v>523</v>
      </c>
      <c r="F37" s="45" t="s">
        <v>524</v>
      </c>
      <c r="G37" s="45" t="s">
        <v>525</v>
      </c>
      <c r="H37" s="40" t="s">
        <v>645</v>
      </c>
      <c r="I37" s="40" t="s">
        <v>527</v>
      </c>
      <c r="J37" s="45" t="s">
        <v>625</v>
      </c>
      <c r="K37" s="45" t="s">
        <v>592</v>
      </c>
      <c r="L37" s="45" t="s">
        <v>530</v>
      </c>
      <c r="M37" s="45">
        <v>10.0</v>
      </c>
      <c r="N37" s="45" t="s">
        <v>42</v>
      </c>
      <c r="O37" s="46">
        <v>620.0</v>
      </c>
      <c r="P37" s="45" t="s">
        <v>42</v>
      </c>
      <c r="Q37" s="46">
        <v>620.0</v>
      </c>
      <c r="R37" s="45" t="s">
        <v>42</v>
      </c>
      <c r="S37" s="46">
        <v>1.54</v>
      </c>
      <c r="T37" s="45" t="s">
        <v>46</v>
      </c>
      <c r="U37" s="50">
        <v>15.75</v>
      </c>
      <c r="V37" s="45" t="s">
        <v>61</v>
      </c>
      <c r="W37" s="47">
        <f t="shared" si="1"/>
        <v>24.255</v>
      </c>
      <c r="Y37" s="43" t="s">
        <v>646</v>
      </c>
      <c r="AD37" s="32" t="s">
        <v>647</v>
      </c>
    </row>
    <row r="38" ht="15.75" customHeight="1">
      <c r="A38" s="40">
        <v>23518.0</v>
      </c>
      <c r="B38" s="5" t="s">
        <v>33</v>
      </c>
      <c r="C38" s="5" t="s">
        <v>34</v>
      </c>
      <c r="D38" s="33" t="s">
        <v>522</v>
      </c>
      <c r="E38" s="46" t="s">
        <v>630</v>
      </c>
      <c r="F38" s="45" t="s">
        <v>524</v>
      </c>
      <c r="G38" s="45" t="s">
        <v>525</v>
      </c>
      <c r="H38" s="40" t="s">
        <v>648</v>
      </c>
      <c r="I38" s="40" t="s">
        <v>527</v>
      </c>
      <c r="J38" s="45" t="s">
        <v>625</v>
      </c>
      <c r="K38" s="46" t="s">
        <v>649</v>
      </c>
      <c r="L38" s="45" t="s">
        <v>530</v>
      </c>
      <c r="M38" s="45">
        <v>10.0</v>
      </c>
      <c r="N38" s="45" t="s">
        <v>42</v>
      </c>
      <c r="O38" s="46">
        <v>620.0</v>
      </c>
      <c r="P38" s="45" t="s">
        <v>42</v>
      </c>
      <c r="Q38" s="46">
        <v>620.0</v>
      </c>
      <c r="R38" s="45" t="s">
        <v>42</v>
      </c>
      <c r="S38" s="46">
        <v>1.54</v>
      </c>
      <c r="T38" s="45" t="s">
        <v>46</v>
      </c>
      <c r="U38" s="50">
        <v>15.75</v>
      </c>
      <c r="V38" s="45" t="s">
        <v>61</v>
      </c>
      <c r="W38" s="47">
        <f t="shared" si="1"/>
        <v>24.255</v>
      </c>
      <c r="Y38" s="43" t="s">
        <v>650</v>
      </c>
      <c r="AD38" s="32" t="s">
        <v>651</v>
      </c>
    </row>
    <row r="39" ht="15.75" customHeight="1">
      <c r="A39" s="40">
        <v>24807.0</v>
      </c>
      <c r="B39" s="5" t="s">
        <v>33</v>
      </c>
      <c r="C39" s="5" t="s">
        <v>34</v>
      </c>
      <c r="D39" s="33" t="s">
        <v>522</v>
      </c>
      <c r="E39" s="46" t="s">
        <v>630</v>
      </c>
      <c r="F39" s="45" t="s">
        <v>524</v>
      </c>
      <c r="G39" s="45" t="s">
        <v>525</v>
      </c>
      <c r="H39" s="40" t="s">
        <v>648</v>
      </c>
      <c r="I39" s="40" t="s">
        <v>527</v>
      </c>
      <c r="J39" s="45" t="s">
        <v>625</v>
      </c>
      <c r="K39" s="46" t="s">
        <v>649</v>
      </c>
      <c r="L39" s="45" t="s">
        <v>530</v>
      </c>
      <c r="M39" s="45">
        <v>10.0</v>
      </c>
      <c r="N39" s="45" t="s">
        <v>42</v>
      </c>
      <c r="O39" s="46">
        <v>600.0</v>
      </c>
      <c r="P39" s="45" t="s">
        <v>42</v>
      </c>
      <c r="Q39" s="46">
        <v>600.0</v>
      </c>
      <c r="R39" s="45" t="s">
        <v>42</v>
      </c>
      <c r="S39" s="46">
        <v>1.8</v>
      </c>
      <c r="T39" s="45" t="s">
        <v>46</v>
      </c>
      <c r="U39" s="50">
        <v>15.75</v>
      </c>
      <c r="V39" s="45" t="s">
        <v>61</v>
      </c>
      <c r="W39" s="47">
        <f t="shared" si="1"/>
        <v>28.35</v>
      </c>
      <c r="Y39" s="43" t="s">
        <v>652</v>
      </c>
      <c r="AD39" s="32" t="s">
        <v>651</v>
      </c>
    </row>
    <row r="40" ht="15.75" customHeight="1">
      <c r="A40" s="40">
        <v>22894.0</v>
      </c>
      <c r="B40" s="5" t="s">
        <v>33</v>
      </c>
      <c r="C40" s="5" t="s">
        <v>34</v>
      </c>
      <c r="D40" s="33" t="s">
        <v>522</v>
      </c>
      <c r="E40" s="46" t="s">
        <v>630</v>
      </c>
      <c r="F40" s="45" t="s">
        <v>524</v>
      </c>
      <c r="G40" s="45" t="s">
        <v>525</v>
      </c>
      <c r="H40" s="40" t="s">
        <v>648</v>
      </c>
      <c r="I40" s="40" t="s">
        <v>527</v>
      </c>
      <c r="J40" s="45" t="s">
        <v>625</v>
      </c>
      <c r="K40" s="46" t="s">
        <v>649</v>
      </c>
      <c r="L40" s="45" t="s">
        <v>530</v>
      </c>
      <c r="M40" s="45">
        <v>10.0</v>
      </c>
      <c r="N40" s="45" t="s">
        <v>42</v>
      </c>
      <c r="O40" s="46">
        <v>840.0</v>
      </c>
      <c r="P40" s="45" t="s">
        <v>42</v>
      </c>
      <c r="Q40" s="46">
        <v>840.0</v>
      </c>
      <c r="R40" s="45" t="s">
        <v>42</v>
      </c>
      <c r="S40" s="46">
        <v>2.12</v>
      </c>
      <c r="T40" s="45" t="s">
        <v>46</v>
      </c>
      <c r="U40" s="50">
        <v>20.65</v>
      </c>
      <c r="V40" s="45" t="s">
        <v>61</v>
      </c>
      <c r="W40" s="47">
        <f t="shared" si="1"/>
        <v>43.778</v>
      </c>
      <c r="Y40" s="43" t="s">
        <v>653</v>
      </c>
      <c r="AD40" s="32" t="s">
        <v>651</v>
      </c>
    </row>
    <row r="41" ht="15.75" customHeight="1">
      <c r="A41" s="40">
        <v>22897.0</v>
      </c>
      <c r="B41" s="5" t="s">
        <v>33</v>
      </c>
      <c r="C41" s="5" t="s">
        <v>34</v>
      </c>
      <c r="D41" s="33" t="s">
        <v>522</v>
      </c>
      <c r="E41" s="46" t="s">
        <v>630</v>
      </c>
      <c r="F41" s="45" t="s">
        <v>524</v>
      </c>
      <c r="G41" s="45" t="s">
        <v>525</v>
      </c>
      <c r="H41" s="40" t="s">
        <v>654</v>
      </c>
      <c r="I41" s="40" t="s">
        <v>527</v>
      </c>
      <c r="J41" s="45" t="s">
        <v>625</v>
      </c>
      <c r="K41" s="46" t="s">
        <v>649</v>
      </c>
      <c r="L41" s="45" t="s">
        <v>530</v>
      </c>
      <c r="M41" s="45">
        <v>10.0</v>
      </c>
      <c r="N41" s="45" t="s">
        <v>42</v>
      </c>
      <c r="O41" s="46">
        <v>840.0</v>
      </c>
      <c r="P41" s="45" t="s">
        <v>42</v>
      </c>
      <c r="Q41" s="46">
        <v>840.0</v>
      </c>
      <c r="R41" s="45" t="s">
        <v>42</v>
      </c>
      <c r="S41" s="46">
        <v>2.12</v>
      </c>
      <c r="T41" s="45" t="s">
        <v>46</v>
      </c>
      <c r="U41" s="50">
        <v>20.65</v>
      </c>
      <c r="V41" s="45" t="s">
        <v>61</v>
      </c>
      <c r="W41" s="47">
        <f t="shared" si="1"/>
        <v>43.778</v>
      </c>
      <c r="Y41" s="43" t="s">
        <v>655</v>
      </c>
      <c r="AD41" s="32" t="s">
        <v>656</v>
      </c>
    </row>
    <row r="42" ht="15.75" customHeight="1">
      <c r="A42" s="40">
        <v>23519.0</v>
      </c>
      <c r="B42" s="5" t="s">
        <v>33</v>
      </c>
      <c r="C42" s="5" t="s">
        <v>34</v>
      </c>
      <c r="D42" s="33" t="s">
        <v>522</v>
      </c>
      <c r="E42" s="46" t="s">
        <v>630</v>
      </c>
      <c r="F42" s="45" t="s">
        <v>524</v>
      </c>
      <c r="G42" s="45" t="s">
        <v>525</v>
      </c>
      <c r="H42" s="40" t="s">
        <v>654</v>
      </c>
      <c r="I42" s="40" t="s">
        <v>527</v>
      </c>
      <c r="J42" s="45" t="s">
        <v>625</v>
      </c>
      <c r="K42" s="46" t="s">
        <v>649</v>
      </c>
      <c r="L42" s="45" t="s">
        <v>530</v>
      </c>
      <c r="M42" s="45">
        <v>10.0</v>
      </c>
      <c r="N42" s="45" t="s">
        <v>42</v>
      </c>
      <c r="O42" s="46">
        <v>620.0</v>
      </c>
      <c r="P42" s="45" t="s">
        <v>42</v>
      </c>
      <c r="Q42" s="46">
        <v>620.0</v>
      </c>
      <c r="R42" s="45" t="s">
        <v>42</v>
      </c>
      <c r="S42" s="46">
        <v>1.54</v>
      </c>
      <c r="T42" s="45" t="s">
        <v>46</v>
      </c>
      <c r="U42" s="50">
        <v>15.75</v>
      </c>
      <c r="V42" s="45" t="s">
        <v>61</v>
      </c>
      <c r="W42" s="47">
        <f t="shared" si="1"/>
        <v>24.255</v>
      </c>
      <c r="Y42" s="43" t="s">
        <v>657</v>
      </c>
      <c r="AD42" s="32" t="s">
        <v>656</v>
      </c>
    </row>
    <row r="43" ht="15.75" customHeight="1">
      <c r="A43" s="40">
        <v>24800.0</v>
      </c>
      <c r="B43" s="5" t="s">
        <v>33</v>
      </c>
      <c r="C43" s="5" t="s">
        <v>34</v>
      </c>
      <c r="D43" s="33" t="s">
        <v>522</v>
      </c>
      <c r="E43" s="46" t="s">
        <v>630</v>
      </c>
      <c r="F43" s="45" t="s">
        <v>524</v>
      </c>
      <c r="G43" s="45" t="s">
        <v>525</v>
      </c>
      <c r="H43" s="40" t="s">
        <v>658</v>
      </c>
      <c r="I43" s="40" t="s">
        <v>527</v>
      </c>
      <c r="J43" s="45" t="s">
        <v>625</v>
      </c>
      <c r="K43" s="46" t="s">
        <v>649</v>
      </c>
      <c r="L43" s="45" t="s">
        <v>530</v>
      </c>
      <c r="M43" s="45">
        <v>10.0</v>
      </c>
      <c r="N43" s="45" t="s">
        <v>42</v>
      </c>
      <c r="O43" s="46">
        <v>600.0</v>
      </c>
      <c r="P43" s="45" t="s">
        <v>42</v>
      </c>
      <c r="Q43" s="46">
        <v>600.0</v>
      </c>
      <c r="R43" s="45" t="s">
        <v>42</v>
      </c>
      <c r="S43" s="46">
        <v>1.8</v>
      </c>
      <c r="T43" s="45" t="s">
        <v>46</v>
      </c>
      <c r="U43" s="50">
        <v>15.75</v>
      </c>
      <c r="V43" s="45" t="s">
        <v>61</v>
      </c>
      <c r="W43" s="47">
        <f t="shared" si="1"/>
        <v>28.35</v>
      </c>
      <c r="Y43" s="43" t="s">
        <v>659</v>
      </c>
      <c r="AD43" s="32" t="s">
        <v>660</v>
      </c>
    </row>
    <row r="44" ht="15.75" customHeight="1">
      <c r="A44" s="40">
        <v>24801.0</v>
      </c>
      <c r="B44" s="5" t="s">
        <v>33</v>
      </c>
      <c r="C44" s="5" t="s">
        <v>34</v>
      </c>
      <c r="D44" s="33" t="s">
        <v>522</v>
      </c>
      <c r="E44" s="46" t="s">
        <v>630</v>
      </c>
      <c r="F44" s="45" t="s">
        <v>524</v>
      </c>
      <c r="G44" s="45" t="s">
        <v>525</v>
      </c>
      <c r="H44" s="40" t="s">
        <v>661</v>
      </c>
      <c r="I44" s="40" t="s">
        <v>527</v>
      </c>
      <c r="J44" s="45" t="s">
        <v>625</v>
      </c>
      <c r="K44" s="40" t="s">
        <v>626</v>
      </c>
      <c r="L44" s="45" t="s">
        <v>530</v>
      </c>
      <c r="M44" s="45">
        <v>10.0</v>
      </c>
      <c r="N44" s="45" t="s">
        <v>42</v>
      </c>
      <c r="O44" s="46">
        <v>600.0</v>
      </c>
      <c r="P44" s="45" t="s">
        <v>42</v>
      </c>
      <c r="Q44" s="46">
        <v>600.0</v>
      </c>
      <c r="R44" s="45" t="s">
        <v>42</v>
      </c>
      <c r="S44" s="46">
        <v>1.8</v>
      </c>
      <c r="T44" s="45" t="s">
        <v>46</v>
      </c>
      <c r="U44" s="50">
        <v>15.75</v>
      </c>
      <c r="V44" s="45" t="s">
        <v>61</v>
      </c>
      <c r="W44" s="47">
        <f t="shared" si="1"/>
        <v>28.35</v>
      </c>
      <c r="Y44" s="43" t="s">
        <v>662</v>
      </c>
      <c r="AD44" s="32" t="s">
        <v>663</v>
      </c>
    </row>
    <row r="45" ht="15.75" customHeight="1">
      <c r="A45" s="40">
        <v>22892.0</v>
      </c>
      <c r="B45" s="5" t="s">
        <v>33</v>
      </c>
      <c r="C45" s="5" t="s">
        <v>34</v>
      </c>
      <c r="D45" s="33" t="s">
        <v>522</v>
      </c>
      <c r="E45" s="40" t="s">
        <v>623</v>
      </c>
      <c r="F45" s="45" t="s">
        <v>524</v>
      </c>
      <c r="G45" s="40" t="s">
        <v>525</v>
      </c>
      <c r="H45" s="40" t="s">
        <v>664</v>
      </c>
      <c r="I45" s="40" t="s">
        <v>527</v>
      </c>
      <c r="J45" s="40" t="s">
        <v>625</v>
      </c>
      <c r="K45" s="46" t="s">
        <v>592</v>
      </c>
      <c r="L45" s="45" t="s">
        <v>530</v>
      </c>
      <c r="M45" s="40">
        <v>10.0</v>
      </c>
      <c r="N45" s="40" t="s">
        <v>42</v>
      </c>
      <c r="O45" s="40">
        <v>625.0</v>
      </c>
      <c r="P45" s="40" t="s">
        <v>42</v>
      </c>
      <c r="Q45" s="40">
        <v>1250.0</v>
      </c>
      <c r="R45" s="40" t="s">
        <v>42</v>
      </c>
      <c r="S45" s="40">
        <v>1.56</v>
      </c>
      <c r="T45" s="45" t="s">
        <v>46</v>
      </c>
      <c r="U45" s="41">
        <v>16.75</v>
      </c>
      <c r="V45" s="45" t="s">
        <v>61</v>
      </c>
      <c r="W45" s="47">
        <f t="shared" si="1"/>
        <v>26.13</v>
      </c>
      <c r="Y45" s="43" t="s">
        <v>665</v>
      </c>
      <c r="AD45" s="32" t="s">
        <v>666</v>
      </c>
    </row>
    <row r="46" ht="15.75" customHeight="1">
      <c r="A46" s="40">
        <v>24804.0</v>
      </c>
      <c r="B46" s="5" t="s">
        <v>33</v>
      </c>
      <c r="C46" s="5" t="s">
        <v>34</v>
      </c>
      <c r="D46" s="33" t="s">
        <v>522</v>
      </c>
      <c r="E46" s="40" t="s">
        <v>623</v>
      </c>
      <c r="F46" s="45" t="s">
        <v>524</v>
      </c>
      <c r="G46" s="40" t="s">
        <v>525</v>
      </c>
      <c r="H46" s="40" t="s">
        <v>634</v>
      </c>
      <c r="I46" s="40" t="s">
        <v>527</v>
      </c>
      <c r="J46" s="40" t="s">
        <v>625</v>
      </c>
      <c r="K46" s="46" t="s">
        <v>592</v>
      </c>
      <c r="L46" s="45" t="s">
        <v>530</v>
      </c>
      <c r="M46" s="40">
        <v>10.0</v>
      </c>
      <c r="N46" s="40" t="s">
        <v>42</v>
      </c>
      <c r="O46" s="40">
        <v>600.0</v>
      </c>
      <c r="P46" s="40" t="s">
        <v>42</v>
      </c>
      <c r="Q46" s="40">
        <v>1200.0</v>
      </c>
      <c r="R46" s="40" t="s">
        <v>42</v>
      </c>
      <c r="S46" s="40">
        <v>1.44</v>
      </c>
      <c r="T46" s="45" t="s">
        <v>46</v>
      </c>
      <c r="U46" s="41">
        <v>16.75</v>
      </c>
      <c r="V46" s="45" t="s">
        <v>61</v>
      </c>
      <c r="W46" s="47">
        <f t="shared" si="1"/>
        <v>24.12</v>
      </c>
      <c r="Y46" s="43" t="s">
        <v>667</v>
      </c>
      <c r="AD46" s="32" t="s">
        <v>636</v>
      </c>
    </row>
    <row r="47" ht="15.75" customHeight="1">
      <c r="A47" s="40">
        <v>22995.0</v>
      </c>
      <c r="B47" s="5" t="s">
        <v>33</v>
      </c>
      <c r="C47" s="5" t="s">
        <v>34</v>
      </c>
      <c r="D47" s="33" t="s">
        <v>522</v>
      </c>
      <c r="E47" s="46" t="s">
        <v>630</v>
      </c>
      <c r="F47" s="45" t="s">
        <v>524</v>
      </c>
      <c r="G47" s="40" t="s">
        <v>525</v>
      </c>
      <c r="H47" s="40" t="s">
        <v>668</v>
      </c>
      <c r="I47" s="40" t="s">
        <v>527</v>
      </c>
      <c r="J47" s="40" t="s">
        <v>625</v>
      </c>
      <c r="K47" s="46" t="s">
        <v>649</v>
      </c>
      <c r="L47" s="45" t="s">
        <v>530</v>
      </c>
      <c r="M47" s="40">
        <v>10.0</v>
      </c>
      <c r="N47" s="40" t="s">
        <v>42</v>
      </c>
      <c r="O47" s="40">
        <v>600.0</v>
      </c>
      <c r="P47" s="40" t="s">
        <v>42</v>
      </c>
      <c r="Q47" s="40">
        <v>1200.0</v>
      </c>
      <c r="R47" s="40" t="s">
        <v>42</v>
      </c>
      <c r="S47" s="40">
        <v>1.44</v>
      </c>
      <c r="T47" s="45" t="s">
        <v>46</v>
      </c>
      <c r="U47" s="41">
        <v>19.3</v>
      </c>
      <c r="V47" s="45" t="s">
        <v>61</v>
      </c>
      <c r="W47" s="47">
        <f t="shared" si="1"/>
        <v>27.792</v>
      </c>
      <c r="Y47" s="43" t="s">
        <v>669</v>
      </c>
      <c r="AD47" s="32" t="s">
        <v>670</v>
      </c>
    </row>
    <row r="48" ht="15.75" customHeight="1">
      <c r="A48" s="40">
        <v>23062.0</v>
      </c>
      <c r="B48" s="5" t="s">
        <v>33</v>
      </c>
      <c r="C48" s="5" t="s">
        <v>34</v>
      </c>
      <c r="D48" s="33" t="s">
        <v>522</v>
      </c>
      <c r="E48" s="46" t="s">
        <v>630</v>
      </c>
      <c r="F48" s="45" t="s">
        <v>524</v>
      </c>
      <c r="G48" s="40" t="s">
        <v>525</v>
      </c>
      <c r="H48" s="40" t="s">
        <v>671</v>
      </c>
      <c r="I48" s="40" t="s">
        <v>527</v>
      </c>
      <c r="J48" s="40" t="s">
        <v>625</v>
      </c>
      <c r="K48" s="46" t="s">
        <v>649</v>
      </c>
      <c r="L48" s="45" t="s">
        <v>530</v>
      </c>
      <c r="M48" s="40">
        <v>10.0</v>
      </c>
      <c r="N48" s="40" t="s">
        <v>42</v>
      </c>
      <c r="O48" s="40">
        <v>600.0</v>
      </c>
      <c r="P48" s="40" t="s">
        <v>42</v>
      </c>
      <c r="Q48" s="40">
        <v>1200.0</v>
      </c>
      <c r="R48" s="40" t="s">
        <v>42</v>
      </c>
      <c r="S48" s="40">
        <v>1.44</v>
      </c>
      <c r="T48" s="45" t="s">
        <v>46</v>
      </c>
      <c r="U48" s="41">
        <v>19.3</v>
      </c>
      <c r="V48" s="45" t="s">
        <v>61</v>
      </c>
      <c r="W48" s="47">
        <f t="shared" si="1"/>
        <v>27.792</v>
      </c>
      <c r="Y48" s="43" t="s">
        <v>672</v>
      </c>
      <c r="AD48" s="32" t="s">
        <v>673</v>
      </c>
    </row>
    <row r="49" ht="15.75" customHeight="1">
      <c r="A49" s="40">
        <v>23064.0</v>
      </c>
      <c r="B49" s="5" t="s">
        <v>33</v>
      </c>
      <c r="C49" s="5" t="s">
        <v>34</v>
      </c>
      <c r="D49" s="33" t="s">
        <v>522</v>
      </c>
      <c r="E49" s="46" t="s">
        <v>630</v>
      </c>
      <c r="F49" s="45" t="s">
        <v>524</v>
      </c>
      <c r="G49" s="40" t="s">
        <v>525</v>
      </c>
      <c r="H49" s="40" t="s">
        <v>674</v>
      </c>
      <c r="I49" s="40" t="s">
        <v>527</v>
      </c>
      <c r="J49" s="40" t="s">
        <v>625</v>
      </c>
      <c r="K49" s="46" t="s">
        <v>649</v>
      </c>
      <c r="L49" s="45" t="s">
        <v>530</v>
      </c>
      <c r="M49" s="40">
        <v>10.0</v>
      </c>
      <c r="N49" s="40" t="s">
        <v>42</v>
      </c>
      <c r="O49" s="40">
        <v>600.0</v>
      </c>
      <c r="P49" s="40" t="s">
        <v>42</v>
      </c>
      <c r="Q49" s="40">
        <v>1200.0</v>
      </c>
      <c r="R49" s="40" t="s">
        <v>42</v>
      </c>
      <c r="S49" s="40">
        <v>1.44</v>
      </c>
      <c r="T49" s="45" t="s">
        <v>46</v>
      </c>
      <c r="U49" s="41">
        <v>19.3</v>
      </c>
      <c r="V49" s="45" t="s">
        <v>61</v>
      </c>
      <c r="W49" s="47">
        <f t="shared" si="1"/>
        <v>27.792</v>
      </c>
      <c r="Y49" s="43" t="s">
        <v>675</v>
      </c>
      <c r="AD49" s="32" t="s">
        <v>676</v>
      </c>
    </row>
    <row r="50" ht="15.75" customHeight="1">
      <c r="A50" s="40">
        <v>23065.0</v>
      </c>
      <c r="B50" s="5" t="s">
        <v>33</v>
      </c>
      <c r="C50" s="5" t="s">
        <v>34</v>
      </c>
      <c r="D50" s="33" t="s">
        <v>522</v>
      </c>
      <c r="E50" s="46" t="s">
        <v>630</v>
      </c>
      <c r="F50" s="45" t="s">
        <v>524</v>
      </c>
      <c r="G50" s="40" t="s">
        <v>525</v>
      </c>
      <c r="H50" s="40" t="s">
        <v>677</v>
      </c>
      <c r="I50" s="40" t="s">
        <v>527</v>
      </c>
      <c r="J50" s="40" t="s">
        <v>625</v>
      </c>
      <c r="K50" s="46" t="s">
        <v>649</v>
      </c>
      <c r="L50" s="45" t="s">
        <v>530</v>
      </c>
      <c r="M50" s="40">
        <v>10.0</v>
      </c>
      <c r="N50" s="40" t="s">
        <v>42</v>
      </c>
      <c r="O50" s="40">
        <v>600.0</v>
      </c>
      <c r="P50" s="40" t="s">
        <v>42</v>
      </c>
      <c r="Q50" s="40">
        <v>1200.0</v>
      </c>
      <c r="R50" s="40" t="s">
        <v>42</v>
      </c>
      <c r="S50" s="40">
        <v>1.44</v>
      </c>
      <c r="T50" s="45" t="s">
        <v>46</v>
      </c>
      <c r="U50" s="41">
        <v>19.3</v>
      </c>
      <c r="V50" s="45" t="s">
        <v>61</v>
      </c>
      <c r="W50" s="47">
        <f t="shared" si="1"/>
        <v>27.792</v>
      </c>
      <c r="Y50" s="43" t="s">
        <v>678</v>
      </c>
      <c r="AD50" s="32" t="s">
        <v>679</v>
      </c>
    </row>
    <row r="51" ht="15.75" customHeight="1">
      <c r="A51" s="40">
        <v>24913.0</v>
      </c>
      <c r="B51" s="5" t="s">
        <v>33</v>
      </c>
      <c r="C51" s="5" t="s">
        <v>34</v>
      </c>
      <c r="D51" s="33" t="s">
        <v>522</v>
      </c>
      <c r="E51" s="46" t="s">
        <v>630</v>
      </c>
      <c r="F51" s="45" t="s">
        <v>524</v>
      </c>
      <c r="G51" s="40" t="s">
        <v>525</v>
      </c>
      <c r="H51" s="40" t="s">
        <v>680</v>
      </c>
      <c r="I51" s="40" t="s">
        <v>527</v>
      </c>
      <c r="J51" s="40" t="s">
        <v>625</v>
      </c>
      <c r="K51" s="40" t="s">
        <v>579</v>
      </c>
      <c r="L51" s="45" t="s">
        <v>530</v>
      </c>
      <c r="M51" s="40">
        <v>10.0</v>
      </c>
      <c r="N51" s="40" t="s">
        <v>42</v>
      </c>
      <c r="O51" s="40">
        <v>600.0</v>
      </c>
      <c r="P51" s="40" t="s">
        <v>42</v>
      </c>
      <c r="Q51" s="40">
        <v>1200.0</v>
      </c>
      <c r="R51" s="40" t="s">
        <v>42</v>
      </c>
      <c r="S51" s="40">
        <v>1.44</v>
      </c>
      <c r="T51" s="45" t="s">
        <v>46</v>
      </c>
      <c r="U51" s="41">
        <v>19.3</v>
      </c>
      <c r="V51" s="45" t="s">
        <v>61</v>
      </c>
      <c r="W51" s="47">
        <f t="shared" si="1"/>
        <v>27.792</v>
      </c>
      <c r="Y51" s="43" t="s">
        <v>681</v>
      </c>
      <c r="AD51" s="32" t="s">
        <v>682</v>
      </c>
    </row>
    <row r="52" ht="15.75" customHeight="1">
      <c r="A52" s="40">
        <v>24912.0</v>
      </c>
      <c r="B52" s="5" t="s">
        <v>33</v>
      </c>
      <c r="C52" s="5" t="s">
        <v>34</v>
      </c>
      <c r="D52" s="33" t="s">
        <v>522</v>
      </c>
      <c r="E52" s="46" t="s">
        <v>630</v>
      </c>
      <c r="F52" s="45" t="s">
        <v>524</v>
      </c>
      <c r="G52" s="40" t="s">
        <v>525</v>
      </c>
      <c r="H52" s="40" t="s">
        <v>683</v>
      </c>
      <c r="I52" s="40" t="s">
        <v>527</v>
      </c>
      <c r="J52" s="40" t="s">
        <v>625</v>
      </c>
      <c r="K52" s="40" t="s">
        <v>579</v>
      </c>
      <c r="L52" s="45" t="s">
        <v>530</v>
      </c>
      <c r="M52" s="40">
        <v>10.0</v>
      </c>
      <c r="N52" s="40" t="s">
        <v>42</v>
      </c>
      <c r="O52" s="40">
        <v>600.0</v>
      </c>
      <c r="P52" s="40" t="s">
        <v>42</v>
      </c>
      <c r="Q52" s="40">
        <v>1200.0</v>
      </c>
      <c r="R52" s="40" t="s">
        <v>42</v>
      </c>
      <c r="S52" s="40">
        <v>1.44</v>
      </c>
      <c r="T52" s="45" t="s">
        <v>46</v>
      </c>
      <c r="U52" s="41">
        <v>19.3</v>
      </c>
      <c r="V52" s="45" t="s">
        <v>61</v>
      </c>
      <c r="W52" s="47">
        <f t="shared" si="1"/>
        <v>27.792</v>
      </c>
      <c r="Y52" s="43" t="s">
        <v>684</v>
      </c>
      <c r="AD52" s="32" t="s">
        <v>685</v>
      </c>
    </row>
    <row r="53" ht="15.75" customHeight="1">
      <c r="A53" s="40">
        <v>24914.0</v>
      </c>
      <c r="B53" s="5" t="s">
        <v>33</v>
      </c>
      <c r="C53" s="5" t="s">
        <v>34</v>
      </c>
      <c r="D53" s="33" t="s">
        <v>522</v>
      </c>
      <c r="E53" s="46" t="s">
        <v>630</v>
      </c>
      <c r="F53" s="45" t="s">
        <v>524</v>
      </c>
      <c r="G53" s="40" t="s">
        <v>525</v>
      </c>
      <c r="H53" s="40" t="s">
        <v>686</v>
      </c>
      <c r="I53" s="40" t="s">
        <v>527</v>
      </c>
      <c r="J53" s="40" t="s">
        <v>625</v>
      </c>
      <c r="K53" s="46" t="s">
        <v>649</v>
      </c>
      <c r="L53" s="45" t="s">
        <v>530</v>
      </c>
      <c r="M53" s="40">
        <v>10.0</v>
      </c>
      <c r="N53" s="40" t="s">
        <v>42</v>
      </c>
      <c r="O53" s="40">
        <v>600.0</v>
      </c>
      <c r="P53" s="40" t="s">
        <v>42</v>
      </c>
      <c r="Q53" s="40">
        <v>1200.0</v>
      </c>
      <c r="R53" s="40" t="s">
        <v>42</v>
      </c>
      <c r="S53" s="40">
        <v>1.44</v>
      </c>
      <c r="T53" s="45" t="s">
        <v>46</v>
      </c>
      <c r="U53" s="41">
        <v>19.3</v>
      </c>
      <c r="V53" s="45" t="s">
        <v>61</v>
      </c>
      <c r="W53" s="47">
        <f t="shared" si="1"/>
        <v>27.792</v>
      </c>
      <c r="Y53" s="43" t="s">
        <v>687</v>
      </c>
      <c r="AD53" s="32" t="s">
        <v>688</v>
      </c>
    </row>
    <row r="54" ht="15.75" customHeight="1">
      <c r="A54" s="40">
        <v>25370.0</v>
      </c>
      <c r="B54" s="5" t="s">
        <v>33</v>
      </c>
      <c r="C54" s="5" t="s">
        <v>34</v>
      </c>
      <c r="D54" s="33" t="s">
        <v>522</v>
      </c>
      <c r="E54" s="40" t="s">
        <v>623</v>
      </c>
      <c r="F54" s="45" t="s">
        <v>524</v>
      </c>
      <c r="G54" s="40" t="s">
        <v>525</v>
      </c>
      <c r="H54" s="40" t="s">
        <v>689</v>
      </c>
      <c r="I54" s="40" t="s">
        <v>527</v>
      </c>
      <c r="J54" s="40" t="s">
        <v>625</v>
      </c>
      <c r="K54" s="46" t="s">
        <v>592</v>
      </c>
      <c r="L54" s="45" t="s">
        <v>530</v>
      </c>
      <c r="M54" s="40">
        <v>10.0</v>
      </c>
      <c r="N54" s="40" t="s">
        <v>42</v>
      </c>
      <c r="O54" s="40">
        <v>900.0</v>
      </c>
      <c r="P54" s="40" t="s">
        <v>42</v>
      </c>
      <c r="Q54" s="40">
        <v>900.0</v>
      </c>
      <c r="R54" s="40" t="s">
        <v>42</v>
      </c>
      <c r="S54" s="40">
        <v>1.62</v>
      </c>
      <c r="T54" s="45" t="s">
        <v>46</v>
      </c>
      <c r="U54" s="41">
        <v>19.5</v>
      </c>
      <c r="V54" s="45" t="s">
        <v>61</v>
      </c>
      <c r="W54" s="47">
        <f t="shared" si="1"/>
        <v>31.59</v>
      </c>
      <c r="Y54" s="43" t="s">
        <v>690</v>
      </c>
      <c r="AD54" s="32" t="s">
        <v>691</v>
      </c>
    </row>
    <row r="55" ht="15.75" customHeight="1">
      <c r="A55" s="40">
        <v>25368.0</v>
      </c>
      <c r="B55" s="5" t="s">
        <v>33</v>
      </c>
      <c r="C55" s="5" t="s">
        <v>34</v>
      </c>
      <c r="D55" s="33" t="s">
        <v>522</v>
      </c>
      <c r="E55" s="40" t="s">
        <v>692</v>
      </c>
      <c r="F55" s="45" t="s">
        <v>524</v>
      </c>
      <c r="G55" s="40" t="s">
        <v>525</v>
      </c>
      <c r="H55" s="40" t="s">
        <v>693</v>
      </c>
      <c r="I55" s="40" t="s">
        <v>527</v>
      </c>
      <c r="J55" s="40" t="s">
        <v>625</v>
      </c>
      <c r="K55" s="40" t="s">
        <v>579</v>
      </c>
      <c r="L55" s="45" t="s">
        <v>530</v>
      </c>
      <c r="M55" s="40">
        <v>10.0</v>
      </c>
      <c r="N55" s="40" t="s">
        <v>42</v>
      </c>
      <c r="O55" s="40">
        <v>900.0</v>
      </c>
      <c r="P55" s="40" t="s">
        <v>42</v>
      </c>
      <c r="Q55" s="40">
        <v>900.0</v>
      </c>
      <c r="R55" s="40" t="s">
        <v>42</v>
      </c>
      <c r="S55" s="40">
        <v>1.62</v>
      </c>
      <c r="T55" s="45" t="s">
        <v>46</v>
      </c>
      <c r="U55" s="41">
        <v>19.5</v>
      </c>
      <c r="V55" s="45" t="s">
        <v>61</v>
      </c>
      <c r="W55" s="47">
        <f t="shared" si="1"/>
        <v>31.59</v>
      </c>
      <c r="Y55" s="43" t="s">
        <v>694</v>
      </c>
      <c r="AD55" s="32" t="s">
        <v>695</v>
      </c>
    </row>
    <row r="56" ht="15.75" customHeight="1">
      <c r="A56" s="40">
        <v>25371.0</v>
      </c>
      <c r="B56" s="5" t="s">
        <v>33</v>
      </c>
      <c r="C56" s="5" t="s">
        <v>34</v>
      </c>
      <c r="D56" s="33" t="s">
        <v>522</v>
      </c>
      <c r="E56" s="40" t="s">
        <v>623</v>
      </c>
      <c r="F56" s="45" t="s">
        <v>524</v>
      </c>
      <c r="G56" s="40" t="s">
        <v>525</v>
      </c>
      <c r="H56" s="40" t="s">
        <v>696</v>
      </c>
      <c r="I56" s="40" t="s">
        <v>527</v>
      </c>
      <c r="J56" s="40" t="s">
        <v>625</v>
      </c>
      <c r="K56" s="46" t="s">
        <v>592</v>
      </c>
      <c r="L56" s="45" t="s">
        <v>530</v>
      </c>
      <c r="M56" s="40">
        <v>10.0</v>
      </c>
      <c r="N56" s="40" t="s">
        <v>42</v>
      </c>
      <c r="O56" s="40">
        <v>900.0</v>
      </c>
      <c r="P56" s="40" t="s">
        <v>42</v>
      </c>
      <c r="Q56" s="40">
        <v>900.0</v>
      </c>
      <c r="R56" s="40" t="s">
        <v>42</v>
      </c>
      <c r="S56" s="40">
        <v>1.62</v>
      </c>
      <c r="T56" s="45" t="s">
        <v>46</v>
      </c>
      <c r="U56" s="41">
        <v>19.5</v>
      </c>
      <c r="V56" s="45" t="s">
        <v>61</v>
      </c>
      <c r="W56" s="47">
        <f t="shared" si="1"/>
        <v>31.59</v>
      </c>
      <c r="Y56" s="43" t="s">
        <v>697</v>
      </c>
      <c r="AD56" s="32" t="s">
        <v>698</v>
      </c>
    </row>
    <row r="57" ht="15.75" customHeight="1">
      <c r="A57" s="40">
        <v>25388.0</v>
      </c>
      <c r="B57" s="5" t="s">
        <v>33</v>
      </c>
      <c r="C57" s="5" t="s">
        <v>34</v>
      </c>
      <c r="D57" s="33" t="s">
        <v>522</v>
      </c>
      <c r="E57" s="40" t="s">
        <v>523</v>
      </c>
      <c r="F57" s="45" t="s">
        <v>524</v>
      </c>
      <c r="G57" s="40" t="s">
        <v>525</v>
      </c>
      <c r="H57" s="40" t="s">
        <v>699</v>
      </c>
      <c r="I57" s="40" t="s">
        <v>527</v>
      </c>
      <c r="J57" s="40" t="s">
        <v>625</v>
      </c>
      <c r="K57" s="40" t="s">
        <v>529</v>
      </c>
      <c r="L57" s="45" t="s">
        <v>530</v>
      </c>
      <c r="M57" s="40">
        <v>10.0</v>
      </c>
      <c r="N57" s="40" t="s">
        <v>42</v>
      </c>
      <c r="O57" s="40">
        <v>197.0</v>
      </c>
      <c r="P57" s="40" t="s">
        <v>42</v>
      </c>
      <c r="Q57" s="40">
        <v>1200.0</v>
      </c>
      <c r="R57" s="40" t="s">
        <v>42</v>
      </c>
      <c r="S57" s="40">
        <v>1.65</v>
      </c>
      <c r="T57" s="45" t="s">
        <v>46</v>
      </c>
      <c r="U57" s="41">
        <v>19.5</v>
      </c>
      <c r="V57" s="45" t="s">
        <v>61</v>
      </c>
      <c r="W57" s="47">
        <f t="shared" si="1"/>
        <v>32.175</v>
      </c>
      <c r="Y57" s="43" t="s">
        <v>700</v>
      </c>
      <c r="AD57" s="32" t="s">
        <v>701</v>
      </c>
    </row>
    <row r="58" ht="15.75" customHeight="1">
      <c r="A58" s="40">
        <v>25387.0</v>
      </c>
      <c r="B58" s="5" t="s">
        <v>33</v>
      </c>
      <c r="C58" s="5" t="s">
        <v>34</v>
      </c>
      <c r="D58" s="33" t="s">
        <v>522</v>
      </c>
      <c r="E58" s="40" t="s">
        <v>523</v>
      </c>
      <c r="F58" s="45" t="s">
        <v>524</v>
      </c>
      <c r="G58" s="40" t="s">
        <v>525</v>
      </c>
      <c r="H58" s="40" t="s">
        <v>702</v>
      </c>
      <c r="I58" s="40" t="s">
        <v>527</v>
      </c>
      <c r="J58" s="40" t="s">
        <v>625</v>
      </c>
      <c r="K58" s="40" t="s">
        <v>529</v>
      </c>
      <c r="L58" s="45" t="s">
        <v>530</v>
      </c>
      <c r="M58" s="40">
        <v>10.0</v>
      </c>
      <c r="N58" s="40" t="s">
        <v>42</v>
      </c>
      <c r="O58" s="40">
        <v>197.0</v>
      </c>
      <c r="P58" s="40" t="s">
        <v>42</v>
      </c>
      <c r="Q58" s="40">
        <v>1200.0</v>
      </c>
      <c r="R58" s="40" t="s">
        <v>42</v>
      </c>
      <c r="S58" s="40">
        <v>1.65</v>
      </c>
      <c r="T58" s="45" t="s">
        <v>46</v>
      </c>
      <c r="U58" s="41">
        <v>19.5</v>
      </c>
      <c r="V58" s="45" t="s">
        <v>61</v>
      </c>
      <c r="W58" s="47">
        <f t="shared" si="1"/>
        <v>32.175</v>
      </c>
      <c r="Y58" s="43" t="s">
        <v>703</v>
      </c>
      <c r="AD58" s="32" t="s">
        <v>704</v>
      </c>
    </row>
    <row r="59" ht="15.75" customHeight="1">
      <c r="A59" s="40">
        <v>25378.0</v>
      </c>
      <c r="B59" s="5" t="s">
        <v>33</v>
      </c>
      <c r="C59" s="5" t="s">
        <v>34</v>
      </c>
      <c r="D59" s="33" t="s">
        <v>522</v>
      </c>
      <c r="E59" s="40" t="s">
        <v>523</v>
      </c>
      <c r="F59" s="45" t="s">
        <v>524</v>
      </c>
      <c r="G59" s="40" t="s">
        <v>525</v>
      </c>
      <c r="H59" s="40" t="s">
        <v>705</v>
      </c>
      <c r="I59" s="40" t="s">
        <v>527</v>
      </c>
      <c r="J59" s="40" t="s">
        <v>625</v>
      </c>
      <c r="K59" s="40" t="s">
        <v>579</v>
      </c>
      <c r="L59" s="45" t="s">
        <v>530</v>
      </c>
      <c r="M59" s="40">
        <v>10.0</v>
      </c>
      <c r="N59" s="40" t="s">
        <v>42</v>
      </c>
      <c r="O59" s="40">
        <v>900.0</v>
      </c>
      <c r="P59" s="40" t="s">
        <v>42</v>
      </c>
      <c r="Q59" s="40">
        <v>900.0</v>
      </c>
      <c r="R59" s="40" t="s">
        <v>42</v>
      </c>
      <c r="S59" s="40">
        <v>1.62</v>
      </c>
      <c r="T59" s="45" t="s">
        <v>46</v>
      </c>
      <c r="U59" s="41">
        <v>19.5</v>
      </c>
      <c r="V59" s="45" t="s">
        <v>61</v>
      </c>
      <c r="W59" s="47">
        <f t="shared" si="1"/>
        <v>31.59</v>
      </c>
      <c r="Y59" s="43" t="s">
        <v>706</v>
      </c>
      <c r="AD59" s="32" t="s">
        <v>707</v>
      </c>
    </row>
    <row r="60" ht="15.75" customHeight="1">
      <c r="A60" s="40">
        <v>25369.0</v>
      </c>
      <c r="B60" s="5" t="s">
        <v>33</v>
      </c>
      <c r="C60" s="5" t="s">
        <v>34</v>
      </c>
      <c r="D60" s="33" t="s">
        <v>522</v>
      </c>
      <c r="E60" s="40" t="s">
        <v>523</v>
      </c>
      <c r="F60" s="45" t="s">
        <v>524</v>
      </c>
      <c r="G60" s="40" t="s">
        <v>525</v>
      </c>
      <c r="H60" s="40" t="s">
        <v>708</v>
      </c>
      <c r="I60" s="40" t="s">
        <v>527</v>
      </c>
      <c r="J60" s="40" t="s">
        <v>625</v>
      </c>
      <c r="K60" s="46" t="s">
        <v>592</v>
      </c>
      <c r="L60" s="45" t="s">
        <v>530</v>
      </c>
      <c r="M60" s="40">
        <v>10.0</v>
      </c>
      <c r="N60" s="40" t="s">
        <v>42</v>
      </c>
      <c r="O60" s="40">
        <v>900.0</v>
      </c>
      <c r="P60" s="40" t="s">
        <v>42</v>
      </c>
      <c r="Q60" s="40">
        <v>900.0</v>
      </c>
      <c r="R60" s="40" t="s">
        <v>42</v>
      </c>
      <c r="S60" s="40">
        <v>1.62</v>
      </c>
      <c r="T60" s="45" t="s">
        <v>46</v>
      </c>
      <c r="U60" s="41">
        <v>19.5</v>
      </c>
      <c r="V60" s="45" t="s">
        <v>61</v>
      </c>
      <c r="W60" s="47">
        <f t="shared" si="1"/>
        <v>31.59</v>
      </c>
      <c r="Y60" s="43" t="s">
        <v>709</v>
      </c>
      <c r="AD60" s="32" t="s">
        <v>710</v>
      </c>
    </row>
    <row r="61" ht="15.75" customHeight="1">
      <c r="A61" s="40">
        <v>22898.0</v>
      </c>
      <c r="B61" s="5" t="s">
        <v>33</v>
      </c>
      <c r="C61" s="5" t="s">
        <v>34</v>
      </c>
      <c r="D61" s="33" t="s">
        <v>522</v>
      </c>
      <c r="E61" s="46" t="s">
        <v>630</v>
      </c>
      <c r="F61" s="45" t="s">
        <v>524</v>
      </c>
      <c r="G61" s="40" t="s">
        <v>525</v>
      </c>
      <c r="H61" s="40" t="s">
        <v>711</v>
      </c>
      <c r="I61" s="40" t="s">
        <v>527</v>
      </c>
      <c r="J61" s="40" t="s">
        <v>625</v>
      </c>
      <c r="K61" s="46" t="s">
        <v>649</v>
      </c>
      <c r="L61" s="45" t="s">
        <v>530</v>
      </c>
      <c r="M61" s="40">
        <v>10.0</v>
      </c>
      <c r="N61" s="40" t="s">
        <v>42</v>
      </c>
      <c r="O61" s="40">
        <v>840.0</v>
      </c>
      <c r="P61" s="40" t="s">
        <v>42</v>
      </c>
      <c r="Q61" s="40">
        <v>840.0</v>
      </c>
      <c r="R61" s="40" t="s">
        <v>42</v>
      </c>
      <c r="S61" s="40">
        <v>2.12</v>
      </c>
      <c r="T61" s="45" t="s">
        <v>46</v>
      </c>
      <c r="U61" s="41">
        <v>20.65</v>
      </c>
      <c r="V61" s="45" t="s">
        <v>61</v>
      </c>
      <c r="W61" s="47">
        <f t="shared" si="1"/>
        <v>43.778</v>
      </c>
      <c r="Y61" s="43" t="s">
        <v>712</v>
      </c>
      <c r="AD61" s="32" t="s">
        <v>713</v>
      </c>
    </row>
    <row r="62" ht="15.75" customHeight="1">
      <c r="A62" s="40">
        <v>23061.0</v>
      </c>
      <c r="B62" s="5" t="s">
        <v>33</v>
      </c>
      <c r="C62" s="5" t="s">
        <v>34</v>
      </c>
      <c r="D62" s="33" t="s">
        <v>522</v>
      </c>
      <c r="E62" s="46" t="s">
        <v>630</v>
      </c>
      <c r="F62" s="45" t="s">
        <v>524</v>
      </c>
      <c r="G62" s="40" t="s">
        <v>525</v>
      </c>
      <c r="H62" s="40" t="s">
        <v>714</v>
      </c>
      <c r="I62" s="40" t="s">
        <v>527</v>
      </c>
      <c r="J62" s="40" t="s">
        <v>625</v>
      </c>
      <c r="K62" s="46" t="s">
        <v>649</v>
      </c>
      <c r="L62" s="45" t="s">
        <v>530</v>
      </c>
      <c r="M62" s="40">
        <v>10.0</v>
      </c>
      <c r="N62" s="40" t="s">
        <v>42</v>
      </c>
      <c r="O62" s="40">
        <v>840.0</v>
      </c>
      <c r="P62" s="40" t="s">
        <v>42</v>
      </c>
      <c r="Q62" s="40">
        <v>840.0</v>
      </c>
      <c r="R62" s="40" t="s">
        <v>42</v>
      </c>
      <c r="S62" s="40">
        <v>2.12</v>
      </c>
      <c r="T62" s="45" t="s">
        <v>46</v>
      </c>
      <c r="U62" s="41">
        <v>20.65</v>
      </c>
      <c r="V62" s="45" t="s">
        <v>61</v>
      </c>
      <c r="W62" s="47">
        <f t="shared" si="1"/>
        <v>43.778</v>
      </c>
      <c r="Y62" s="43" t="s">
        <v>715</v>
      </c>
      <c r="AD62" s="32" t="s">
        <v>716</v>
      </c>
    </row>
    <row r="63" ht="15.75" customHeight="1">
      <c r="A63" s="40">
        <v>24798.0</v>
      </c>
      <c r="B63" s="5" t="s">
        <v>33</v>
      </c>
      <c r="C63" s="5" t="s">
        <v>34</v>
      </c>
      <c r="D63" s="33" t="s">
        <v>522</v>
      </c>
      <c r="E63" s="46" t="s">
        <v>630</v>
      </c>
      <c r="F63" s="45" t="s">
        <v>524</v>
      </c>
      <c r="G63" s="40" t="s">
        <v>525</v>
      </c>
      <c r="H63" s="40" t="s">
        <v>717</v>
      </c>
      <c r="I63" s="40" t="s">
        <v>527</v>
      </c>
      <c r="J63" s="40" t="s">
        <v>625</v>
      </c>
      <c r="K63" s="46" t="s">
        <v>649</v>
      </c>
      <c r="L63" s="45" t="s">
        <v>530</v>
      </c>
      <c r="M63" s="40">
        <v>10.0</v>
      </c>
      <c r="N63" s="40" t="s">
        <v>42</v>
      </c>
      <c r="O63" s="40">
        <v>840.0</v>
      </c>
      <c r="P63" s="40" t="s">
        <v>42</v>
      </c>
      <c r="Q63" s="40">
        <v>840.0</v>
      </c>
      <c r="R63" s="40" t="s">
        <v>42</v>
      </c>
      <c r="S63" s="40">
        <v>2.12</v>
      </c>
      <c r="T63" s="45" t="s">
        <v>46</v>
      </c>
      <c r="U63" s="41">
        <v>20.65</v>
      </c>
      <c r="V63" s="45" t="s">
        <v>61</v>
      </c>
      <c r="W63" s="47">
        <f t="shared" si="1"/>
        <v>43.778</v>
      </c>
      <c r="Y63" s="43" t="s">
        <v>718</v>
      </c>
      <c r="AD63" s="32" t="s">
        <v>719</v>
      </c>
    </row>
    <row r="64" ht="15.75" customHeight="1">
      <c r="A64" s="40">
        <v>24802.0</v>
      </c>
      <c r="B64" s="5" t="s">
        <v>33</v>
      </c>
      <c r="C64" s="5" t="s">
        <v>34</v>
      </c>
      <c r="D64" s="33" t="s">
        <v>522</v>
      </c>
      <c r="E64" s="46" t="s">
        <v>630</v>
      </c>
      <c r="F64" s="45" t="s">
        <v>524</v>
      </c>
      <c r="G64" s="40" t="s">
        <v>525</v>
      </c>
      <c r="H64" s="40" t="s">
        <v>720</v>
      </c>
      <c r="I64" s="40" t="s">
        <v>527</v>
      </c>
      <c r="J64" s="40" t="s">
        <v>625</v>
      </c>
      <c r="K64" s="46" t="s">
        <v>649</v>
      </c>
      <c r="L64" s="45" t="s">
        <v>530</v>
      </c>
      <c r="M64" s="40">
        <v>10.0</v>
      </c>
      <c r="N64" s="40" t="s">
        <v>42</v>
      </c>
      <c r="O64" s="40">
        <v>1200.0</v>
      </c>
      <c r="P64" s="40" t="s">
        <v>42</v>
      </c>
      <c r="Q64" s="40">
        <v>1200.0</v>
      </c>
      <c r="R64" s="40" t="s">
        <v>42</v>
      </c>
      <c r="S64" s="40">
        <v>1.44</v>
      </c>
      <c r="T64" s="45" t="s">
        <v>46</v>
      </c>
      <c r="U64" s="41">
        <v>23.0</v>
      </c>
      <c r="V64" s="45" t="s">
        <v>61</v>
      </c>
      <c r="W64" s="47">
        <f t="shared" si="1"/>
        <v>33.12</v>
      </c>
      <c r="Y64" s="43" t="s">
        <v>721</v>
      </c>
      <c r="AD64" s="32" t="s">
        <v>722</v>
      </c>
    </row>
    <row r="65" ht="15.75" customHeight="1">
      <c r="A65" s="40">
        <v>24805.0</v>
      </c>
      <c r="B65" s="5" t="s">
        <v>33</v>
      </c>
      <c r="C65" s="5" t="s">
        <v>34</v>
      </c>
      <c r="D65" s="33" t="s">
        <v>522</v>
      </c>
      <c r="E65" s="46" t="s">
        <v>630</v>
      </c>
      <c r="F65" s="45" t="s">
        <v>524</v>
      </c>
      <c r="G65" s="40" t="s">
        <v>525</v>
      </c>
      <c r="H65" s="40" t="s">
        <v>723</v>
      </c>
      <c r="I65" s="40" t="s">
        <v>527</v>
      </c>
      <c r="J65" s="40" t="s">
        <v>625</v>
      </c>
      <c r="K65" s="46" t="s">
        <v>649</v>
      </c>
      <c r="L65" s="45" t="s">
        <v>530</v>
      </c>
      <c r="M65" s="40">
        <v>10.0</v>
      </c>
      <c r="N65" s="40" t="s">
        <v>42</v>
      </c>
      <c r="O65" s="40">
        <v>1200.0</v>
      </c>
      <c r="P65" s="40" t="s">
        <v>42</v>
      </c>
      <c r="Q65" s="40">
        <v>1200.0</v>
      </c>
      <c r="R65" s="40" t="s">
        <v>42</v>
      </c>
      <c r="S65" s="40">
        <v>1.44</v>
      </c>
      <c r="T65" s="45" t="s">
        <v>46</v>
      </c>
      <c r="U65" s="41">
        <v>23.0</v>
      </c>
      <c r="V65" s="45" t="s">
        <v>61</v>
      </c>
      <c r="W65" s="47">
        <f t="shared" si="1"/>
        <v>33.12</v>
      </c>
      <c r="Y65" s="43" t="s">
        <v>724</v>
      </c>
      <c r="AD65" s="32" t="s">
        <v>725</v>
      </c>
    </row>
    <row r="66" ht="15.75" customHeight="1">
      <c r="A66" s="40">
        <v>24803.0</v>
      </c>
      <c r="B66" s="5" t="s">
        <v>33</v>
      </c>
      <c r="C66" s="5" t="s">
        <v>34</v>
      </c>
      <c r="D66" s="33" t="s">
        <v>522</v>
      </c>
      <c r="E66" s="46" t="s">
        <v>630</v>
      </c>
      <c r="F66" s="45" t="s">
        <v>524</v>
      </c>
      <c r="G66" s="40" t="s">
        <v>525</v>
      </c>
      <c r="H66" s="40" t="s">
        <v>726</v>
      </c>
      <c r="I66" s="40" t="s">
        <v>527</v>
      </c>
      <c r="J66" s="40" t="s">
        <v>625</v>
      </c>
      <c r="K66" s="46" t="s">
        <v>649</v>
      </c>
      <c r="L66" s="45" t="s">
        <v>530</v>
      </c>
      <c r="M66" s="40">
        <v>10.0</v>
      </c>
      <c r="N66" s="40" t="s">
        <v>42</v>
      </c>
      <c r="O66" s="40">
        <v>1200.0</v>
      </c>
      <c r="P66" s="40" t="s">
        <v>42</v>
      </c>
      <c r="Q66" s="40">
        <v>1200.0</v>
      </c>
      <c r="R66" s="40" t="s">
        <v>42</v>
      </c>
      <c r="S66" s="40">
        <v>1.44</v>
      </c>
      <c r="T66" s="45" t="s">
        <v>46</v>
      </c>
      <c r="U66" s="41">
        <v>23.0</v>
      </c>
      <c r="V66" s="45" t="s">
        <v>61</v>
      </c>
      <c r="W66" s="47">
        <f t="shared" si="1"/>
        <v>33.12</v>
      </c>
      <c r="Y66" s="43" t="s">
        <v>727</v>
      </c>
      <c r="AD66" s="32" t="s">
        <v>728</v>
      </c>
    </row>
    <row r="67" ht="15.75" customHeight="1">
      <c r="A67" s="40">
        <v>24806.0</v>
      </c>
      <c r="B67" s="5" t="s">
        <v>33</v>
      </c>
      <c r="C67" s="5" t="s">
        <v>34</v>
      </c>
      <c r="D67" s="33" t="s">
        <v>522</v>
      </c>
      <c r="E67" s="40" t="s">
        <v>623</v>
      </c>
      <c r="F67" s="45" t="s">
        <v>524</v>
      </c>
      <c r="G67" s="40" t="s">
        <v>525</v>
      </c>
      <c r="H67" s="40" t="s">
        <v>729</v>
      </c>
      <c r="I67" s="40" t="s">
        <v>527</v>
      </c>
      <c r="J67" s="40" t="s">
        <v>625</v>
      </c>
      <c r="K67" s="46" t="s">
        <v>592</v>
      </c>
      <c r="L67" s="45" t="s">
        <v>530</v>
      </c>
      <c r="M67" s="40">
        <v>10.0</v>
      </c>
      <c r="N67" s="40" t="s">
        <v>42</v>
      </c>
      <c r="O67" s="40">
        <v>1200.0</v>
      </c>
      <c r="P67" s="40" t="s">
        <v>42</v>
      </c>
      <c r="Q67" s="40">
        <v>1200.0</v>
      </c>
      <c r="R67" s="40" t="s">
        <v>42</v>
      </c>
      <c r="S67" s="40">
        <v>1.44</v>
      </c>
      <c r="T67" s="45" t="s">
        <v>46</v>
      </c>
      <c r="U67" s="41">
        <v>23.0</v>
      </c>
      <c r="V67" s="45" t="s">
        <v>61</v>
      </c>
      <c r="W67" s="47">
        <f t="shared" si="1"/>
        <v>33.12</v>
      </c>
      <c r="Y67" s="43" t="s">
        <v>730</v>
      </c>
      <c r="AD67" s="43" t="str">
        <f>IFERROR(__xludf.DUMMYFUNCTION("AI(""hacer unresumen en 3 lineas de este piso, "")"),"Inspirado en la arquitectura brutalista, el porcelanato Brasilia imita el hormigón visto con porosidades realistas en un tono gris neutro y moderno. Su acabado satinado mate de tacto sedoso es ideal para decoraciones industriales, ofreciendo una superfici"&amp;"e que disimula manchas y no genera reflejos molestos. Se presenta en placas de gran formato rectificadas que permiten una colocación con juntas mínimas, logrando espacios visualmente continuos y contemporáneos.")</f>
        <v>Inspirado en la arquitectura brutalista, el porcelanato Brasilia imita el hormigón visto con porosidades realistas en un tono gris neutro y moderno. Su acabado satinado mate de tacto sedoso es ideal para decoraciones industriales, ofreciendo una superficie que disimula manchas y no genera reflejos molestos. Se presenta en placas de gran formato rectificadas que permiten una colocación con juntas mínimas, logrando espacios visualmente continuos y contemporáneos.</v>
      </c>
    </row>
    <row r="68" ht="15.75" customHeight="1">
      <c r="A68" s="40">
        <v>19432.0</v>
      </c>
      <c r="B68" s="5" t="s">
        <v>33</v>
      </c>
      <c r="C68" s="5" t="s">
        <v>731</v>
      </c>
      <c r="D68" s="40" t="s">
        <v>732</v>
      </c>
      <c r="E68" s="40" t="s">
        <v>527</v>
      </c>
      <c r="F68" s="40" t="s">
        <v>527</v>
      </c>
      <c r="G68" s="40" t="s">
        <v>733</v>
      </c>
      <c r="H68" s="40" t="s">
        <v>734</v>
      </c>
      <c r="I68" s="40" t="s">
        <v>735</v>
      </c>
      <c r="J68" s="40" t="s">
        <v>736</v>
      </c>
      <c r="K68" s="40" t="s">
        <v>527</v>
      </c>
      <c r="L68" s="40" t="s">
        <v>527</v>
      </c>
      <c r="M68" s="40" t="s">
        <v>527</v>
      </c>
      <c r="N68" s="40" t="s">
        <v>527</v>
      </c>
      <c r="O68" s="40" t="s">
        <v>527</v>
      </c>
      <c r="P68" s="40" t="s">
        <v>527</v>
      </c>
      <c r="Q68" s="40" t="s">
        <v>527</v>
      </c>
      <c r="R68" s="40" t="s">
        <v>527</v>
      </c>
      <c r="S68" s="40">
        <v>25.0</v>
      </c>
      <c r="T68" s="40" t="s">
        <v>737</v>
      </c>
      <c r="U68" s="51">
        <v>21780.0</v>
      </c>
      <c r="V68" s="40" t="s">
        <v>738</v>
      </c>
      <c r="W68" s="40" t="s">
        <v>527</v>
      </c>
      <c r="Y68" s="43" t="s">
        <v>739</v>
      </c>
      <c r="AD68" s="43" t="str">
        <f>IFERROR(__xludf.DUMMYFUNCTION("AI(""Una breve descripcion de este adhesivo para porcelanatos"")"),"La mezcla adhesiva Weber Forte es un pegamento impermeable de alta adherencia y ligantes mixtos diseñado para la colocación de porcelanatos, gres y piedras naturales en interiores y áreas semicubiertas. Su fórmula incluye tecnología de fácil nivelación y "&amp;"respaldo de ceresita, lo que garantiza una adherencia perfecta y mayor tiempo de ajuste, siendo ideal para piezas de gran formato y tipo tabla. Se presenta en bolsas de 25 kg con un rendimiento aproximado de 5 m2.")</f>
        <v>La mezcla adhesiva Weber Forte es un pegamento impermeable de alta adherencia y ligantes mixtos diseñado para la colocación de porcelanatos, gres y piedras naturales en interiores y áreas semicubiertas. Su fórmula incluye tecnología de fácil nivelación y respaldo de ceresita, lo que garantiza una adherencia perfecta y mayor tiempo de ajuste, siendo ideal para piezas de gran formato y tipo tabla. Se presenta en bolsas de 25 kg con un rendimiento aproximado de 5 m2.</v>
      </c>
    </row>
    <row r="69" ht="15.75" customHeight="1">
      <c r="A69" s="40">
        <v>24179.0</v>
      </c>
      <c r="B69" s="5" t="s">
        <v>33</v>
      </c>
      <c r="C69" s="5" t="s">
        <v>731</v>
      </c>
      <c r="D69" s="40" t="s">
        <v>732</v>
      </c>
      <c r="E69" s="40" t="s">
        <v>527</v>
      </c>
      <c r="F69" s="40" t="s">
        <v>527</v>
      </c>
      <c r="G69" s="40" t="s">
        <v>733</v>
      </c>
      <c r="H69" s="40" t="s">
        <v>740</v>
      </c>
      <c r="I69" s="40" t="s">
        <v>741</v>
      </c>
      <c r="J69" s="40" t="s">
        <v>736</v>
      </c>
      <c r="K69" s="40" t="s">
        <v>527</v>
      </c>
      <c r="L69" s="40" t="s">
        <v>527</v>
      </c>
      <c r="M69" s="40" t="s">
        <v>527</v>
      </c>
      <c r="N69" s="40" t="s">
        <v>527</v>
      </c>
      <c r="O69" s="40" t="s">
        <v>527</v>
      </c>
      <c r="P69" s="40" t="s">
        <v>527</v>
      </c>
      <c r="Q69" s="40" t="s">
        <v>527</v>
      </c>
      <c r="R69" s="40" t="s">
        <v>527</v>
      </c>
      <c r="S69" s="40">
        <v>25.0</v>
      </c>
      <c r="T69" s="40" t="s">
        <v>737</v>
      </c>
      <c r="U69" s="51">
        <v>16212.0</v>
      </c>
      <c r="V69" s="40" t="s">
        <v>738</v>
      </c>
      <c r="W69" s="40" t="s">
        <v>527</v>
      </c>
      <c r="Y69" s="43" t="s">
        <v>742</v>
      </c>
      <c r="AD69" s="43" t="str">
        <f>IFERROR(__xludf.DUMMYFUNCTION("AI(""Hacer una breve descripcion de este adhesivo para Pocelanatos"")"),"El Pegamento Weber Pro es una mezcla adhesiva impermeable de ligantes mixtos diseñada para la colocación de porcelanatos, cerámicas gres, mármol y piedras naturales en interiores y áreas semicubiertas. Su fórmula con respaldo de ceresita ofrece gran adher"&amp;"encia y resistencia, siendo ideal para baños y cocinas en piezas de hasta 60 cm x 60 cm. Se presenta en bolsas de 25 kg con un rendimiento aproximado de 5 m2 y un tiempo de corrección de 30 minutos.")</f>
        <v>El Pegamento Weber Pro es una mezcla adhesiva impermeable de ligantes mixtos diseñada para la colocación de porcelanatos, cerámicas gres, mármol y piedras naturales en interiores y áreas semicubiertas. Su fórmula con respaldo de ceresita ofrece gran adherencia y resistencia, siendo ideal para baños y cocinas en piezas de hasta 60 cm x 60 cm. Se presenta en bolsas de 25 kg con un rendimiento aproximado de 5 m2 y un tiempo de corrección de 30 minutos.</v>
      </c>
    </row>
    <row r="70" ht="15.75" customHeight="1">
      <c r="A70" s="40">
        <v>19434.0</v>
      </c>
      <c r="B70" s="5" t="s">
        <v>33</v>
      </c>
      <c r="C70" s="5" t="s">
        <v>731</v>
      </c>
      <c r="D70" s="40" t="s">
        <v>732</v>
      </c>
      <c r="E70" s="40" t="s">
        <v>527</v>
      </c>
      <c r="F70" s="40" t="s">
        <v>527</v>
      </c>
      <c r="G70" s="40" t="s">
        <v>733</v>
      </c>
      <c r="H70" s="40" t="s">
        <v>743</v>
      </c>
      <c r="I70" s="40" t="s">
        <v>744</v>
      </c>
      <c r="J70" s="40" t="s">
        <v>736</v>
      </c>
      <c r="K70" s="40" t="s">
        <v>527</v>
      </c>
      <c r="L70" s="40" t="s">
        <v>527</v>
      </c>
      <c r="M70" s="40" t="s">
        <v>527</v>
      </c>
      <c r="N70" s="40" t="s">
        <v>527</v>
      </c>
      <c r="O70" s="40" t="s">
        <v>527</v>
      </c>
      <c r="P70" s="40" t="s">
        <v>527</v>
      </c>
      <c r="Q70" s="40" t="s">
        <v>527</v>
      </c>
      <c r="R70" s="40" t="s">
        <v>527</v>
      </c>
      <c r="S70" s="40">
        <v>25.0</v>
      </c>
      <c r="T70" s="40" t="s">
        <v>737</v>
      </c>
      <c r="U70" s="51">
        <v>27585.0</v>
      </c>
      <c r="V70" s="40" t="s">
        <v>738</v>
      </c>
      <c r="W70" s="40" t="s">
        <v>527</v>
      </c>
      <c r="Y70" s="43" t="s">
        <v>745</v>
      </c>
      <c r="AD70" s="43" t="s">
        <v>746</v>
      </c>
    </row>
    <row r="71" ht="15.75" customHeight="1">
      <c r="A71" s="40">
        <v>19435.0</v>
      </c>
      <c r="B71" s="5" t="s">
        <v>33</v>
      </c>
      <c r="C71" s="5" t="s">
        <v>731</v>
      </c>
      <c r="D71" s="40" t="s">
        <v>732</v>
      </c>
      <c r="E71" s="40" t="s">
        <v>527</v>
      </c>
      <c r="F71" s="40" t="s">
        <v>527</v>
      </c>
      <c r="G71" s="40" t="s">
        <v>733</v>
      </c>
      <c r="H71" s="40" t="s">
        <v>747</v>
      </c>
      <c r="I71" s="40" t="s">
        <v>748</v>
      </c>
      <c r="J71" s="40" t="s">
        <v>736</v>
      </c>
      <c r="K71" s="40" t="s">
        <v>527</v>
      </c>
      <c r="L71" s="40" t="s">
        <v>527</v>
      </c>
      <c r="M71" s="40" t="s">
        <v>527</v>
      </c>
      <c r="N71" s="40" t="s">
        <v>527</v>
      </c>
      <c r="O71" s="40" t="s">
        <v>527</v>
      </c>
      <c r="P71" s="40" t="s">
        <v>527</v>
      </c>
      <c r="Q71" s="40" t="s">
        <v>527</v>
      </c>
      <c r="R71" s="40" t="s">
        <v>527</v>
      </c>
      <c r="S71" s="40">
        <v>25.0</v>
      </c>
      <c r="T71" s="40" t="s">
        <v>737</v>
      </c>
      <c r="U71" s="51">
        <v>24694.0</v>
      </c>
      <c r="V71" s="40" t="s">
        <v>738</v>
      </c>
      <c r="W71" s="40" t="s">
        <v>527</v>
      </c>
      <c r="Y71" s="43" t="s">
        <v>749</v>
      </c>
      <c r="AD71" s="43" t="str">
        <f>IFERROR(__xludf.DUMMYFUNCTION("ai(""Hacer una breve descripcion de este adhesivo para Pocelanatos"")"),"El Pegamento Weber Piso Sobre Piso 12h es una mezcla adhesiva de alta adherencia diseñada para renovar superficies sin necesidad de demoler el revestimiento anterior. Es ideal para la colocación de cerámicas y porcelanatos de baja, media y alta absorción "&amp;"sobre pisos existentes, permitiendo la puesta en servicio y el tránsito liviano en tan solo 12 horas. Su fórmula impermeable y de fácil aplicación garantiza una unión segura y rápida, siendo apta para interiores y áreas de renovación rápida. Se presenta e"&amp;"n bolsas de 25 kg con un rendimiento aproximado de 5 m2 utilizando la técnica de doble encolado.")</f>
        <v>El Pegamento Weber Piso Sobre Piso 12h es una mezcla adhesiva de alta adherencia diseñada para renovar superficies sin necesidad de demoler el revestimiento anterior. Es ideal para la colocación de cerámicas y porcelanatos de baja, media y alta absorción sobre pisos existentes, permitiendo la puesta en servicio y el tránsito liviano en tan solo 12 horas. Su fórmula impermeable y de fácil aplicación garantiza una unión segura y rápida, siendo apta para interiores y áreas de renovación rápida. Se presenta en bolsas de 25 kg con un rendimiento aproximado de 5 m2 utilizando la técnica de doble encolado.</v>
      </c>
    </row>
    <row r="72" ht="15.75" customHeight="1">
      <c r="A72" s="40">
        <v>19458.0</v>
      </c>
      <c r="B72" s="5" t="s">
        <v>33</v>
      </c>
      <c r="C72" s="5" t="s">
        <v>731</v>
      </c>
      <c r="D72" s="40" t="s">
        <v>732</v>
      </c>
      <c r="E72" s="40" t="s">
        <v>527</v>
      </c>
      <c r="F72" s="40" t="s">
        <v>527</v>
      </c>
      <c r="G72" s="40" t="s">
        <v>733</v>
      </c>
      <c r="H72" s="40" t="s">
        <v>750</v>
      </c>
      <c r="I72" s="40" t="s">
        <v>527</v>
      </c>
      <c r="J72" s="40" t="s">
        <v>736</v>
      </c>
      <c r="K72" s="40" t="s">
        <v>527</v>
      </c>
      <c r="L72" s="40" t="s">
        <v>527</v>
      </c>
      <c r="M72" s="40" t="s">
        <v>527</v>
      </c>
      <c r="N72" s="40" t="s">
        <v>527</v>
      </c>
      <c r="O72" s="40" t="s">
        <v>527</v>
      </c>
      <c r="P72" s="40" t="s">
        <v>527</v>
      </c>
      <c r="Q72" s="40" t="s">
        <v>527</v>
      </c>
      <c r="R72" s="40" t="s">
        <v>527</v>
      </c>
      <c r="S72" s="40">
        <v>25.0</v>
      </c>
      <c r="T72" s="40" t="s">
        <v>737</v>
      </c>
      <c r="U72" s="51">
        <v>35595.0</v>
      </c>
      <c r="V72" s="40" t="s">
        <v>738</v>
      </c>
      <c r="W72" s="40" t="s">
        <v>527</v>
      </c>
      <c r="Y72" s="43" t="s">
        <v>751</v>
      </c>
      <c r="AD72" s="43" t="str">
        <f>IFERROR(__xludf.DUMMYFUNCTION("ai(""Hacer una breve descripcion de este adhesivo para Pocelanatos"")"),"El Pegamento Weber Porcelanato SuperFlex es una mezcla adhesiva flexible de alta performance diseñada para la colocación de porcelanatos, cerámicas y piedras naturales en superficies críticas. Su fórmula impermeable y de alta adherencia es ideal para piez"&amp;"as de gran formato (hasta 120x120 cm) en fachadas, terrazas y suelos con calefacción radiante, ya que soporta cambios térmicos y vibraciones. Se presenta en bolsas de 25 kg con un rendimiento aproximado de 5 a 8 m2.")</f>
        <v>El Pegamento Weber Porcelanato SuperFlex es una mezcla adhesiva flexible de alta performance diseñada para la colocación de porcelanatos, cerámicas y piedras naturales en superficies críticas. Su fórmula impermeable y de alta adherencia es ideal para piezas de gran formato (hasta 120x120 cm) en fachadas, terrazas y suelos con calefacción radiante, ya que soporta cambios térmicos y vibraciones. Se presenta en bolsas de 25 kg con un rendimiento aproximado de 5 a 8 m2.</v>
      </c>
    </row>
    <row r="73" ht="15.75" customHeight="1">
      <c r="A73" s="40">
        <v>19453.0</v>
      </c>
      <c r="B73" s="5" t="s">
        <v>33</v>
      </c>
      <c r="C73" s="5" t="s">
        <v>731</v>
      </c>
      <c r="D73" s="40" t="s">
        <v>752</v>
      </c>
      <c r="E73" s="40" t="s">
        <v>527</v>
      </c>
      <c r="F73" s="40" t="s">
        <v>527</v>
      </c>
      <c r="G73" s="40" t="s">
        <v>733</v>
      </c>
      <c r="H73" s="40" t="s">
        <v>753</v>
      </c>
      <c r="I73" s="33"/>
      <c r="J73" s="40" t="s">
        <v>736</v>
      </c>
      <c r="K73" s="40" t="s">
        <v>527</v>
      </c>
      <c r="L73" s="40" t="s">
        <v>527</v>
      </c>
      <c r="M73" s="40" t="s">
        <v>527</v>
      </c>
      <c r="N73" s="40" t="s">
        <v>527</v>
      </c>
      <c r="O73" s="40" t="s">
        <v>527</v>
      </c>
      <c r="P73" s="40" t="s">
        <v>527</v>
      </c>
      <c r="Q73" s="40" t="s">
        <v>527</v>
      </c>
      <c r="R73" s="40" t="s">
        <v>527</v>
      </c>
      <c r="S73" s="40" t="s">
        <v>754</v>
      </c>
      <c r="T73" s="40" t="s">
        <v>737</v>
      </c>
      <c r="U73" s="34"/>
      <c r="V73" s="40" t="s">
        <v>738</v>
      </c>
      <c r="W73" s="33"/>
      <c r="Y73" s="43" t="s">
        <v>755</v>
      </c>
      <c r="AD73" s="43" t="str">
        <f>IFERROR(__xludf.DUMMYFUNCTION("ai(""Hacer una breve descripcion de esta pastina para porcelanatos"")"),"La Pastina Weber Prestige en color Antílope es un mortero cementicio de alta performance diseñado para el tomado de juntas de 2 a 15 mm en porcelanatos y piezas de baja absorción. Su fórmula impermeable, antihongos y antialgas ofrece gran flexibilidad y r"&amp;"esistencia, siendo ideal para superficies exigentes como piscinas, suelos con calefacción radiante y áreas de alto tránsito tanto en interiores como en exteriores.")</f>
        <v>La Pastina Weber Prestige en color Antílope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v>
      </c>
    </row>
    <row r="74" ht="15.75" customHeight="1">
      <c r="A74" s="40">
        <v>19450.0</v>
      </c>
      <c r="B74" s="5" t="s">
        <v>33</v>
      </c>
      <c r="C74" s="5" t="s">
        <v>731</v>
      </c>
      <c r="D74" s="40" t="s">
        <v>752</v>
      </c>
      <c r="E74" s="40" t="s">
        <v>527</v>
      </c>
      <c r="F74" s="40" t="s">
        <v>527</v>
      </c>
      <c r="G74" s="40" t="s">
        <v>733</v>
      </c>
      <c r="H74" s="40" t="s">
        <v>756</v>
      </c>
      <c r="I74" s="33"/>
      <c r="J74" s="40" t="s">
        <v>736</v>
      </c>
      <c r="K74" s="40" t="s">
        <v>527</v>
      </c>
      <c r="L74" s="40" t="s">
        <v>527</v>
      </c>
      <c r="M74" s="40" t="s">
        <v>527</v>
      </c>
      <c r="N74" s="40" t="s">
        <v>527</v>
      </c>
      <c r="O74" s="40" t="s">
        <v>527</v>
      </c>
      <c r="P74" s="40" t="s">
        <v>527</v>
      </c>
      <c r="Q74" s="40" t="s">
        <v>527</v>
      </c>
      <c r="R74" s="40" t="s">
        <v>527</v>
      </c>
      <c r="S74" s="40" t="s">
        <v>754</v>
      </c>
      <c r="T74" s="40" t="s">
        <v>737</v>
      </c>
      <c r="U74" s="34"/>
      <c r="V74" s="40" t="s">
        <v>738</v>
      </c>
      <c r="W74" s="33"/>
      <c r="Y74" s="43" t="s">
        <v>755</v>
      </c>
      <c r="AD74" s="43" t="str">
        <f>IFERROR(__xludf.DUMMYFUNCTION("ai(""Hacer una breve descripcion de esta pastina para porcelanatos"")"),"La Pastina Weber Prestige en color Beige es un mortero cementicio de alta performance diseñado para el tomado de juntas de 2 a 15 mm en porcelanatos y piezas de baja absorción. Su fórmula impermeable, antihongos y antialgas ofrece gran flexibilidad y resi"&amp;"stencia, siendo ideal para superficies exigentes como piscinas, suelos con calefacción radiante y áreas de alto tránsito tanto en interiores como en exteriores. Presenta un acabado liso de textura fina y colores estables que aseguran una terminación estét"&amp;"ica y duradera.")</f>
        <v>La Pastina Weber Prestige en color Beige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 Presenta un acabado liso de textura fina y colores estables que aseguran una terminación estética y duradera.</v>
      </c>
    </row>
    <row r="75" ht="15.75" customHeight="1">
      <c r="A75" s="40">
        <v>23864.0</v>
      </c>
      <c r="B75" s="5" t="s">
        <v>33</v>
      </c>
      <c r="C75" s="5" t="s">
        <v>731</v>
      </c>
      <c r="D75" s="40" t="s">
        <v>752</v>
      </c>
      <c r="E75" s="40" t="s">
        <v>527</v>
      </c>
      <c r="F75" s="40" t="s">
        <v>527</v>
      </c>
      <c r="G75" s="40" t="s">
        <v>733</v>
      </c>
      <c r="H75" s="40" t="s">
        <v>757</v>
      </c>
      <c r="I75" s="33"/>
      <c r="J75" s="40" t="s">
        <v>736</v>
      </c>
      <c r="K75" s="40" t="s">
        <v>527</v>
      </c>
      <c r="L75" s="40" t="s">
        <v>527</v>
      </c>
      <c r="M75" s="40" t="s">
        <v>527</v>
      </c>
      <c r="N75" s="40" t="s">
        <v>527</v>
      </c>
      <c r="O75" s="40" t="s">
        <v>527</v>
      </c>
      <c r="P75" s="40" t="s">
        <v>527</v>
      </c>
      <c r="Q75" s="40" t="s">
        <v>527</v>
      </c>
      <c r="R75" s="40" t="s">
        <v>527</v>
      </c>
      <c r="S75" s="40" t="s">
        <v>754</v>
      </c>
      <c r="T75" s="40" t="s">
        <v>737</v>
      </c>
      <c r="U75" s="34"/>
      <c r="V75" s="40" t="s">
        <v>738</v>
      </c>
      <c r="W75" s="33"/>
      <c r="Y75" s="43" t="s">
        <v>755</v>
      </c>
      <c r="AD75" s="43" t="str">
        <f>IFERROR(__xludf.DUMMYFUNCTION("ai(""Hacer una breve descripcion de esta pastina para porcelanatos"")"),"La Pastina Weber Prestige en color Ceniza es un mortero cementicio de alta performance diseñado para el tomado de juntas de 2 a 15 mm en porcelanatos y piezas de baja absorción. Su fórmula impermeable, antihongos y antialgas ofrece gran flexibilidad y res"&amp;"istencia, siendo ideal para superficies exigentes como piscinas, suelos con calefacción radiante y áreas de alto tránsito tanto en interiores como en exteriores. Se presenta en bolsas de 2 y 5 kg.")</f>
        <v>La Pastina Weber Prestige en color Ceniza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 Se presenta en bolsas de 2 y 5 kg.</v>
      </c>
    </row>
    <row r="76" ht="15.75" customHeight="1">
      <c r="A76" s="40">
        <v>19455.0</v>
      </c>
      <c r="B76" s="5" t="s">
        <v>33</v>
      </c>
      <c r="C76" s="5" t="s">
        <v>731</v>
      </c>
      <c r="D76" s="40" t="s">
        <v>752</v>
      </c>
      <c r="E76" s="40" t="s">
        <v>527</v>
      </c>
      <c r="F76" s="40" t="s">
        <v>527</v>
      </c>
      <c r="G76" s="40" t="s">
        <v>733</v>
      </c>
      <c r="H76" s="40" t="s">
        <v>758</v>
      </c>
      <c r="I76" s="33"/>
      <c r="J76" s="40" t="s">
        <v>736</v>
      </c>
      <c r="K76" s="40" t="s">
        <v>527</v>
      </c>
      <c r="L76" s="40" t="s">
        <v>527</v>
      </c>
      <c r="M76" s="40" t="s">
        <v>527</v>
      </c>
      <c r="N76" s="40" t="s">
        <v>527</v>
      </c>
      <c r="O76" s="40" t="s">
        <v>527</v>
      </c>
      <c r="P76" s="40" t="s">
        <v>527</v>
      </c>
      <c r="Q76" s="40" t="s">
        <v>527</v>
      </c>
      <c r="R76" s="40" t="s">
        <v>527</v>
      </c>
      <c r="S76" s="40" t="s">
        <v>754</v>
      </c>
      <c r="T76" s="40" t="s">
        <v>737</v>
      </c>
      <c r="U76" s="34"/>
      <c r="V76" s="40" t="s">
        <v>738</v>
      </c>
      <c r="W76" s="33"/>
      <c r="Y76" s="43" t="s">
        <v>755</v>
      </c>
      <c r="AD76" s="43" t="str">
        <f>IFERROR(__xludf.DUMMYFUNCTION("ai(""Hacer una breve descripcion de esta pastina para porcelanatos"")"),"La Pastina Weber en color Champagne es un mortero cementicio de alta performance diseñado para el tomado de juntas de 2 a 15 mm en porcelanatos y piezas de baja absorción. Su fórmula impermeable, antihongos y antialgas ofrece gran flexibilidad y resistenc"&amp;"ia, siendo ideal para superficies exigentes como piscinas, suelos con calefacción radiante y áreas de alto tránsito tanto en interiores como en exteriores. Presenta un acabado liso de tono beige dorado elegante que asegura una terminación estética y durad"&amp;"era.")</f>
        <v>La Pastina Weber en color Champagne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 Presenta un acabado liso de tono beige dorado elegante que asegura una terminación estética y duradera.</v>
      </c>
    </row>
    <row r="77" ht="15.75" customHeight="1">
      <c r="A77" s="40">
        <v>19452.0</v>
      </c>
      <c r="B77" s="5" t="s">
        <v>33</v>
      </c>
      <c r="C77" s="5" t="s">
        <v>731</v>
      </c>
      <c r="D77" s="40" t="s">
        <v>752</v>
      </c>
      <c r="E77" s="40" t="s">
        <v>527</v>
      </c>
      <c r="F77" s="40" t="s">
        <v>527</v>
      </c>
      <c r="G77" s="40" t="s">
        <v>733</v>
      </c>
      <c r="H77" s="40" t="s">
        <v>759</v>
      </c>
      <c r="I77" s="33"/>
      <c r="J77" s="40" t="s">
        <v>736</v>
      </c>
      <c r="K77" s="40" t="s">
        <v>527</v>
      </c>
      <c r="L77" s="40" t="s">
        <v>527</v>
      </c>
      <c r="M77" s="40" t="s">
        <v>527</v>
      </c>
      <c r="N77" s="40" t="s">
        <v>527</v>
      </c>
      <c r="O77" s="40" t="s">
        <v>527</v>
      </c>
      <c r="P77" s="40" t="s">
        <v>527</v>
      </c>
      <c r="Q77" s="40" t="s">
        <v>527</v>
      </c>
      <c r="R77" s="40" t="s">
        <v>527</v>
      </c>
      <c r="S77" s="40" t="s">
        <v>754</v>
      </c>
      <c r="T77" s="40" t="s">
        <v>737</v>
      </c>
      <c r="U77" s="34"/>
      <c r="V77" s="40" t="s">
        <v>738</v>
      </c>
      <c r="W77" s="33"/>
      <c r="Y77" s="43" t="s">
        <v>755</v>
      </c>
      <c r="AD77" s="43" t="str">
        <f>IFERROR(__xludf.DUMMYFUNCTION("ai(""Hacer una breve descripcion de esta pastina para porcelanatos"")"),"La Pastina Weber Prestige en color Ferrico es un mortero cementicio de alta performance diseñado para el tomado de juntas de 2 a 15 mm en porcelanatos y piezas de baja absorción. Su fórmula impermeable, antihongos y antialgas ofrece gran flexibilidad y re"&amp;"sistencia, siendo ideal para superficies exigentes como piscinas, suelos con calefacción radiante y áreas de alto tránsito tanto en interiores como en exteriores.")</f>
        <v>La Pastina Weber Prestige en color Ferrico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v>
      </c>
    </row>
    <row r="78" ht="15.75" customHeight="1">
      <c r="A78" s="40">
        <v>19456.0</v>
      </c>
      <c r="B78" s="5" t="s">
        <v>33</v>
      </c>
      <c r="C78" s="5" t="s">
        <v>731</v>
      </c>
      <c r="D78" s="40" t="s">
        <v>752</v>
      </c>
      <c r="E78" s="40" t="s">
        <v>527</v>
      </c>
      <c r="F78" s="40" t="s">
        <v>527</v>
      </c>
      <c r="G78" s="40" t="s">
        <v>733</v>
      </c>
      <c r="H78" s="40" t="s">
        <v>760</v>
      </c>
      <c r="I78" s="33"/>
      <c r="J78" s="40" t="s">
        <v>736</v>
      </c>
      <c r="K78" s="40" t="s">
        <v>527</v>
      </c>
      <c r="L78" s="40" t="s">
        <v>527</v>
      </c>
      <c r="M78" s="40" t="s">
        <v>527</v>
      </c>
      <c r="N78" s="40" t="s">
        <v>527</v>
      </c>
      <c r="O78" s="40" t="s">
        <v>527</v>
      </c>
      <c r="P78" s="40" t="s">
        <v>527</v>
      </c>
      <c r="Q78" s="40" t="s">
        <v>527</v>
      </c>
      <c r="R78" s="40" t="s">
        <v>527</v>
      </c>
      <c r="S78" s="40" t="s">
        <v>754</v>
      </c>
      <c r="T78" s="40" t="s">
        <v>737</v>
      </c>
      <c r="U78" s="34"/>
      <c r="V78" s="40" t="s">
        <v>738</v>
      </c>
      <c r="W78" s="33"/>
      <c r="Y78" s="43" t="s">
        <v>755</v>
      </c>
      <c r="AD78" s="43" t="str">
        <f>IFERROR(__xludf.DUMMYFUNCTION("ai(""Hacer una breve descripcion de esta pastina para porcelanatos"")"),"La Pastina Weber Prestige en color Gris Perla es un mortero cementicio de alta performance diseñado para el tomado de juntas de 2 a 15 mm en porcelanatos y piezas de baja absorción. Su fórmula impermeable, antihongos y antialgas ofrece gran flexibilidad y"&amp;" resistencia, siendo ideal para superficies exigentes como piscinas, suelos con calefacción radiante y áreas de alto tránsito tanto en interiores como en exteriores. Presenta un acabado liso de textura fina y un tono gris suave que asegura una terminación"&amp;" estética y duradera.")</f>
        <v>La Pastina Weber Prestige en color Gris Perla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 Presenta un acabado liso de textura fina y un tono gris suave que asegura una terminación estética y duradera.</v>
      </c>
    </row>
    <row r="79" ht="15.75" customHeight="1">
      <c r="A79" s="40">
        <v>19477.0</v>
      </c>
      <c r="B79" s="5" t="s">
        <v>33</v>
      </c>
      <c r="C79" s="5" t="s">
        <v>731</v>
      </c>
      <c r="D79" s="40" t="s">
        <v>752</v>
      </c>
      <c r="E79" s="40" t="s">
        <v>527</v>
      </c>
      <c r="F79" s="40" t="s">
        <v>527</v>
      </c>
      <c r="G79" s="40" t="s">
        <v>733</v>
      </c>
      <c r="H79" s="40" t="s">
        <v>761</v>
      </c>
      <c r="I79" s="33"/>
      <c r="J79" s="40" t="s">
        <v>736</v>
      </c>
      <c r="K79" s="40" t="s">
        <v>527</v>
      </c>
      <c r="L79" s="40" t="s">
        <v>527</v>
      </c>
      <c r="M79" s="40" t="s">
        <v>527</v>
      </c>
      <c r="N79" s="40" t="s">
        <v>527</v>
      </c>
      <c r="O79" s="40" t="s">
        <v>527</v>
      </c>
      <c r="P79" s="40" t="s">
        <v>527</v>
      </c>
      <c r="Q79" s="40" t="s">
        <v>527</v>
      </c>
      <c r="R79" s="40" t="s">
        <v>527</v>
      </c>
      <c r="S79" s="40" t="s">
        <v>754</v>
      </c>
      <c r="T79" s="40" t="s">
        <v>737</v>
      </c>
      <c r="U79" s="34"/>
      <c r="V79" s="40" t="s">
        <v>738</v>
      </c>
      <c r="W79" s="33"/>
      <c r="Y79" s="43" t="s">
        <v>755</v>
      </c>
      <c r="AD79" s="43" t="str">
        <f>IFERROR(__xludf.DUMMYFUNCTION("ai(""Hacer una breve descripcion de esta pastina para porcelanatos"")"),"La Pastina Weber Prestige en color Hueso es un mortero cementicio impermeable de alta performance diseñado para el tomado de juntas de 2 a 15 mm en porcelanatos y piezas de baja absorción. Su fórmula flexible, antihongos y antialgas es ideal para superfic"&amp;"ies exigentes como piscinas, suelos con calefacción radiante y áreas de alto tránsito, ofreciendo una excelente terminación tanto en interiores como en exteriores.")</f>
        <v>La Pastina Weber Prestige en color Hueso es un mortero cementicio impermeable de alta performance diseñado para el tomado de juntas de 2 a 15 mm en porcelanatos y piezas de baja absorción. Su fórmula flexible, antihongos y antialgas es ideal para superficies exigentes como piscinas, suelos con calefacción radiante y áreas de alto tránsito, ofreciendo una excelente terminación tanto en interiores como en exteriores.</v>
      </c>
    </row>
    <row r="80" ht="15.75" customHeight="1">
      <c r="A80" s="40">
        <v>19451.0</v>
      </c>
      <c r="B80" s="5" t="s">
        <v>33</v>
      </c>
      <c r="C80" s="5" t="s">
        <v>731</v>
      </c>
      <c r="D80" s="40" t="s">
        <v>752</v>
      </c>
      <c r="E80" s="40" t="s">
        <v>527</v>
      </c>
      <c r="F80" s="40" t="s">
        <v>527</v>
      </c>
      <c r="G80" s="40" t="s">
        <v>733</v>
      </c>
      <c r="H80" s="40" t="s">
        <v>762</v>
      </c>
      <c r="I80" s="33"/>
      <c r="J80" s="40" t="s">
        <v>736</v>
      </c>
      <c r="K80" s="40" t="s">
        <v>527</v>
      </c>
      <c r="L80" s="40" t="s">
        <v>527</v>
      </c>
      <c r="M80" s="40" t="s">
        <v>527</v>
      </c>
      <c r="N80" s="40" t="s">
        <v>527</v>
      </c>
      <c r="O80" s="40" t="s">
        <v>527</v>
      </c>
      <c r="P80" s="40" t="s">
        <v>527</v>
      </c>
      <c r="Q80" s="40" t="s">
        <v>527</v>
      </c>
      <c r="R80" s="40" t="s">
        <v>527</v>
      </c>
      <c r="S80" s="40" t="s">
        <v>754</v>
      </c>
      <c r="T80" s="40" t="s">
        <v>737</v>
      </c>
      <c r="U80" s="34"/>
      <c r="V80" s="40" t="s">
        <v>738</v>
      </c>
      <c r="W80" s="33"/>
      <c r="Y80" s="43" t="s">
        <v>755</v>
      </c>
      <c r="AD80" s="43" t="str">
        <f>IFERROR(__xludf.DUMMYFUNCTION("ai(""Hacer una breve descripcion de esta pastina para porcelanatos"")"),"La Pastina Weber Prestige en color Madera es un mortero cementicio de alta performance diseñado para el tomado de juntas de 2 a 15 mm en porcelanatos y piezas de baja absorción. Su fórmula es impermeable, con propiedades antihongos y antialgas, ofreciendo"&amp;" gran flexibilidad y resistencia. Es ideal para superficies exigentes como piscinas, suelos con calefacción radiante y áreas de alto tránsito, tanto en interiores como en exteriores. Se comercializa en presentaciones de 2 kg y 5 kg.")</f>
        <v>La Pastina Weber Prestige en color Madera es un mortero cementicio de alta performance diseñado para el tomado de juntas de 2 a 15 mm en porcelanatos y piezas de baja absorción. Su fórmula es impermeable, con propiedades antihongos y antialgas, ofreciendo gran flexibilidad y resistencia. Es ideal para superficies exigentes como piscinas, suelos con calefacción radiante y áreas de alto tránsito, tanto en interiores como en exteriores. Se comercializa en presentaciones de 2 kg y 5 kg.</v>
      </c>
    </row>
    <row r="81" ht="15.75" customHeight="1">
      <c r="A81" s="40">
        <v>19454.0</v>
      </c>
      <c r="B81" s="5" t="s">
        <v>33</v>
      </c>
      <c r="C81" s="5" t="s">
        <v>731</v>
      </c>
      <c r="D81" s="40" t="s">
        <v>752</v>
      </c>
      <c r="E81" s="40" t="s">
        <v>527</v>
      </c>
      <c r="F81" s="40" t="s">
        <v>527</v>
      </c>
      <c r="G81" s="40" t="s">
        <v>733</v>
      </c>
      <c r="H81" s="40" t="s">
        <v>763</v>
      </c>
      <c r="I81" s="33"/>
      <c r="J81" s="40" t="s">
        <v>736</v>
      </c>
      <c r="K81" s="40" t="s">
        <v>527</v>
      </c>
      <c r="L81" s="40" t="s">
        <v>527</v>
      </c>
      <c r="M81" s="40" t="s">
        <v>527</v>
      </c>
      <c r="N81" s="40" t="s">
        <v>527</v>
      </c>
      <c r="O81" s="40" t="s">
        <v>527</v>
      </c>
      <c r="P81" s="40" t="s">
        <v>527</v>
      </c>
      <c r="Q81" s="40" t="s">
        <v>527</v>
      </c>
      <c r="R81" s="40" t="s">
        <v>527</v>
      </c>
      <c r="S81" s="40" t="s">
        <v>754</v>
      </c>
      <c r="T81" s="40" t="s">
        <v>737</v>
      </c>
      <c r="U81" s="34"/>
      <c r="V81" s="40" t="s">
        <v>738</v>
      </c>
      <c r="W81" s="33"/>
      <c r="Y81" s="43" t="s">
        <v>755</v>
      </c>
      <c r="AD81" s="43" t="str">
        <f>IFERROR(__xludf.DUMMYFUNCTION("ai(""Hacer una breve descripcion de esta pastina para porcelanatos"")"),"La Pastina Weber Prestige en color Médano es un mortero cementicio de alta performance diseñado para el tomado de juntas de 2 a 15 mm en porcelanatos y piezas de baja absorción. Su fórmula impermeable, antihongos y antialgas ofrece gran flexibilidad y res"&amp;"istencia, siendo ideal para superficies exigentes como piscinas, suelos con calefacción radiante y áreas de alto tránsito tanto en interiores como en exteriores. Su tono cálido y natural es ideal para complementar diversos estilos de diseño, garantizando "&amp;"un acabado fino y duradero.")</f>
        <v>La Pastina Weber Prestige en color Médano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 Su tono cálido y natural es ideal para complementar diversos estilos de diseño, garantizando un acabado fino y duradero.</v>
      </c>
    </row>
    <row r="82" ht="15.75" customHeight="1">
      <c r="A82" s="40">
        <v>19449.0</v>
      </c>
      <c r="B82" s="5" t="s">
        <v>33</v>
      </c>
      <c r="C82" s="5" t="s">
        <v>731</v>
      </c>
      <c r="D82" s="40" t="s">
        <v>752</v>
      </c>
      <c r="E82" s="40" t="s">
        <v>527</v>
      </c>
      <c r="F82" s="40" t="s">
        <v>527</v>
      </c>
      <c r="G82" s="40" t="s">
        <v>733</v>
      </c>
      <c r="H82" s="40" t="s">
        <v>764</v>
      </c>
      <c r="I82" s="33"/>
      <c r="J82" s="40" t="s">
        <v>736</v>
      </c>
      <c r="K82" s="40" t="s">
        <v>527</v>
      </c>
      <c r="L82" s="40" t="s">
        <v>527</v>
      </c>
      <c r="M82" s="40" t="s">
        <v>527</v>
      </c>
      <c r="N82" s="40" t="s">
        <v>527</v>
      </c>
      <c r="O82" s="40" t="s">
        <v>527</v>
      </c>
      <c r="P82" s="40" t="s">
        <v>527</v>
      </c>
      <c r="Q82" s="40" t="s">
        <v>527</v>
      </c>
      <c r="R82" s="40" t="s">
        <v>527</v>
      </c>
      <c r="S82" s="40" t="s">
        <v>754</v>
      </c>
      <c r="T82" s="40" t="s">
        <v>737</v>
      </c>
      <c r="U82" s="34"/>
      <c r="V82" s="40" t="s">
        <v>738</v>
      </c>
      <c r="W82" s="33"/>
      <c r="Y82" s="43" t="s">
        <v>755</v>
      </c>
      <c r="AD82" s="43" t="str">
        <f>IFERROR(__xludf.DUMMYFUNCTION("ai(""Hacer una breve descripcion de esta pastina para porcelanatos"")"),"La Pastina Weber Prestige en color Nieve es un mortero cementicio de alta performance diseñado para el tomado de juntas de 2 a 15 mm en porcelanatos y piezas de baja absorción. Su fórmula impermeable, antihongos y antialgas ofrece gran flexibilidad y exce"&amp;"lente adherencia, siendo ideal para superficies exigentes como piscinas, suelos con calefacción radiante y áreas de alto tránsito tanto en interiores como en exteriores. Se presenta en bolsas de 2 y 5 kg, destacándose por su acabado profesional que aporta"&amp;" luminosidad y uniformidad a las terminaciones.")</f>
        <v>La Pastina Weber Prestige en color Nieve es un mortero cementicio de alta performance diseñado para el tomado de juntas de 2 a 15 mm en porcelanatos y piezas de baja absorción. Su fórmula impermeable, antihongos y antialgas ofrece gran flexibilidad y excelente adherencia, siendo ideal para superficies exigentes como piscinas, suelos con calefacción radiante y áreas de alto tránsito tanto en interiores como en exteriores. Se presenta en bolsas de 2 y 5 kg, destacándose por su acabado profesional que aporta luminosidad y uniformidad a las terminaciones.</v>
      </c>
    </row>
    <row r="83" ht="15.75" customHeight="1">
      <c r="A83" s="40">
        <v>19437.0</v>
      </c>
      <c r="B83" s="5" t="s">
        <v>33</v>
      </c>
      <c r="C83" s="5" t="s">
        <v>731</v>
      </c>
      <c r="D83" s="40" t="s">
        <v>752</v>
      </c>
      <c r="E83" s="40" t="s">
        <v>527</v>
      </c>
      <c r="F83" s="40" t="s">
        <v>527</v>
      </c>
      <c r="G83" s="40" t="s">
        <v>733</v>
      </c>
      <c r="H83" s="40" t="s">
        <v>765</v>
      </c>
      <c r="I83" s="33"/>
      <c r="J83" s="40" t="s">
        <v>736</v>
      </c>
      <c r="K83" s="40" t="s">
        <v>527</v>
      </c>
      <c r="L83" s="40" t="s">
        <v>527</v>
      </c>
      <c r="M83" s="40" t="s">
        <v>527</v>
      </c>
      <c r="N83" s="40" t="s">
        <v>527</v>
      </c>
      <c r="O83" s="40" t="s">
        <v>527</v>
      </c>
      <c r="P83" s="40" t="s">
        <v>527</v>
      </c>
      <c r="Q83" s="40" t="s">
        <v>527</v>
      </c>
      <c r="R83" s="40" t="s">
        <v>527</v>
      </c>
      <c r="S83" s="40" t="s">
        <v>754</v>
      </c>
      <c r="T83" s="40" t="s">
        <v>737</v>
      </c>
      <c r="U83" s="34"/>
      <c r="V83" s="40" t="s">
        <v>738</v>
      </c>
      <c r="W83" s="33"/>
      <c r="Y83" s="43" t="s">
        <v>755</v>
      </c>
      <c r="AD83" s="43" t="str">
        <f>IFERROR(__xludf.DUMMYFUNCTION("ai(""Hacer una breve descripcion de esta pastina para porcelanatos"")"),"La Pastina Weber Prestige en color Plata es un mortero cementicio de alta performance diseñado para el tomado de juntas de 2 a 15 mm en porcelanatos y piezas de baja absorción. Su fórmula impermeable, antihongos y antialgas ofrece gran flexibilidad y una "&amp;"terminación plateada elegante, siendo ideal para superficies exigentes como piscinas, suelos con calefacción radiante y áreas de alto tránsito tanto en interiores como en exteriores.")</f>
        <v>La Pastina Weber Prestige en color Plata es un mortero cementicio de alta performance diseñado para el tomado de juntas de 2 a 15 mm en porcelanatos y piezas de baja absorción. Su fórmula impermeable, antihongos y antialgas ofrece gran flexibilidad y una terminación plateada elegante, siendo ideal para superficies exigentes como piscinas, suelos con calefacción radiante y áreas de alto tránsito tanto en interiores como en exteriores.</v>
      </c>
    </row>
    <row r="84" ht="15.75" customHeight="1">
      <c r="A84" s="40">
        <v>19438.0</v>
      </c>
      <c r="B84" s="5" t="s">
        <v>33</v>
      </c>
      <c r="C84" s="5" t="s">
        <v>731</v>
      </c>
      <c r="D84" s="40" t="s">
        <v>752</v>
      </c>
      <c r="E84" s="40" t="s">
        <v>527</v>
      </c>
      <c r="F84" s="40" t="s">
        <v>527</v>
      </c>
      <c r="G84" s="40" t="s">
        <v>733</v>
      </c>
      <c r="H84" s="40" t="s">
        <v>766</v>
      </c>
      <c r="I84" s="33"/>
      <c r="J84" s="40" t="s">
        <v>736</v>
      </c>
      <c r="K84" s="40" t="s">
        <v>527</v>
      </c>
      <c r="L84" s="40" t="s">
        <v>527</v>
      </c>
      <c r="M84" s="40" t="s">
        <v>527</v>
      </c>
      <c r="N84" s="40" t="s">
        <v>527</v>
      </c>
      <c r="O84" s="40" t="s">
        <v>527</v>
      </c>
      <c r="P84" s="40" t="s">
        <v>527</v>
      </c>
      <c r="Q84" s="40" t="s">
        <v>527</v>
      </c>
      <c r="R84" s="40" t="s">
        <v>527</v>
      </c>
      <c r="S84" s="40" t="s">
        <v>754</v>
      </c>
      <c r="T84" s="40" t="s">
        <v>737</v>
      </c>
      <c r="U84" s="34"/>
      <c r="V84" s="40" t="s">
        <v>738</v>
      </c>
      <c r="W84" s="33"/>
      <c r="Y84" s="43" t="s">
        <v>755</v>
      </c>
      <c r="AD84" s="43" t="str">
        <f>IFERROR(__xludf.DUMMYFUNCTION("ai(""Hacer una breve descripcion de esta pastina para porcelanatos"")"),"La Pastina Weber Prestige en color Plomo es un mortero cementicio de alta performance diseñado para el tomado de juntas de 2 a 15 mm en porcelanatos y piezas de baja absorción. Su fórmula impermeable, antihongos y antialgas ofrece gran flexibilidad y resi"&amp;"stencia, siendo ideal para superficies exigentes como piscinas, suelos con calefacción radiante y áreas de alto tránsito tanto en interiores como en exteriores. Se presenta en bolsas de 2 y 5 kg.")</f>
        <v>La Pastina Weber Prestige en color Plomo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 Se presenta en bolsas de 2 y 5 kg.</v>
      </c>
    </row>
    <row r="85" ht="15.75" customHeight="1">
      <c r="A85" s="40">
        <v>23094.0</v>
      </c>
      <c r="B85" s="5" t="s">
        <v>33</v>
      </c>
      <c r="C85" s="5" t="s">
        <v>731</v>
      </c>
      <c r="D85" s="40" t="s">
        <v>752</v>
      </c>
      <c r="E85" s="40" t="s">
        <v>527</v>
      </c>
      <c r="F85" s="40" t="s">
        <v>527</v>
      </c>
      <c r="G85" s="40" t="s">
        <v>733</v>
      </c>
      <c r="H85" s="40" t="s">
        <v>767</v>
      </c>
      <c r="I85" s="33"/>
      <c r="J85" s="40" t="s">
        <v>736</v>
      </c>
      <c r="K85" s="40" t="s">
        <v>527</v>
      </c>
      <c r="L85" s="40" t="s">
        <v>527</v>
      </c>
      <c r="M85" s="40" t="s">
        <v>527</v>
      </c>
      <c r="N85" s="40" t="s">
        <v>527</v>
      </c>
      <c r="O85" s="40" t="s">
        <v>527</v>
      </c>
      <c r="P85" s="40" t="s">
        <v>527</v>
      </c>
      <c r="Q85" s="40" t="s">
        <v>527</v>
      </c>
      <c r="R85" s="40" t="s">
        <v>527</v>
      </c>
      <c r="S85" s="40" t="s">
        <v>754</v>
      </c>
      <c r="T85" s="40" t="s">
        <v>737</v>
      </c>
      <c r="U85" s="34"/>
      <c r="V85" s="40" t="s">
        <v>738</v>
      </c>
      <c r="W85" s="33"/>
      <c r="Y85" s="43" t="s">
        <v>755</v>
      </c>
      <c r="AD85" s="43" t="str">
        <f>IFERROR(__xludf.DUMMYFUNCTION("ai(""Hacer una breve descripcion de esta pastina para porcelanatos"")"),"La Pastina Weber Prestige en color Calacata es un mortero cementicio de alta performance diseñado para el tomado de juntas de 2 a 15 mm en porcelanatos y piezas de baja absorción. Su fórmula impermeable, antihongos y antialgas ofrece gran flexibilidad y r"&amp;"esistencia, siendo ideal para superficies exigentes como piscinas, suelos con calefacción radiante y áreas de alto tránsito tanto en interiores como en exteriores.")</f>
        <v>La Pastina Weber Prestige en color Calacata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v>
      </c>
    </row>
    <row r="86" ht="15.75" customHeight="1">
      <c r="A86" s="40">
        <v>23092.0</v>
      </c>
      <c r="B86" s="5" t="s">
        <v>33</v>
      </c>
      <c r="C86" s="5" t="s">
        <v>731</v>
      </c>
      <c r="D86" s="40" t="s">
        <v>752</v>
      </c>
      <c r="E86" s="40" t="s">
        <v>527</v>
      </c>
      <c r="F86" s="40" t="s">
        <v>527</v>
      </c>
      <c r="G86" s="40" t="s">
        <v>733</v>
      </c>
      <c r="H86" s="40" t="s">
        <v>768</v>
      </c>
      <c r="I86" s="33"/>
      <c r="J86" s="40" t="s">
        <v>736</v>
      </c>
      <c r="K86" s="40" t="s">
        <v>527</v>
      </c>
      <c r="L86" s="40" t="s">
        <v>527</v>
      </c>
      <c r="M86" s="40" t="s">
        <v>527</v>
      </c>
      <c r="N86" s="40" t="s">
        <v>527</v>
      </c>
      <c r="O86" s="40" t="s">
        <v>527</v>
      </c>
      <c r="P86" s="40" t="s">
        <v>527</v>
      </c>
      <c r="Q86" s="40" t="s">
        <v>527</v>
      </c>
      <c r="R86" s="40" t="s">
        <v>527</v>
      </c>
      <c r="S86" s="40" t="s">
        <v>754</v>
      </c>
      <c r="T86" s="40" t="s">
        <v>737</v>
      </c>
      <c r="U86" s="34"/>
      <c r="V86" s="40" t="s">
        <v>738</v>
      </c>
      <c r="W86" s="33"/>
      <c r="Y86" s="43" t="s">
        <v>755</v>
      </c>
      <c r="AD86" s="43" t="str">
        <f>IFERROR(__xludf.DUMMYFUNCTION("ai(""Hacer una breve descripcion de esta pastina para porcelanatos"")"),"La Pastina Weber Prestige en color Cedro es un mortero cementicio de alta performance diseñado para el tomado de juntas de 2 a 15 mm en porcelanatos y piezas de baja absorción. Su fórmula impermeable, antihongos y antialgas ofrece gran flexibilidad y resi"&amp;"stencia, siendo ideal para superficies exigentes como piscinas, suelos con calefacción radiante y áreas de alto tránsito tanto en interiores como en exteriores. Se presenta en bolsas de 2 o 5 kg con una excelente adherencia y doble consistencia para uso e"&amp;"n pisos y paredes.")</f>
        <v>La Pastina Weber Prestige en color Cedro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 Se presenta en bolsas de 2 o 5 kg con una excelente adherencia y doble consistencia para uso en pisos y paredes.</v>
      </c>
    </row>
    <row r="87" ht="15.75" customHeight="1">
      <c r="A87" s="40">
        <v>23093.0</v>
      </c>
      <c r="B87" s="5" t="s">
        <v>33</v>
      </c>
      <c r="C87" s="5" t="s">
        <v>731</v>
      </c>
      <c r="D87" s="40" t="s">
        <v>752</v>
      </c>
      <c r="E87" s="40" t="s">
        <v>527</v>
      </c>
      <c r="F87" s="40" t="s">
        <v>527</v>
      </c>
      <c r="G87" s="40" t="s">
        <v>733</v>
      </c>
      <c r="H87" s="40" t="s">
        <v>769</v>
      </c>
      <c r="I87" s="33"/>
      <c r="J87" s="40" t="s">
        <v>736</v>
      </c>
      <c r="K87" s="40" t="s">
        <v>527</v>
      </c>
      <c r="L87" s="40" t="s">
        <v>527</v>
      </c>
      <c r="M87" s="40" t="s">
        <v>527</v>
      </c>
      <c r="N87" s="40" t="s">
        <v>527</v>
      </c>
      <c r="O87" s="40" t="s">
        <v>527</v>
      </c>
      <c r="P87" s="40" t="s">
        <v>527</v>
      </c>
      <c r="Q87" s="40" t="s">
        <v>527</v>
      </c>
      <c r="R87" s="40" t="s">
        <v>527</v>
      </c>
      <c r="S87" s="40" t="s">
        <v>754</v>
      </c>
      <c r="T87" s="40" t="s">
        <v>737</v>
      </c>
      <c r="U87" s="34"/>
      <c r="V87" s="40" t="s">
        <v>738</v>
      </c>
      <c r="W87" s="33"/>
      <c r="Y87" s="43" t="s">
        <v>755</v>
      </c>
      <c r="AD87" s="32" t="s">
        <v>770</v>
      </c>
    </row>
    <row r="88" ht="15.75" customHeight="1">
      <c r="A88" s="33"/>
      <c r="B88" s="5" t="s">
        <v>33</v>
      </c>
      <c r="C88" s="5" t="s">
        <v>731</v>
      </c>
      <c r="D88" s="40" t="s">
        <v>771</v>
      </c>
      <c r="E88" s="40" t="s">
        <v>527</v>
      </c>
      <c r="F88" s="40" t="s">
        <v>527</v>
      </c>
      <c r="G88" s="40" t="s">
        <v>733</v>
      </c>
      <c r="H88" s="40" t="s">
        <v>772</v>
      </c>
      <c r="I88" s="40" t="s">
        <v>773</v>
      </c>
      <c r="J88" s="40" t="s">
        <v>736</v>
      </c>
      <c r="K88" s="40" t="s">
        <v>527</v>
      </c>
      <c r="L88" s="40" t="s">
        <v>527</v>
      </c>
      <c r="M88" s="40" t="s">
        <v>527</v>
      </c>
      <c r="N88" s="40" t="s">
        <v>527</v>
      </c>
      <c r="O88" s="40" t="s">
        <v>527</v>
      </c>
      <c r="P88" s="40" t="s">
        <v>527</v>
      </c>
      <c r="Q88" s="40" t="s">
        <v>527</v>
      </c>
      <c r="R88" s="40" t="s">
        <v>527</v>
      </c>
      <c r="S88" s="40">
        <v>5.0</v>
      </c>
      <c r="T88" s="40" t="s">
        <v>774</v>
      </c>
      <c r="U88" s="41">
        <v>19740.0</v>
      </c>
      <c r="V88" s="40" t="s">
        <v>738</v>
      </c>
      <c r="W88" s="40" t="s">
        <v>527</v>
      </c>
      <c r="AD88" s="43" t="str">
        <f>IFERROR(__xludf.DUMMYFUNCTION("ai(""Hacer una breve descripcion de este limpiador para porcelanatos"")"),"El Limpiador Weber es una solución de base ácida diseñada para la limpieza profunda de restos de obra como mezcla adhesiva, pastina, cal y yeso, además de eliminar manchas de sarro, moho, hongos y eflorescencias. Es apto para su uso en interiores y exteri"&amp;"ores sobre porcelanatos, cerámicos y juntas, ofreciendo una efectiva acción desincrustante que remueve suciedad difícil sin dañar las piezas. Se presenta en bidones de 5 litros, rinde entre 6 y 12 m2 por litro según la dilución, y requiere el uso de eleme"&amp;"ntos de protección personal para su aplicación.")</f>
        <v>El Limpiador Weber es una solución de base ácida diseñada para la limpieza profunda de restos de obra como mezcla adhesiva, pastina, cal y yeso, además de eliminar manchas de sarro, moho, hongos y eflorescencias. Es apto para su uso en interiores y exteriores sobre porcelanatos, cerámicos y juntas, ofreciendo una efectiva acción desincrustante que remueve suciedad difícil sin dañar las piezas. Se presenta en bidones de 5 litros, rinde entre 6 y 12 m2 por litro según la dilución, y requiere el uso de elementos de protección personal para su aplicación.</v>
      </c>
    </row>
    <row r="89" ht="15.75" customHeight="1">
      <c r="A89" s="33"/>
      <c r="B89" s="33"/>
      <c r="C89" s="33"/>
      <c r="D89" s="33"/>
      <c r="E89" s="33"/>
      <c r="F89" s="33"/>
      <c r="G89" s="33"/>
      <c r="H89" s="33"/>
      <c r="I89" s="33"/>
      <c r="J89" s="33"/>
      <c r="K89" s="33"/>
      <c r="L89" s="33"/>
      <c r="M89" s="33"/>
      <c r="N89" s="33"/>
      <c r="O89" s="33"/>
      <c r="P89" s="33"/>
      <c r="Q89" s="33"/>
      <c r="R89" s="33"/>
      <c r="S89" s="33"/>
      <c r="T89" s="33"/>
      <c r="U89" s="34"/>
      <c r="V89" s="33"/>
      <c r="W89" s="33"/>
    </row>
    <row r="90" ht="15.75" customHeight="1">
      <c r="A90" s="33"/>
      <c r="B90" s="33"/>
      <c r="C90" s="33"/>
      <c r="D90" s="33"/>
      <c r="E90" s="33"/>
      <c r="F90" s="33"/>
      <c r="G90" s="33"/>
      <c r="H90" s="33"/>
      <c r="I90" s="33"/>
      <c r="J90" s="33"/>
      <c r="K90" s="33"/>
      <c r="L90" s="33"/>
      <c r="M90" s="33"/>
      <c r="N90" s="33"/>
      <c r="O90" s="33"/>
      <c r="P90" s="33"/>
      <c r="Q90" s="33"/>
      <c r="R90" s="33"/>
      <c r="S90" s="33"/>
      <c r="T90" s="33"/>
      <c r="U90" s="34"/>
      <c r="V90" s="33"/>
      <c r="W90" s="33"/>
    </row>
    <row r="91" ht="15.75" customHeight="1">
      <c r="A91" s="33"/>
      <c r="B91" s="33"/>
      <c r="C91" s="33"/>
      <c r="D91" s="33"/>
      <c r="E91" s="33"/>
      <c r="F91" s="33"/>
      <c r="G91" s="33"/>
      <c r="H91" s="33"/>
      <c r="I91" s="33"/>
      <c r="J91" s="33"/>
      <c r="K91" s="33"/>
      <c r="L91" s="33"/>
      <c r="M91" s="33"/>
      <c r="N91" s="33"/>
      <c r="O91" s="33"/>
      <c r="P91" s="33"/>
      <c r="Q91" s="33"/>
      <c r="R91" s="33"/>
      <c r="S91" s="33"/>
      <c r="T91" s="33"/>
      <c r="U91" s="34"/>
      <c r="V91" s="33"/>
      <c r="W91" s="33"/>
    </row>
    <row r="92" ht="15.75" customHeight="1">
      <c r="A92" s="33"/>
      <c r="B92" s="33"/>
      <c r="C92" s="33"/>
      <c r="D92" s="33"/>
      <c r="E92" s="33"/>
      <c r="F92" s="33"/>
      <c r="G92" s="33"/>
      <c r="H92" s="33"/>
      <c r="I92" s="33"/>
      <c r="J92" s="33"/>
      <c r="K92" s="33"/>
      <c r="L92" s="33"/>
      <c r="M92" s="33"/>
      <c r="N92" s="33"/>
      <c r="O92" s="33"/>
      <c r="P92" s="33"/>
      <c r="Q92" s="33"/>
      <c r="R92" s="33"/>
      <c r="S92" s="33"/>
      <c r="T92" s="33"/>
      <c r="U92" s="34"/>
      <c r="V92" s="33"/>
      <c r="W92" s="33"/>
    </row>
    <row r="93" ht="15.75" customHeight="1">
      <c r="A93" s="33"/>
      <c r="B93" s="33"/>
      <c r="C93" s="33"/>
      <c r="D93" s="33"/>
      <c r="E93" s="33"/>
      <c r="F93" s="33"/>
      <c r="G93" s="33"/>
      <c r="H93" s="33"/>
      <c r="I93" s="33"/>
      <c r="J93" s="33"/>
      <c r="K93" s="33"/>
      <c r="L93" s="33"/>
      <c r="M93" s="33"/>
      <c r="N93" s="33"/>
      <c r="O93" s="33"/>
      <c r="P93" s="33"/>
      <c r="Q93" s="33"/>
      <c r="R93" s="33"/>
      <c r="S93" s="33"/>
      <c r="T93" s="33"/>
      <c r="U93" s="34"/>
      <c r="V93" s="33"/>
      <c r="W93" s="33"/>
    </row>
    <row r="94" ht="15.75" customHeight="1">
      <c r="A94" s="33"/>
      <c r="B94" s="33"/>
      <c r="C94" s="33"/>
      <c r="D94" s="33"/>
      <c r="E94" s="33"/>
      <c r="F94" s="33"/>
      <c r="G94" s="33"/>
      <c r="H94" s="33"/>
      <c r="I94" s="33"/>
      <c r="J94" s="33"/>
      <c r="K94" s="33"/>
      <c r="L94" s="33"/>
      <c r="M94" s="33"/>
      <c r="N94" s="33"/>
      <c r="O94" s="33"/>
      <c r="P94" s="33"/>
      <c r="Q94" s="33"/>
      <c r="R94" s="33"/>
      <c r="S94" s="33"/>
      <c r="T94" s="33"/>
      <c r="U94" s="34"/>
      <c r="V94" s="33"/>
      <c r="W94" s="33"/>
    </row>
    <row r="95" ht="15.75" customHeight="1">
      <c r="A95" s="33"/>
      <c r="B95" s="33"/>
      <c r="C95" s="33"/>
      <c r="D95" s="33"/>
      <c r="E95" s="33"/>
      <c r="F95" s="33"/>
      <c r="G95" s="33"/>
      <c r="H95" s="33"/>
      <c r="I95" s="33"/>
      <c r="J95" s="33"/>
      <c r="K95" s="33"/>
      <c r="L95" s="33"/>
      <c r="M95" s="33"/>
      <c r="N95" s="33"/>
      <c r="O95" s="33"/>
      <c r="P95" s="33"/>
      <c r="Q95" s="33"/>
      <c r="R95" s="33"/>
      <c r="S95" s="33"/>
      <c r="T95" s="33"/>
      <c r="U95" s="34"/>
      <c r="V95" s="33"/>
      <c r="W95" s="33"/>
    </row>
    <row r="96" ht="15.75" customHeight="1">
      <c r="A96" s="33"/>
      <c r="B96" s="33"/>
      <c r="C96" s="33"/>
      <c r="D96" s="33"/>
      <c r="E96" s="33"/>
      <c r="F96" s="33"/>
      <c r="G96" s="33"/>
      <c r="H96" s="33"/>
      <c r="I96" s="33"/>
      <c r="J96" s="33"/>
      <c r="K96" s="33"/>
      <c r="L96" s="33"/>
      <c r="M96" s="33"/>
      <c r="N96" s="33"/>
      <c r="O96" s="33"/>
      <c r="P96" s="33"/>
      <c r="Q96" s="33"/>
      <c r="R96" s="33"/>
      <c r="S96" s="33"/>
      <c r="T96" s="33"/>
      <c r="U96" s="34"/>
      <c r="V96" s="33"/>
      <c r="W96" s="33"/>
    </row>
    <row r="97" ht="15.75" customHeight="1">
      <c r="A97" s="33"/>
      <c r="B97" s="33"/>
      <c r="C97" s="33"/>
      <c r="D97" s="33"/>
      <c r="E97" s="33"/>
      <c r="F97" s="33"/>
      <c r="G97" s="33"/>
      <c r="H97" s="33"/>
      <c r="I97" s="33"/>
      <c r="J97" s="33"/>
      <c r="K97" s="33"/>
      <c r="L97" s="33"/>
      <c r="M97" s="33"/>
      <c r="N97" s="33"/>
      <c r="O97" s="33"/>
      <c r="P97" s="33"/>
      <c r="Q97" s="33"/>
      <c r="R97" s="33"/>
      <c r="S97" s="33"/>
      <c r="T97" s="33"/>
      <c r="U97" s="34"/>
      <c r="V97" s="33"/>
      <c r="W97" s="33"/>
    </row>
    <row r="98" ht="15.75" customHeight="1">
      <c r="A98" s="33"/>
      <c r="B98" s="33"/>
      <c r="C98" s="33"/>
      <c r="D98" s="33"/>
      <c r="E98" s="33"/>
      <c r="F98" s="33"/>
      <c r="G98" s="33"/>
      <c r="H98" s="33"/>
      <c r="I98" s="33"/>
      <c r="J98" s="33"/>
      <c r="K98" s="33"/>
      <c r="L98" s="33"/>
      <c r="M98" s="33"/>
      <c r="N98" s="33"/>
      <c r="O98" s="33"/>
      <c r="P98" s="33"/>
      <c r="Q98" s="33"/>
      <c r="R98" s="33"/>
      <c r="S98" s="33"/>
      <c r="T98" s="33"/>
      <c r="U98" s="34"/>
      <c r="V98" s="33"/>
      <c r="W98" s="33"/>
    </row>
    <row r="99" ht="15.75" customHeight="1">
      <c r="A99" s="33"/>
      <c r="B99" s="33"/>
      <c r="C99" s="33"/>
      <c r="D99" s="33"/>
      <c r="E99" s="33"/>
      <c r="F99" s="33"/>
      <c r="G99" s="33"/>
      <c r="H99" s="33"/>
      <c r="I99" s="33"/>
      <c r="J99" s="33"/>
      <c r="K99" s="33"/>
      <c r="L99" s="33"/>
      <c r="M99" s="33"/>
      <c r="N99" s="33"/>
      <c r="O99" s="33"/>
      <c r="P99" s="33"/>
      <c r="Q99" s="33"/>
      <c r="R99" s="33"/>
      <c r="S99" s="33"/>
      <c r="T99" s="33"/>
      <c r="U99" s="34"/>
      <c r="V99" s="33"/>
      <c r="W99" s="33"/>
    </row>
    <row r="100" ht="15.75" customHeight="1">
      <c r="A100" s="33"/>
      <c r="B100" s="33"/>
      <c r="C100" s="33"/>
      <c r="D100" s="33"/>
      <c r="E100" s="33"/>
      <c r="F100" s="33"/>
      <c r="G100" s="33"/>
      <c r="H100" s="33"/>
      <c r="I100" s="33"/>
      <c r="J100" s="33"/>
      <c r="K100" s="33"/>
      <c r="L100" s="33"/>
      <c r="M100" s="33"/>
      <c r="N100" s="33"/>
      <c r="O100" s="33"/>
      <c r="P100" s="33"/>
      <c r="Q100" s="33"/>
      <c r="R100" s="33"/>
      <c r="S100" s="33"/>
      <c r="T100" s="33"/>
      <c r="U100" s="34"/>
      <c r="V100" s="33"/>
      <c r="W100" s="33"/>
    </row>
    <row r="101" ht="15.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row>
    <row r="102" ht="15.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row>
    <row r="103" ht="15.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row>
    <row r="104" ht="15.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row>
    <row r="105" ht="15.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row>
    <row r="106" ht="15.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row>
    <row r="107" ht="15.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row>
    <row r="108" ht="15.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row>
    <row r="109" ht="15.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row>
    <row r="110" ht="15.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row>
    <row r="111" ht="15.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row>
    <row r="112" ht="15.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row>
    <row r="113" ht="15.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row>
    <row r="114" ht="15.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row>
    <row r="115" ht="15.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row>
    <row r="116" ht="15.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row>
    <row r="117" ht="15.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row>
    <row r="118" ht="15.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row>
    <row r="119" ht="15.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row>
    <row r="120" ht="15.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row>
    <row r="121" ht="15.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row>
    <row r="122" ht="15.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row>
    <row r="123" ht="15.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row>
    <row r="124" ht="15.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row>
    <row r="125" ht="15.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row>
    <row r="126" ht="15.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row>
    <row r="127" ht="15.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row>
    <row r="128" ht="15.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row>
    <row r="129" ht="15.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row>
    <row r="130" ht="15.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row>
    <row r="131" ht="15.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row>
    <row r="132" ht="15.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row>
    <row r="133" ht="15.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row>
    <row r="134" ht="15.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row>
    <row r="135" ht="15.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row>
    <row r="136" ht="15.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row>
    <row r="137" ht="15.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row>
    <row r="138" ht="15.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row>
    <row r="139" ht="15.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row>
    <row r="140" ht="15.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row>
    <row r="141" ht="15.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row>
    <row r="142" ht="15.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row>
    <row r="143" ht="15.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row>
    <row r="144" ht="15.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row>
    <row r="145" ht="15.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row>
    <row r="146" ht="15.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row>
    <row r="147" ht="15.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row>
    <row r="148" ht="15.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row>
    <row r="149" ht="15.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row>
    <row r="150" ht="15.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row>
    <row r="151" ht="15.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row>
    <row r="152" ht="15.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row>
    <row r="153" ht="15.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row>
    <row r="154" ht="15.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row>
    <row r="155" ht="15.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row>
    <row r="156" ht="15.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row>
    <row r="157" ht="15.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row>
    <row r="158" ht="15.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row>
    <row r="159" ht="15.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row>
    <row r="160" ht="15.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row>
    <row r="161" ht="15.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row>
    <row r="162" ht="15.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row>
    <row r="163" ht="15.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row>
    <row r="164" ht="15.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row>
    <row r="165" ht="15.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row>
    <row r="166" ht="15.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row>
    <row r="167" ht="15.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row>
    <row r="168" ht="15.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row>
    <row r="169" ht="15.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row>
    <row r="170" ht="15.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row>
    <row r="171" ht="15.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row>
    <row r="172" ht="15.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row>
    <row r="173" ht="15.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row>
    <row r="174" ht="15.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row>
    <row r="175" ht="15.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row>
    <row r="176" ht="15.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row>
    <row r="177" ht="15.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row>
    <row r="178" ht="15.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row>
    <row r="179" ht="15.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row>
    <row r="180" ht="15.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row>
    <row r="181" ht="15.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row>
    <row r="182" ht="15.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row>
    <row r="183" ht="15.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row>
    <row r="184" ht="15.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row>
    <row r="185" ht="15.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row>
    <row r="186" ht="15.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row>
    <row r="187" ht="15.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row>
    <row r="188" ht="15.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row>
    <row r="189" ht="15.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row>
    <row r="190" ht="15.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row>
    <row r="191" ht="15.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row>
    <row r="192" ht="15.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row>
    <row r="193" ht="15.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row>
    <row r="194" ht="15.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row>
    <row r="195" ht="15.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row>
    <row r="196" ht="15.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row>
    <row r="197" ht="15.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row>
    <row r="198" ht="15.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row>
    <row r="199" ht="15.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row>
    <row r="200" ht="15.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row>
    <row r="201" ht="15.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row>
    <row r="202" ht="15.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row>
    <row r="203" ht="15.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row>
    <row r="204" ht="15.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row>
    <row r="205" ht="15.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row>
    <row r="206" ht="15.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row>
    <row r="207" ht="15.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row>
    <row r="208" ht="15.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row>
    <row r="209" ht="15.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row>
    <row r="210" ht="15.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row>
    <row r="211" ht="15.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row>
    <row r="212" ht="15.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row>
    <row r="213" ht="15.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row>
    <row r="214" ht="15.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row>
    <row r="215" ht="15.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row>
    <row r="216" ht="15.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row>
    <row r="217" ht="15.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row>
    <row r="218" ht="15.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row>
    <row r="219" ht="15.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row>
    <row r="220" ht="15.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row>
    <row r="221" ht="15.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row>
    <row r="222"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row>
    <row r="223"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row>
    <row r="224"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row>
    <row r="225"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row>
    <row r="2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row>
    <row r="227"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row>
    <row r="228"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row>
    <row r="229"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row>
    <row r="230"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row>
    <row r="231"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row>
    <row r="232"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row>
    <row r="233"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row>
    <row r="234"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row>
    <row r="235"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row>
    <row r="23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row>
    <row r="237"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row>
    <row r="238"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row>
    <row r="239"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row>
    <row r="240"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row>
    <row r="241"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row>
    <row r="242"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row>
    <row r="243"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row>
    <row r="244"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row>
    <row r="245"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row>
    <row r="246"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row>
    <row r="247"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row>
    <row r="249"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row>
    <row r="250"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row>
    <row r="251"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row>
    <row r="252"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row>
    <row r="253"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row>
    <row r="254" ht="15.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row>
    <row r="255" ht="15.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row>
    <row r="256" ht="15.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row>
    <row r="257" ht="15.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row>
    <row r="258" ht="15.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row>
    <row r="259" ht="15.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row>
    <row r="260" ht="15.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row>
    <row r="261" ht="15.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row>
    <row r="262" ht="15.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row>
    <row r="263" ht="15.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row>
    <row r="264" ht="15.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row>
    <row r="265" ht="15.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row>
    <row r="266" ht="15.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row>
    <row r="267" ht="15.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row>
    <row r="268" ht="15.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row>
    <row r="269" ht="15.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row>
    <row r="270" ht="15.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row>
    <row r="271" ht="15.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row>
    <row r="272" ht="15.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row>
    <row r="273" ht="15.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row>
    <row r="274" ht="15.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row>
    <row r="275" ht="15.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row>
    <row r="276" ht="15.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row>
    <row r="277" ht="15.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row>
    <row r="278" ht="15.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row>
    <row r="279" ht="15.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row>
    <row r="280" ht="15.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row>
    <row r="281" ht="15.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row>
    <row r="282" ht="15.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row>
    <row r="283" ht="15.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row>
    <row r="284" ht="15.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row>
    <row r="285" ht="15.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row>
    <row r="286" ht="15.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row>
    <row r="287" ht="15.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row>
    <row r="288" ht="15.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row>
    <row r="289" ht="15.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row>
    <row r="290" ht="15.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row>
    <row r="291" ht="15.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row>
    <row r="292" ht="15.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row>
    <row r="293" ht="15.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row>
    <row r="294" ht="15.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row>
    <row r="295" ht="15.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row>
    <row r="296" ht="15.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row>
    <row r="297" ht="15.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row>
    <row r="298" ht="15.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row>
    <row r="299" ht="15.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row>
    <row r="300" ht="15.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row>
    <row r="301" ht="15.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row>
    <row r="302" ht="15.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row>
    <row r="304" ht="15.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row>
    <row r="305" ht="15.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row>
    <row r="306" ht="15.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row>
    <row r="307" ht="15.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row>
    <row r="308" ht="15.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row>
    <row r="309" ht="15.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row>
    <row r="310" ht="15.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row>
    <row r="311" ht="15.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row>
    <row r="312" ht="15.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row>
    <row r="313" ht="15.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row>
    <row r="314" ht="15.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row>
    <row r="315" ht="15.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row>
    <row r="317" ht="15.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row>
    <row r="318" ht="15.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row>
    <row r="319" ht="15.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row>
    <row r="320" ht="15.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row>
    <row r="321" ht="15.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row>
    <row r="322" ht="15.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row>
    <row r="323" ht="15.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row>
    <row r="324" ht="15.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row>
    <row r="325" ht="15.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row>
    <row r="326" ht="15.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row>
    <row r="327" ht="15.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row>
    <row r="328" ht="15.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row>
    <row r="330" ht="15.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row>
    <row r="331" ht="15.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row>
    <row r="332" ht="15.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row>
    <row r="333" ht="15.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row>
    <row r="334" ht="15.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row>
    <row r="335" ht="15.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row>
    <row r="336" ht="15.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row>
    <row r="337" ht="15.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row>
    <row r="338" ht="15.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row>
    <row r="339" ht="15.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row>
    <row r="340" ht="15.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row>
    <row r="341" ht="15.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row>
    <row r="342" ht="15.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row>
    <row r="343" ht="15.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row>
    <row r="344" ht="15.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row>
    <row r="345" ht="15.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row>
    <row r="346" ht="15.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row>
    <row r="347" ht="15.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row>
    <row r="348" ht="15.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row>
    <row r="349" ht="15.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row>
    <row r="350" ht="15.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row>
    <row r="351" ht="15.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row>
    <row r="352" ht="15.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row>
    <row r="353" ht="15.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row>
    <row r="354" ht="15.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row>
    <row r="355" ht="15.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row>
    <row r="356" ht="15.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row>
    <row r="357" ht="15.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row>
    <row r="358" ht="15.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row>
    <row r="359" ht="15.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row>
    <row r="360" ht="15.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row>
    <row r="361" ht="15.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row>
    <row r="362" ht="15.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row>
    <row r="363" ht="15.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row>
    <row r="364" ht="15.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row>
    <row r="365" ht="15.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row>
    <row r="366" ht="15.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row>
    <row r="367" ht="15.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row>
    <row r="368" ht="15.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row>
    <row r="369" ht="15.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row>
    <row r="370" ht="15.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row>
    <row r="371" ht="15.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row>
    <row r="372" ht="15.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row>
    <row r="373" ht="15.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row>
    <row r="374" ht="15.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row>
    <row r="375" ht="15.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row>
    <row r="376" ht="15.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row>
    <row r="377" ht="15.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row>
    <row r="378" ht="15.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row>
    <row r="379" ht="15.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row>
    <row r="380" ht="15.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row>
    <row r="381" ht="15.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row>
    <row r="382" ht="15.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row>
    <row r="383" ht="15.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row>
    <row r="384" ht="15.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row>
    <row r="385" ht="15.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row>
    <row r="386" ht="15.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row>
    <row r="387" ht="15.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row>
    <row r="388" ht="15.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row>
    <row r="389" ht="15.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row>
    <row r="390" ht="15.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row>
    <row r="391" ht="15.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row>
    <row r="392" ht="15.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row>
    <row r="393" ht="15.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row>
    <row r="394" ht="15.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row>
    <row r="395" ht="15.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row>
    <row r="396" ht="15.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row>
    <row r="397" ht="15.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row>
    <row r="398" ht="15.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row>
    <row r="399" ht="15.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row>
    <row r="400" ht="15.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row>
    <row r="401" ht="15.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row>
    <row r="402" ht="15.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row>
    <row r="403" ht="15.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row>
    <row r="404" ht="15.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row>
    <row r="405" ht="15.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row>
    <row r="406" ht="15.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row>
    <row r="407" ht="15.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row>
    <row r="408" ht="15.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row>
    <row r="409" ht="15.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row>
    <row r="410" ht="15.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row>
    <row r="411" ht="15.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row>
    <row r="412" ht="15.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row>
    <row r="413" ht="15.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row>
    <row r="414" ht="15.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row>
    <row r="415" ht="15.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row>
    <row r="416" ht="15.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row>
    <row r="417" ht="15.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row>
    <row r="418" ht="15.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row>
    <row r="419" ht="15.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row>
    <row r="420" ht="15.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row>
    <row r="421" ht="15.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row>
    <row r="422" ht="15.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row>
    <row r="423" ht="15.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row>
    <row r="424" ht="15.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row>
    <row r="425" ht="15.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row>
    <row r="426" ht="15.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row>
    <row r="427" ht="15.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row>
    <row r="428" ht="15.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row>
    <row r="429" ht="15.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row>
    <row r="430" ht="15.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row>
    <row r="431" ht="15.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row>
    <row r="432" ht="15.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row>
    <row r="433" ht="15.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row>
    <row r="434" ht="15.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row>
    <row r="435" ht="15.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row>
    <row r="436" ht="15.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row>
    <row r="437" ht="15.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row>
    <row r="438" ht="15.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row>
    <row r="439" ht="15.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row>
    <row r="440" ht="15.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row>
    <row r="441" ht="15.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row>
    <row r="442" ht="15.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row>
    <row r="443" ht="15.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row>
    <row r="444" ht="15.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row>
    <row r="445" ht="15.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row>
    <row r="446" ht="15.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row>
    <row r="447" ht="15.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row>
    <row r="448" ht="15.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row>
    <row r="449" ht="15.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row>
    <row r="450" ht="15.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row>
    <row r="451" ht="15.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row>
    <row r="452" ht="15.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row>
    <row r="453" ht="15.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row>
    <row r="454" ht="15.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row>
    <row r="455" ht="15.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row>
    <row r="456" ht="15.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row>
    <row r="457" ht="15.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row>
    <row r="458" ht="15.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row>
    <row r="459" ht="15.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row>
    <row r="460" ht="15.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row>
    <row r="461" ht="15.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row>
    <row r="462" ht="15.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row>
    <row r="463" ht="15.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row>
    <row r="464" ht="15.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row>
    <row r="465" ht="15.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row>
    <row r="466" ht="15.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row>
    <row r="467" ht="15.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row>
    <row r="468" ht="15.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row>
    <row r="469" ht="15.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row>
    <row r="470" ht="15.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row>
    <row r="471" ht="15.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row>
    <row r="472" ht="15.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row>
    <row r="473" ht="15.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row>
    <row r="474" ht="15.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row>
    <row r="475" ht="15.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row>
    <row r="476" ht="15.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row>
    <row r="477" ht="15.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row>
    <row r="478" ht="15.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row>
    <row r="479" ht="15.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row>
    <row r="480" ht="15.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row>
    <row r="481" ht="15.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row>
    <row r="482" ht="15.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row>
    <row r="483" ht="15.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row>
    <row r="484" ht="15.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row>
    <row r="485" ht="15.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row>
    <row r="486" ht="15.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row>
    <row r="487" ht="15.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row>
    <row r="488" ht="15.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row>
    <row r="489" ht="15.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row>
    <row r="490" ht="15.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row>
    <row r="491" ht="15.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row>
    <row r="492" ht="15.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row>
    <row r="493" ht="15.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row>
    <row r="494" ht="15.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row>
    <row r="495" ht="15.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row>
    <row r="496" ht="15.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row>
    <row r="497" ht="15.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row>
    <row r="498" ht="15.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row>
    <row r="499" ht="15.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row>
    <row r="500" ht="15.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row>
    <row r="501" ht="15.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row>
    <row r="502"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row>
    <row r="503"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row>
    <row r="504"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row>
    <row r="505"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row>
    <row r="506"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row>
    <row r="507"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row>
    <row r="508"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row>
    <row r="509"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row>
    <row r="510"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row>
    <row r="511"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row>
    <row r="512"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row>
    <row r="513"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row>
    <row r="514"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row>
    <row r="515"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row>
    <row r="516"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row>
    <row r="517"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row>
    <row r="518"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row>
    <row r="519"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row>
    <row r="520"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row>
    <row r="521"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row>
    <row r="522"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row>
    <row r="523"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row>
    <row r="524"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row>
    <row r="525"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row>
    <row r="526"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row>
    <row r="527"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row>
    <row r="528"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row>
    <row r="529"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row>
    <row r="530"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row>
    <row r="531"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row>
    <row r="532"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row>
    <row r="533"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row>
    <row r="534"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row>
    <row r="535"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row>
    <row r="536"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row>
    <row r="537"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row>
    <row r="538"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row>
    <row r="539"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row>
    <row r="540"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row>
    <row r="541"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row>
    <row r="542"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row>
    <row r="543"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row>
    <row r="544"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row>
    <row r="545"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row>
    <row r="546"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row>
    <row r="547"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row>
    <row r="548"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row>
    <row r="549"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row>
    <row r="550"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row>
    <row r="551"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row>
    <row r="552"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row>
    <row r="553"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row>
    <row r="554"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row>
    <row r="555"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row>
    <row r="556"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row>
    <row r="557"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row>
    <row r="558"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row>
    <row r="559"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row>
    <row r="560"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row>
    <row r="561"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row>
    <row r="562"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row>
    <row r="563"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row>
    <row r="564"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row>
    <row r="565"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row>
    <row r="566"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row>
    <row r="567"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row>
    <row r="568"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row>
    <row r="569"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row>
    <row r="570"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row>
    <row r="571"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row>
    <row r="572"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row>
    <row r="573"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row>
    <row r="574"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row>
    <row r="575"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row>
    <row r="576"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row>
    <row r="577"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row>
    <row r="578"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row>
    <row r="579"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row>
    <row r="580"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row>
    <row r="581"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row>
    <row r="582"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row>
    <row r="583"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row>
    <row r="584"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row>
    <row r="585"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row>
    <row r="586"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row>
    <row r="587"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row>
    <row r="588"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row>
    <row r="589"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row>
    <row r="590"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row>
    <row r="591"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row>
    <row r="592"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row>
    <row r="593"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row>
    <row r="594"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row>
    <row r="595"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row>
    <row r="596"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row>
    <row r="597"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row>
    <row r="598"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row>
    <row r="599"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row>
    <row r="600"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row>
    <row r="601"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row>
    <row r="602"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row>
    <row r="603"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row>
    <row r="604"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row>
    <row r="605"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row>
    <row r="606"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row>
    <row r="607"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row>
    <row r="608"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row>
    <row r="609"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row>
    <row r="610"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row>
    <row r="611"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row>
    <row r="612"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row>
    <row r="613"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row>
    <row r="614"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row>
    <row r="615"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row>
    <row r="616"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row>
    <row r="617"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row>
    <row r="618"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row>
    <row r="619"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row>
    <row r="620"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row>
    <row r="621"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row>
    <row r="622"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row>
    <row r="623"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row>
    <row r="624"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row>
    <row r="625"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row>
    <row r="626"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row>
    <row r="627"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row>
    <row r="628"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row>
    <row r="629"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row>
    <row r="630"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row>
    <row r="631"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row>
    <row r="632"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row>
    <row r="633"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row>
    <row r="634"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row>
    <row r="635"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row>
    <row r="636"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row>
    <row r="637"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row>
    <row r="638"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row>
    <row r="639"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row>
    <row r="640"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row>
    <row r="641"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row>
    <row r="642"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row>
    <row r="643"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row>
    <row r="644"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row>
    <row r="645"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row>
    <row r="646"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row>
    <row r="647"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row>
    <row r="648"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row>
    <row r="649"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row>
    <row r="650"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row>
    <row r="651"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row>
    <row r="652"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row>
    <row r="653"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row>
    <row r="654"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row>
    <row r="655"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row>
    <row r="656"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row>
    <row r="657"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row>
    <row r="658"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row>
    <row r="659"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row>
    <row r="660"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row>
    <row r="661"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row>
    <row r="662"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row>
    <row r="663"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row>
    <row r="664"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row>
    <row r="665"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row>
    <row r="666"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row>
    <row r="667"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row>
    <row r="668"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row>
    <row r="669"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row>
    <row r="670"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row>
    <row r="671"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row>
    <row r="672"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row>
    <row r="673"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row>
    <row r="674"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row>
    <row r="675"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row>
    <row r="676"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row>
    <row r="677"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row>
    <row r="678"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row>
    <row r="679"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row>
    <row r="680"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row>
    <row r="681"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row>
    <row r="682"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row>
    <row r="683"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row>
    <row r="684"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row>
    <row r="685"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row>
    <row r="686"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row>
    <row r="687"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row>
    <row r="688"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row>
    <row r="689"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row>
    <row r="690"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row>
    <row r="691"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row>
    <row r="692"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row>
    <row r="693"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row>
    <row r="694"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row>
    <row r="695"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row>
    <row r="696"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row>
    <row r="697"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row>
    <row r="698"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row>
    <row r="699"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row>
    <row r="700"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row>
    <row r="701"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row>
    <row r="702"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row>
    <row r="703"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row>
    <row r="704"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row>
    <row r="705"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row>
    <row r="706"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row>
    <row r="707"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row>
    <row r="708"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row>
    <row r="709"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row>
    <row r="710"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row>
    <row r="711"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row>
    <row r="712"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row>
    <row r="713"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row>
    <row r="714"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row>
    <row r="715"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row>
    <row r="716"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row>
    <row r="717"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row>
    <row r="718"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row>
    <row r="719"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row>
    <row r="720"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row>
    <row r="721"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row>
    <row r="722"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row>
    <row r="723"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row>
    <row r="724"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row>
    <row r="725"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row>
    <row r="726"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row>
    <row r="727"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row>
    <row r="728"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row>
    <row r="729"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row>
    <row r="730"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row>
    <row r="731"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row>
    <row r="732"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row>
    <row r="733"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row>
    <row r="734"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row>
    <row r="735"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row>
    <row r="736"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row>
    <row r="737"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row>
    <row r="738"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row>
    <row r="739"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row>
    <row r="740"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row>
    <row r="741"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row>
    <row r="742"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row>
    <row r="743"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row>
    <row r="744"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row>
    <row r="745"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row>
    <row r="746"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row>
    <row r="747"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row>
    <row r="748"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row>
    <row r="749"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row>
    <row r="750"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row>
    <row r="751"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row>
    <row r="752"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row>
    <row r="753"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row>
    <row r="754"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row>
    <row r="755"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row>
    <row r="756"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row>
    <row r="757"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row>
    <row r="758"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row>
    <row r="759"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row>
    <row r="760"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row>
    <row r="761"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row>
    <row r="762"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row>
    <row r="763"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row>
    <row r="764"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row>
    <row r="765"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row>
    <row r="766"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row>
    <row r="767"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row>
    <row r="768"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row>
    <row r="769"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row>
    <row r="770"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row>
    <row r="771"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row>
    <row r="772"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row>
    <row r="773"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row>
    <row r="774"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row>
    <row r="775"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row>
    <row r="776"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row>
    <row r="777"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row>
    <row r="778"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row>
    <row r="779"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row>
    <row r="780"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row>
    <row r="781"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row>
    <row r="782"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row>
    <row r="783"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row>
    <row r="784"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row>
    <row r="785"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row>
    <row r="786"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row>
    <row r="787"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row>
    <row r="788"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row>
    <row r="789"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row>
    <row r="790"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row>
    <row r="791"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row>
    <row r="792"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row>
    <row r="793"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row>
    <row r="794"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row>
    <row r="795"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row>
    <row r="796"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row>
    <row r="797"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row>
    <row r="798"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row>
    <row r="799"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row>
    <row r="800"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row>
    <row r="801"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row>
    <row r="802"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row>
    <row r="803"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row>
    <row r="804"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row>
    <row r="805"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row>
    <row r="806"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row>
    <row r="807"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row>
    <row r="808"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row>
    <row r="809"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row>
    <row r="810"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row>
    <row r="811"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row>
    <row r="812"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row>
    <row r="813"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row>
    <row r="814"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row>
    <row r="815"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row>
    <row r="816"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row>
    <row r="817"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row>
    <row r="818"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row>
    <row r="819"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row>
    <row r="820"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row>
    <row r="821"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row>
    <row r="822"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row>
    <row r="823"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row>
    <row r="824"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row>
    <row r="825"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row>
    <row r="826"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row>
    <row r="827"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row>
    <row r="828"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row>
    <row r="829"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row>
    <row r="830"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row>
    <row r="831"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row>
    <row r="832"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row>
    <row r="833"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row>
    <row r="834"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row>
    <row r="835"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row>
    <row r="836"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row>
    <row r="837"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row>
    <row r="838"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row>
    <row r="839"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row>
    <row r="840"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row>
    <row r="841"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row>
    <row r="842"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row>
    <row r="843"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row>
    <row r="844"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row>
    <row r="845"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row>
    <row r="846"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row>
    <row r="847"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row>
    <row r="848"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row>
    <row r="849"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row>
    <row r="850"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row>
    <row r="851"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row>
    <row r="852"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row>
    <row r="853"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row>
    <row r="854"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row>
    <row r="855"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row>
    <row r="856"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row>
    <row r="857"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row>
    <row r="858"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row>
    <row r="859"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row>
    <row r="860"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row>
    <row r="861"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row>
    <row r="862"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row>
    <row r="863"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row>
    <row r="864"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row>
    <row r="865"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row>
    <row r="866"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row>
    <row r="867"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row>
    <row r="868"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row>
    <row r="869"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row>
    <row r="870"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row>
    <row r="871"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row>
    <row r="872"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row>
    <row r="873"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row>
    <row r="874"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row>
    <row r="875"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row>
    <row r="876"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row>
    <row r="877"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row>
    <row r="878"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row>
    <row r="879"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row>
    <row r="880"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row>
    <row r="881"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row>
    <row r="882"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row>
    <row r="883"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row>
    <row r="884"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row>
    <row r="885"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row>
    <row r="886"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row>
    <row r="887"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row>
    <row r="888"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row>
    <row r="889"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row>
    <row r="890"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row>
    <row r="891"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row>
    <row r="892"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row>
    <row r="893"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row>
    <row r="894"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row>
    <row r="895"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row>
    <row r="896"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row>
    <row r="897"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row>
    <row r="898"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row>
    <row r="899"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row>
    <row r="900"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row>
    <row r="901"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row>
    <row r="902"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row>
    <row r="903"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row>
    <row r="904"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row>
    <row r="905"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row>
    <row r="906"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row>
    <row r="907"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row>
    <row r="908"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row>
    <row r="909"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row>
    <row r="910"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row>
    <row r="911"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row>
    <row r="912"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row>
    <row r="913"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row>
    <row r="914"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row>
    <row r="915"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row>
    <row r="916"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row>
    <row r="917"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row>
    <row r="918"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row>
    <row r="919"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row>
    <row r="920"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row>
    <row r="921"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row>
    <row r="922"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row>
    <row r="923"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row>
    <row r="924"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row>
    <row r="925"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row>
    <row r="926" ht="15.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row>
    <row r="927" ht="15.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row>
    <row r="928" ht="15.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row>
    <row r="929" ht="15.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row>
    <row r="930" ht="15.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row>
    <row r="931" ht="15.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row>
    <row r="932" ht="15.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row>
    <row r="933" ht="15.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row>
    <row r="934" ht="15.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row>
    <row r="935" ht="15.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row>
    <row r="936" ht="15.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row>
    <row r="937" ht="15.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row>
    <row r="938" ht="15.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row>
    <row r="939" ht="15.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row>
    <row r="940" ht="15.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row>
    <row r="941" ht="15.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row>
    <row r="942" ht="15.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row>
    <row r="943" ht="15.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row>
    <row r="944" ht="15.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row>
    <row r="945" ht="15.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row>
    <row r="946" ht="15.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row>
    <row r="947" ht="15.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row>
    <row r="948" ht="15.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row>
    <row r="949" ht="15.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row>
    <row r="950" ht="15.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row>
    <row r="951" ht="15.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row>
    <row r="952" ht="15.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row>
    <row r="953" ht="15.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row>
    <row r="954" ht="15.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row>
    <row r="955" ht="15.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row>
    <row r="956" ht="15.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row>
    <row r="957" ht="15.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row>
    <row r="958" ht="15.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row>
    <row r="959" ht="15.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row>
    <row r="960" ht="15.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row>
    <row r="961" ht="15.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row>
    <row r="962" ht="15.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row>
    <row r="963" ht="15.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row>
    <row r="964" ht="15.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row>
    <row r="965" ht="15.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row>
    <row r="966" ht="15.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row>
    <row r="967" ht="15.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row>
    <row r="968" ht="15.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row>
    <row r="969" ht="15.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row>
    <row r="970" ht="15.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row>
    <row r="971" ht="15.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row>
    <row r="972" ht="15.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row>
    <row r="973" ht="15.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row>
    <row r="974" ht="15.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row>
    <row r="975" ht="15.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row>
    <row r="976" ht="15.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row>
    <row r="977" ht="15.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row>
    <row r="978" ht="15.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row>
    <row r="979" ht="15.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row>
    <row r="980" ht="15.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row>
    <row r="981" ht="15.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row>
    <row r="982" ht="15.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row>
    <row r="983" ht="15.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row>
    <row r="984" ht="15.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row>
    <row r="985" ht="15.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row>
    <row r="986" ht="15.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row>
    <row r="987" ht="15.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row>
    <row r="988" ht="15.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row>
    <row r="989" ht="15.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row>
    <row r="990" ht="15.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row>
    <row r="991" ht="15.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row>
    <row r="992" ht="15.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row>
    <row r="993" ht="15.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row>
    <row r="994" ht="15.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row>
    <row r="995" ht="15.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row>
    <row r="996" ht="15.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row>
    <row r="997" ht="15.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row>
    <row r="998" ht="15.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row>
    <row r="999" ht="15.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row>
    <row r="1000" ht="15.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row>
  </sheetData>
  <hyperlinks>
    <hyperlink r:id="rId1" ref="AD17"/>
  </hyperlinks>
  <printOptions/>
  <pageMargins bottom="0.75" footer="0.0" header="0.0" left="0.7" right="0.7" top="0.75"/>
  <pageSetup orientation="landscape"/>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3" width="16.14"/>
    <col customWidth="1" min="4" max="4" width="16.86"/>
    <col customWidth="1" min="5" max="6" width="10.71"/>
    <col customWidth="1" min="7" max="7" width="23.86"/>
    <col customWidth="1" min="8" max="8" width="61.57"/>
    <col customWidth="1" min="9" max="14" width="10.71"/>
    <col customWidth="1" min="15" max="16" width="16.14"/>
    <col customWidth="1" min="17" max="17" width="15.43"/>
    <col customWidth="1" min="18" max="19" width="17.0"/>
    <col customWidth="1" min="20" max="22" width="17.57"/>
    <col customWidth="1" min="23" max="23" width="95.43"/>
    <col customWidth="1" min="24" max="27" width="10.71"/>
    <col customWidth="1" min="28" max="28" width="500.0"/>
    <col customWidth="1" min="29" max="30" width="10.71"/>
  </cols>
  <sheetData>
    <row r="1">
      <c r="A1" s="52" t="s">
        <v>0</v>
      </c>
      <c r="B1" s="1" t="s">
        <v>1</v>
      </c>
      <c r="C1" s="53" t="s">
        <v>775</v>
      </c>
      <c r="D1" s="53" t="s">
        <v>776</v>
      </c>
      <c r="E1" s="53" t="s">
        <v>777</v>
      </c>
      <c r="F1" s="53" t="s">
        <v>8</v>
      </c>
      <c r="G1" s="53" t="s">
        <v>9</v>
      </c>
      <c r="H1" s="53" t="s">
        <v>6</v>
      </c>
      <c r="I1" s="53" t="s">
        <v>11</v>
      </c>
      <c r="J1" s="53" t="s">
        <v>778</v>
      </c>
      <c r="K1" s="53" t="s">
        <v>16</v>
      </c>
      <c r="L1" s="53" t="s">
        <v>778</v>
      </c>
      <c r="M1" s="53" t="s">
        <v>17</v>
      </c>
      <c r="N1" s="53" t="s">
        <v>778</v>
      </c>
      <c r="O1" s="53" t="s">
        <v>779</v>
      </c>
      <c r="P1" s="53" t="s">
        <v>778</v>
      </c>
      <c r="Q1" s="53" t="s">
        <v>780</v>
      </c>
      <c r="R1" s="37" t="s">
        <v>21</v>
      </c>
      <c r="S1" s="53" t="s">
        <v>781</v>
      </c>
      <c r="T1" s="37" t="s">
        <v>21</v>
      </c>
      <c r="U1" s="52" t="s">
        <v>782</v>
      </c>
      <c r="V1" s="37" t="s">
        <v>21</v>
      </c>
      <c r="W1" s="54" t="s">
        <v>783</v>
      </c>
      <c r="X1" s="54" t="s">
        <v>784</v>
      </c>
      <c r="Y1" s="54" t="s">
        <v>26</v>
      </c>
      <c r="Z1" s="38" t="s">
        <v>30</v>
      </c>
      <c r="AA1" s="38" t="s">
        <v>31</v>
      </c>
      <c r="AB1" s="54" t="s">
        <v>32</v>
      </c>
    </row>
    <row r="2">
      <c r="A2" s="55">
        <v>25383.0</v>
      </c>
      <c r="B2" s="5" t="s">
        <v>785</v>
      </c>
      <c r="C2" s="32" t="s">
        <v>786</v>
      </c>
      <c r="D2" s="32" t="s">
        <v>787</v>
      </c>
      <c r="E2" s="32" t="s">
        <v>788</v>
      </c>
      <c r="F2" s="32" t="s">
        <v>789</v>
      </c>
      <c r="G2" s="32" t="s">
        <v>790</v>
      </c>
      <c r="H2" s="32" t="s">
        <v>791</v>
      </c>
      <c r="I2" s="32">
        <v>25.0</v>
      </c>
      <c r="J2" s="32" t="s">
        <v>42</v>
      </c>
      <c r="K2" s="32">
        <v>218.5</v>
      </c>
      <c r="L2" s="32" t="s">
        <v>42</v>
      </c>
      <c r="M2" s="32">
        <v>2900.0</v>
      </c>
      <c r="N2" s="32" t="s">
        <v>42</v>
      </c>
      <c r="O2" s="32">
        <v>0.64</v>
      </c>
      <c r="P2" s="32" t="s">
        <v>46</v>
      </c>
      <c r="Q2" s="43">
        <f>S2*O2</f>
        <v>28.288</v>
      </c>
      <c r="R2" s="32" t="s">
        <v>792</v>
      </c>
      <c r="S2" s="32">
        <v>44.2</v>
      </c>
      <c r="T2" s="32" t="s">
        <v>792</v>
      </c>
      <c r="U2" s="35">
        <f t="shared" ref="U2:U25" si="1">Q2/M2*1000</f>
        <v>9.754482759</v>
      </c>
      <c r="V2" s="32" t="s">
        <v>792</v>
      </c>
      <c r="W2" s="43" t="str">
        <f>CONCATENATE(A2,"-1.jpg; ",A2,"-2.jpg; ",A2,"-3.jpg")</f>
        <v>25383-1.jpg; 25383-2.jpg; 25383-3.jpg</v>
      </c>
      <c r="AB2" s="43" t="str">
        <f>IFERROR(__xludf.DUMMYFUNCTION("ai(""breve descripcion de este producto"")"),"Este revestimiento exterior de la marca Max Core, línea Alistonado 5 varillas en color Smoke Grey, está fabricado en WPC (madera compuesta de polímero y fibra). Es un material duradero, resistente a la humedad, la decoloración y los insectos, diseñado par"&amp;"a fachadas modernas que buscan la estética de la madera sin necesidad de mantenimiento periódico. Cada tabla tiene un espesor de 25 mm, un ancho de 218.5 mm y un largo de 2900 mm, cubriendo una superficie de 0.64 m2.")</f>
        <v>Este revestimiento exterior de la marca Max Core, línea Alistonado 5 varillas en color Smoke Grey, está fabricado en WPC (madera compuesta de polímero y fibra). Es un material duradero, resistente a la humedad, la decoloración y los insectos, diseñado para fachadas modernas que buscan la estética de la madera sin necesidad de mantenimiento periódico. Cada tabla tiene un espesor de 25 mm, un ancho de 218.5 mm y un largo de 2900 mm, cubriendo una superficie de 0.64 m2.</v>
      </c>
    </row>
    <row r="3">
      <c r="A3" s="55">
        <v>24768.0</v>
      </c>
      <c r="B3" s="5" t="s">
        <v>785</v>
      </c>
      <c r="C3" s="32" t="s">
        <v>793</v>
      </c>
      <c r="D3" s="32" t="s">
        <v>787</v>
      </c>
      <c r="E3" s="32" t="s">
        <v>788</v>
      </c>
      <c r="F3" s="32" t="s">
        <v>789</v>
      </c>
      <c r="G3" s="32" t="s">
        <v>793</v>
      </c>
      <c r="H3" s="32" t="s">
        <v>794</v>
      </c>
      <c r="I3" s="32">
        <v>20.0</v>
      </c>
      <c r="J3" s="32" t="s">
        <v>42</v>
      </c>
      <c r="K3" s="32">
        <v>40.0</v>
      </c>
      <c r="L3" s="32" t="s">
        <v>42</v>
      </c>
      <c r="M3" s="32">
        <v>2900.0</v>
      </c>
      <c r="N3" s="32" t="s">
        <v>42</v>
      </c>
      <c r="O3" s="32">
        <v>1.0</v>
      </c>
      <c r="P3" s="32" t="s">
        <v>795</v>
      </c>
      <c r="Q3" s="32">
        <v>11.8</v>
      </c>
      <c r="R3" s="32" t="s">
        <v>792</v>
      </c>
      <c r="U3" s="35">
        <f t="shared" si="1"/>
        <v>4.068965517</v>
      </c>
      <c r="V3" s="32" t="s">
        <v>792</v>
      </c>
      <c r="W3" s="43" t="str">
        <f>CONCATENATE(A3,"-1.jpg; ",A3,"-2.jpg")</f>
        <v>24768-1.jpg; 24768-2.jpg</v>
      </c>
      <c r="AB3" s="43" t="str">
        <f>IFERROR(__xludf.DUMMYFUNCTION("ai(""breve descripcion de este producto"")"),"Este perfil exterior de la marca Max Core, línea Perfil en color Roble, está fabricado en WPC (madera compuesta de polímero y fibra). Es un material de alta durabilidad, resistente a la humedad, insectos, hongos y a la radiación UV, ideal para terminacion"&amp;"es en esquinas o bordes de fachadas que requieren la estética de la madera sin necesidad de mantenimiento como barniz o pintura. Cada unidad tiene un espesor de 20 mm, un ancho de 40 mm y un largo de 2900 mm.")</f>
        <v>Este perfil exterior de la marca Max Core, línea Perfil en color Roble, está fabricado en WPC (madera compuesta de polímero y fibra). Es un material de alta durabilidad, resistente a la humedad, insectos, hongos y a la radiación UV, ideal para terminaciones en esquinas o bordes de fachadas que requieren la estética de la madera sin necesidad de mantenimiento como barniz o pintura. Cada unidad tiene un espesor de 20 mm, un ancho de 40 mm y un largo de 2900 mm.</v>
      </c>
    </row>
    <row r="4">
      <c r="A4" s="55">
        <v>25384.0</v>
      </c>
      <c r="B4" s="5" t="s">
        <v>785</v>
      </c>
      <c r="C4" s="32" t="s">
        <v>786</v>
      </c>
      <c r="D4" s="32" t="s">
        <v>787</v>
      </c>
      <c r="E4" s="32" t="s">
        <v>788</v>
      </c>
      <c r="F4" s="32" t="s">
        <v>789</v>
      </c>
      <c r="G4" s="32" t="s">
        <v>790</v>
      </c>
      <c r="H4" s="32" t="s">
        <v>796</v>
      </c>
      <c r="I4" s="32">
        <v>25.0</v>
      </c>
      <c r="J4" s="32" t="s">
        <v>42</v>
      </c>
      <c r="K4" s="32">
        <v>218.5</v>
      </c>
      <c r="L4" s="32" t="s">
        <v>42</v>
      </c>
      <c r="M4" s="32">
        <v>2900.0</v>
      </c>
      <c r="N4" s="32" t="s">
        <v>42</v>
      </c>
      <c r="O4" s="32">
        <v>0.64</v>
      </c>
      <c r="P4" s="32" t="s">
        <v>46</v>
      </c>
      <c r="Q4" s="43">
        <f t="shared" ref="Q4:Q6" si="2">S4*O4</f>
        <v>28.288</v>
      </c>
      <c r="R4" s="32" t="s">
        <v>792</v>
      </c>
      <c r="S4" s="32">
        <v>44.2</v>
      </c>
      <c r="T4" s="32" t="s">
        <v>792</v>
      </c>
      <c r="U4" s="35">
        <f t="shared" si="1"/>
        <v>9.754482759</v>
      </c>
      <c r="V4" s="32" t="s">
        <v>792</v>
      </c>
      <c r="W4" s="43" t="str">
        <f t="shared" ref="W4:W6" si="3">CONCATENATE(A4,"-1.jpg; ",A4,"-2.jpg; ",A4,"-3.jpg")</f>
        <v>25384-1.jpg; 25384-2.jpg; 25384-3.jpg</v>
      </c>
      <c r="AB4" s="43" t="str">
        <f>IFERROR(__xludf.DUMMYFUNCTION("ai(""breve descripcion de este producto"")"),"Este revestimiento exterior de la marca Max Core, línea Alistonado 5 varillas en color Maple, está fabricado en WPC (madera compuesta de polímero y fibra). Es un material duradero, ecológico y resistente a la humedad, los rayos UV y las inclemencias del t"&amp;"iempo, diseñado para fachadas que buscan la estética de la madera sin necesidad de mantenimiento periódico. Cada tabla tiene un espesor de 25 mm, un ancho de 218.5 mm y un largo de 2900 mm, cubriendo una superficie de 0.64 m2.")</f>
        <v>Este revestimiento exterior de la marca Max Core, línea Alistonado 5 varillas en color Maple, está fabricado en WPC (madera compuesta de polímero y fibra). Es un material duradero, ecológico y resistente a la humedad, los rayos UV y las inclemencias del tiempo, diseñado para fachadas que buscan la estética de la madera sin necesidad de mantenimiento periódico. Cada tabla tiene un espesor de 25 mm, un ancho de 218.5 mm y un largo de 2900 mm, cubriendo una superficie de 0.64 m2.</v>
      </c>
    </row>
    <row r="5">
      <c r="A5" s="55">
        <v>25385.0</v>
      </c>
      <c r="B5" s="5" t="s">
        <v>785</v>
      </c>
      <c r="C5" s="32" t="s">
        <v>786</v>
      </c>
      <c r="D5" s="32" t="s">
        <v>787</v>
      </c>
      <c r="E5" s="32" t="s">
        <v>788</v>
      </c>
      <c r="F5" s="32" t="s">
        <v>789</v>
      </c>
      <c r="G5" s="32" t="s">
        <v>797</v>
      </c>
      <c r="H5" s="32" t="s">
        <v>798</v>
      </c>
      <c r="I5" s="32">
        <v>18.0</v>
      </c>
      <c r="J5" s="32" t="s">
        <v>42</v>
      </c>
      <c r="K5" s="32">
        <v>208.0</v>
      </c>
      <c r="L5" s="32" t="s">
        <v>42</v>
      </c>
      <c r="M5" s="32">
        <v>2900.0</v>
      </c>
      <c r="N5" s="32" t="s">
        <v>42</v>
      </c>
      <c r="O5" s="32">
        <v>0.61</v>
      </c>
      <c r="P5" s="32" t="s">
        <v>46</v>
      </c>
      <c r="Q5" s="43">
        <f t="shared" si="2"/>
        <v>26.962</v>
      </c>
      <c r="R5" s="32" t="s">
        <v>792</v>
      </c>
      <c r="S5" s="32">
        <v>44.2</v>
      </c>
      <c r="T5" s="32" t="s">
        <v>792</v>
      </c>
      <c r="U5" s="35">
        <f t="shared" si="1"/>
        <v>9.297241379</v>
      </c>
      <c r="V5" s="32" t="s">
        <v>792</v>
      </c>
      <c r="W5" s="43" t="str">
        <f t="shared" si="3"/>
        <v>25385-1.jpg; 25385-2.jpg; 25385-3.jpg</v>
      </c>
      <c r="AB5" s="32" t="s">
        <v>799</v>
      </c>
    </row>
    <row r="6">
      <c r="A6" s="55">
        <v>25386.0</v>
      </c>
      <c r="B6" s="5" t="s">
        <v>785</v>
      </c>
      <c r="C6" s="32" t="s">
        <v>786</v>
      </c>
      <c r="D6" s="32" t="s">
        <v>787</v>
      </c>
      <c r="E6" s="32" t="s">
        <v>788</v>
      </c>
      <c r="F6" s="32" t="s">
        <v>789</v>
      </c>
      <c r="G6" s="32" t="s">
        <v>797</v>
      </c>
      <c r="H6" s="32" t="s">
        <v>800</v>
      </c>
      <c r="I6" s="32">
        <v>18.0</v>
      </c>
      <c r="J6" s="32" t="s">
        <v>42</v>
      </c>
      <c r="K6" s="32">
        <v>208.0</v>
      </c>
      <c r="L6" s="32" t="s">
        <v>42</v>
      </c>
      <c r="M6" s="32">
        <v>2900.0</v>
      </c>
      <c r="N6" s="32" t="s">
        <v>42</v>
      </c>
      <c r="O6" s="32">
        <v>0.61</v>
      </c>
      <c r="P6" s="32" t="s">
        <v>46</v>
      </c>
      <c r="Q6" s="43">
        <f t="shared" si="2"/>
        <v>26.962</v>
      </c>
      <c r="R6" s="32" t="s">
        <v>792</v>
      </c>
      <c r="S6" s="32">
        <v>44.2</v>
      </c>
      <c r="T6" s="32" t="s">
        <v>792</v>
      </c>
      <c r="U6" s="35">
        <f t="shared" si="1"/>
        <v>9.297241379</v>
      </c>
      <c r="V6" s="32" t="s">
        <v>792</v>
      </c>
      <c r="W6" s="43" t="str">
        <f t="shared" si="3"/>
        <v>25386-1.jpg; 25386-2.jpg; 25386-3.jpg</v>
      </c>
      <c r="AB6" s="43" t="str">
        <f>IFERROR(__xludf.DUMMYFUNCTION("ai(""breve descripcion de este producto"")"),"Este revestimiento exterior de la marca Max Core, línea Horizon en color Lapacho KC6, está fabricado en WPC (madera compuesta de polímero y fibra). Es un material duradero, resistente a la humedad, el calor y la putrefacción, diseñado para fachadas modern"&amp;"as que no requieren mantenimiento de pintura. Cada tabla tiene un espesor de 18 mm, un ancho de 208 mm y un largo de 2900 mm, cubriendo una superficie de 0.61 m2.")</f>
        <v>Este revestimiento exterior de la marca Max Core, línea Horizon en color Lapacho KC6, está fabricado en WPC (madera compuesta de polímero y fibra). Es un material duradero, resistente a la humedad, el calor y la putrefacción, diseñado para fachadas modernas que no requieren mantenimiento de pintura. Cada tabla tiene un espesor de 18 mm, un ancho de 208 mm y un largo de 2900 mm, cubriendo una superficie de 0.61 m2.</v>
      </c>
    </row>
    <row r="7" ht="15.75" customHeight="1">
      <c r="A7" s="55">
        <v>24769.0</v>
      </c>
      <c r="B7" s="5" t="s">
        <v>785</v>
      </c>
      <c r="C7" s="32" t="s">
        <v>793</v>
      </c>
      <c r="D7" s="32" t="s">
        <v>787</v>
      </c>
      <c r="E7" s="32" t="s">
        <v>788</v>
      </c>
      <c r="F7" s="32" t="s">
        <v>789</v>
      </c>
      <c r="G7" s="32" t="s">
        <v>793</v>
      </c>
      <c r="H7" s="32" t="s">
        <v>801</v>
      </c>
      <c r="I7" s="32">
        <v>20.0</v>
      </c>
      <c r="J7" s="32" t="s">
        <v>42</v>
      </c>
      <c r="K7" s="32">
        <v>40.0</v>
      </c>
      <c r="L7" s="32" t="s">
        <v>42</v>
      </c>
      <c r="M7" s="32">
        <v>2900.0</v>
      </c>
      <c r="N7" s="32" t="s">
        <v>42</v>
      </c>
      <c r="O7" s="32">
        <v>1.0</v>
      </c>
      <c r="P7" s="32" t="s">
        <v>795</v>
      </c>
      <c r="Q7" s="32">
        <v>11.8</v>
      </c>
      <c r="R7" s="32" t="s">
        <v>792</v>
      </c>
      <c r="U7" s="35">
        <f t="shared" si="1"/>
        <v>4.068965517</v>
      </c>
      <c r="W7" s="43" t="str">
        <f t="shared" ref="W7:W25" si="4">CONCATENATE(A7,"-1.jpg; ",A7,"-2.jpg")</f>
        <v>24769-1.jpg; 24769-2.jpg</v>
      </c>
      <c r="AB7" s="43" t="str">
        <f>IFERROR(__xludf.DUMMYFUNCTION("ai(""breve descripcion de este producto"")"),"Este perfil exterior de la marca Max Core, línea Perfil en color Tabaco, está fabricado en WPC (madera compuesta de polímero y fibra). Es un material duradero, de larga vida útil y libre de mantenimiento, diseñado para realzar fachadas, pérgolas y otros e"&amp;"spacios exteriores con una estética similar a la madera. Cada unidad tiene un espesor de 20 mm, un ancho de 40 mm y un largo de 2900 mm.")</f>
        <v>Este perfil exterior de la marca Max Core, línea Perfil en color Tabaco, está fabricado en WPC (madera compuesta de polímero y fibra). Es un material duradero, de larga vida útil y libre de mantenimiento, diseñado para realzar fachadas, pérgolas y otros espacios exteriores con una estética similar a la madera. Cada unidad tiene un espesor de 20 mm, un ancho de 40 mm y un largo de 2900 mm.</v>
      </c>
    </row>
    <row r="8" ht="15.75" customHeight="1">
      <c r="A8" s="55">
        <v>22616.0</v>
      </c>
      <c r="B8" s="5" t="s">
        <v>785</v>
      </c>
      <c r="C8" s="32" t="s">
        <v>793</v>
      </c>
      <c r="D8" s="32" t="s">
        <v>787</v>
      </c>
      <c r="E8" s="32" t="s">
        <v>788</v>
      </c>
      <c r="F8" s="32" t="s">
        <v>789</v>
      </c>
      <c r="G8" s="32" t="s">
        <v>793</v>
      </c>
      <c r="H8" s="32" t="s">
        <v>794</v>
      </c>
      <c r="I8" s="32">
        <v>40.0</v>
      </c>
      <c r="J8" s="32" t="s">
        <v>42</v>
      </c>
      <c r="K8" s="32">
        <v>60.0</v>
      </c>
      <c r="L8" s="32" t="s">
        <v>42</v>
      </c>
      <c r="M8" s="32">
        <v>2900.0</v>
      </c>
      <c r="N8" s="32" t="s">
        <v>42</v>
      </c>
      <c r="O8" s="32">
        <v>1.0</v>
      </c>
      <c r="P8" s="32" t="s">
        <v>795</v>
      </c>
      <c r="Q8" s="32">
        <v>13.25</v>
      </c>
      <c r="R8" s="32" t="s">
        <v>792</v>
      </c>
      <c r="U8" s="35">
        <f t="shared" si="1"/>
        <v>4.568965517</v>
      </c>
      <c r="W8" s="43" t="str">
        <f t="shared" si="4"/>
        <v>22616-1.jpg; 22616-2.jpg</v>
      </c>
      <c r="AB8" s="43" t="str">
        <f>IFERROR(__xludf.DUMMYFUNCTION("ai(""breve descripcion de este producto"")"),"Este perfil de la marca Max Core, línea Perfil en color Roble, está fabricado en WPC (madera compuesta de polímero y fibra). Es un componente duradero y resistente diseñado para uso exterior, ideal para terminaciones en fachadas y muros que buscan la esté"&amp;"tica de la madera natural sin necesidad de mantenimiento constante. Cada unidad tiene un espesor de 40 mm, un ancho de 60 mm y un largo de 2900 mm.")</f>
        <v>Este perfil de la marca Max Core, línea Perfil en color Roble, está fabricado en WPC (madera compuesta de polímero y fibra). Es un componente duradero y resistente diseñado para uso exterior, ideal para terminaciones en fachadas y muros que buscan la estética de la madera natural sin necesidad de mantenimiento constante. Cada unidad tiene un espesor de 40 mm, un ancho de 60 mm y un largo de 2900 mm.</v>
      </c>
    </row>
    <row r="9" ht="15.75" customHeight="1">
      <c r="A9" s="55">
        <v>22617.0</v>
      </c>
      <c r="B9" s="5" t="s">
        <v>785</v>
      </c>
      <c r="C9" s="32" t="s">
        <v>793</v>
      </c>
      <c r="D9" s="32" t="s">
        <v>787</v>
      </c>
      <c r="E9" s="32" t="s">
        <v>788</v>
      </c>
      <c r="F9" s="32" t="s">
        <v>789</v>
      </c>
      <c r="G9" s="32" t="s">
        <v>793</v>
      </c>
      <c r="H9" s="32" t="s">
        <v>801</v>
      </c>
      <c r="I9" s="32">
        <v>40.0</v>
      </c>
      <c r="J9" s="32" t="s">
        <v>42</v>
      </c>
      <c r="K9" s="32">
        <v>60.0</v>
      </c>
      <c r="L9" s="32" t="s">
        <v>42</v>
      </c>
      <c r="M9" s="32">
        <v>2900.0</v>
      </c>
      <c r="N9" s="32" t="s">
        <v>42</v>
      </c>
      <c r="O9" s="32">
        <v>1.0</v>
      </c>
      <c r="P9" s="32" t="s">
        <v>795</v>
      </c>
      <c r="Q9" s="32">
        <v>13.25</v>
      </c>
      <c r="R9" s="32" t="s">
        <v>792</v>
      </c>
      <c r="U9" s="35">
        <f t="shared" si="1"/>
        <v>4.568965517</v>
      </c>
      <c r="W9" s="43" t="str">
        <f t="shared" si="4"/>
        <v>22617-1.jpg; 22617-2.jpg</v>
      </c>
      <c r="AB9" s="43" t="str">
        <f>IFERROR(__xludf.DUMMYFUNCTION("ai(""breve descripcion de este producto"")"),"Este perfil exterior de la marca Max Core, línea Perfil en color Tabaco, está fabricado en WPC (madera compuesta de polímero y fibra). Es un material resistente, ecológico y libre de mantenimiento, ideal para estructuras como columnas, parasoles, pérgolas"&amp;" y divisores decorativos al aire libre. Cada unidad tiene un espesor de 40 mm, un ancho de 60 mm y un largo de 2900 mm.")</f>
        <v>Este perfil exterior de la marca Max Core, línea Perfil en color Tabaco, está fabricado en WPC (madera compuesta de polímero y fibra). Es un material resistente, ecológico y libre de mantenimiento, ideal para estructuras como columnas, parasoles, pérgolas y divisores decorativos al aire libre. Cada unidad tiene un espesor de 40 mm, un ancho de 60 mm y un largo de 2900 mm.</v>
      </c>
    </row>
    <row r="10" ht="15.75" customHeight="1">
      <c r="A10" s="55">
        <v>22868.0</v>
      </c>
      <c r="B10" s="5" t="s">
        <v>785</v>
      </c>
      <c r="C10" s="32" t="s">
        <v>793</v>
      </c>
      <c r="D10" s="32" t="s">
        <v>787</v>
      </c>
      <c r="E10" s="32" t="s">
        <v>788</v>
      </c>
      <c r="F10" s="32" t="s">
        <v>789</v>
      </c>
      <c r="G10" s="32" t="s">
        <v>793</v>
      </c>
      <c r="H10" s="32" t="s">
        <v>802</v>
      </c>
      <c r="I10" s="32">
        <v>40.0</v>
      </c>
      <c r="J10" s="32" t="s">
        <v>42</v>
      </c>
      <c r="K10" s="32">
        <v>60.0</v>
      </c>
      <c r="L10" s="32" t="s">
        <v>42</v>
      </c>
      <c r="M10" s="32">
        <v>2900.0</v>
      </c>
      <c r="N10" s="32" t="s">
        <v>42</v>
      </c>
      <c r="O10" s="32">
        <v>1.0</v>
      </c>
      <c r="P10" s="32" t="s">
        <v>795</v>
      </c>
      <c r="Q10" s="32">
        <v>13.25</v>
      </c>
      <c r="R10" s="32" t="s">
        <v>792</v>
      </c>
      <c r="U10" s="35">
        <f t="shared" si="1"/>
        <v>4.568965517</v>
      </c>
      <c r="W10" s="43" t="str">
        <f t="shared" si="4"/>
        <v>22868-1.jpg; 22868-2.jpg</v>
      </c>
      <c r="AB10" s="43" t="str">
        <f>IFERROR(__xludf.DUMMYFUNCTION("ai(""breve descripcion de este producto"")"),"Este perfil exterior de la marca Max Core, línea Perfil en color Roble Gris, está fabricado en WPC (madera compuesta de polímero y fibra). Es un material duradero, resistente a la humedad y de bajo mantenimiento, diseñado como accesorio para terminaciones"&amp;" en proyectos de exterior. Cada unidad tiene un espesor de 40 mm, un ancho de 60 mm y un largo de 2900 mm.")</f>
        <v>Este perfil exterior de la marca Max Core, línea Perfil en color Roble Gris, está fabricado en WPC (madera compuesta de polímero y fibra). Es un material duradero, resistente a la humedad y de bajo mantenimiento, diseñado como accesorio para terminaciones en proyectos de exterior. Cada unidad tiene un espesor de 40 mm, un ancho de 60 mm y un largo de 2900 mm.</v>
      </c>
    </row>
    <row r="11" ht="15.75" customHeight="1">
      <c r="A11" s="55">
        <v>24748.0</v>
      </c>
      <c r="B11" s="5" t="s">
        <v>785</v>
      </c>
      <c r="C11" s="32" t="s">
        <v>793</v>
      </c>
      <c r="D11" s="32" t="s">
        <v>787</v>
      </c>
      <c r="E11" s="32" t="s">
        <v>788</v>
      </c>
      <c r="F11" s="32" t="s">
        <v>789</v>
      </c>
      <c r="G11" s="32" t="s">
        <v>793</v>
      </c>
      <c r="H11" s="32" t="s">
        <v>803</v>
      </c>
      <c r="I11" s="32">
        <v>40.0</v>
      </c>
      <c r="J11" s="32" t="s">
        <v>42</v>
      </c>
      <c r="K11" s="32">
        <v>60.0</v>
      </c>
      <c r="L11" s="32" t="s">
        <v>42</v>
      </c>
      <c r="M11" s="32">
        <v>2900.0</v>
      </c>
      <c r="N11" s="32" t="s">
        <v>42</v>
      </c>
      <c r="O11" s="32">
        <v>1.0</v>
      </c>
      <c r="P11" s="32" t="s">
        <v>795</v>
      </c>
      <c r="Q11" s="32">
        <v>13.25</v>
      </c>
      <c r="R11" s="32" t="s">
        <v>792</v>
      </c>
      <c r="U11" s="35">
        <f t="shared" si="1"/>
        <v>4.568965517</v>
      </c>
      <c r="W11" s="43" t="str">
        <f t="shared" si="4"/>
        <v>24748-1.jpg; 24748-2.jpg</v>
      </c>
      <c r="AB11" s="32" t="s">
        <v>804</v>
      </c>
    </row>
    <row r="12" ht="15.75" customHeight="1">
      <c r="A12" s="55">
        <v>22618.0</v>
      </c>
      <c r="B12" s="5" t="s">
        <v>785</v>
      </c>
      <c r="C12" s="32" t="s">
        <v>793</v>
      </c>
      <c r="D12" s="32" t="s">
        <v>787</v>
      </c>
      <c r="E12" s="32" t="s">
        <v>788</v>
      </c>
      <c r="F12" s="32" t="s">
        <v>789</v>
      </c>
      <c r="G12" s="32" t="s">
        <v>793</v>
      </c>
      <c r="H12" s="32" t="s">
        <v>794</v>
      </c>
      <c r="I12" s="32">
        <v>50.0</v>
      </c>
      <c r="J12" s="32" t="s">
        <v>42</v>
      </c>
      <c r="K12" s="32">
        <v>100.0</v>
      </c>
      <c r="L12" s="32" t="s">
        <v>42</v>
      </c>
      <c r="M12" s="32">
        <v>2900.0</v>
      </c>
      <c r="N12" s="32" t="s">
        <v>42</v>
      </c>
      <c r="O12" s="32">
        <v>1.0</v>
      </c>
      <c r="P12" s="32" t="s">
        <v>795</v>
      </c>
      <c r="Q12" s="32">
        <v>24.4</v>
      </c>
      <c r="R12" s="32" t="s">
        <v>792</v>
      </c>
      <c r="U12" s="35">
        <f t="shared" si="1"/>
        <v>8.413793103</v>
      </c>
      <c r="W12" s="43" t="str">
        <f t="shared" si="4"/>
        <v>22618-1.jpg; 22618-2.jpg</v>
      </c>
      <c r="AB12" s="43" t="str">
        <f>IFERROR(__xludf.DUMMYFUNCTION("ai(""breve descripcion de este producto"")"),"Este perfil exterior de la marca Max Core, línea Perfil en color Roble, está fabricado en WPC (madera compuesta de polímero y fibra). Es un accesorio estructural y decorativo diseñado para rematar, proteger y dar un acabado estético a fachadas, pérgolas, "&amp;"cercas y parasoles, ofreciendo la apariencia de la madera sin necesidad de mantenimiento. Es un material duradero, resistente a la humedad, insectos, hongos y radiación UV, ideal para uso en exteriores. Cada unidad tiene un espesor de 50 mm, un ancho de 1"&amp;"00 mm y un largo de 2900 mm.")</f>
        <v>Este perfil exterior de la marca Max Core, línea Perfil en color Roble, está fabricado en WPC (madera compuesta de polímero y fibra). Es un accesorio estructural y decorativo diseñado para rematar, proteger y dar un acabado estético a fachadas, pérgolas, cercas y parasoles, ofreciendo la apariencia de la madera sin necesidad de mantenimiento. Es un material duradero, resistente a la humedad, insectos, hongos y radiación UV, ideal para uso en exteriores. Cada unidad tiene un espesor de 50 mm, un ancho de 100 mm y un largo de 2900 mm.</v>
      </c>
    </row>
    <row r="13" ht="15.75" customHeight="1">
      <c r="A13" s="55">
        <v>22619.0</v>
      </c>
      <c r="B13" s="5" t="s">
        <v>785</v>
      </c>
      <c r="C13" s="32" t="s">
        <v>793</v>
      </c>
      <c r="D13" s="32" t="s">
        <v>787</v>
      </c>
      <c r="E13" s="32" t="s">
        <v>788</v>
      </c>
      <c r="F13" s="32" t="s">
        <v>789</v>
      </c>
      <c r="G13" s="32" t="s">
        <v>793</v>
      </c>
      <c r="H13" s="32" t="s">
        <v>801</v>
      </c>
      <c r="I13" s="32">
        <v>50.0</v>
      </c>
      <c r="J13" s="32" t="s">
        <v>42</v>
      </c>
      <c r="K13" s="32">
        <v>100.0</v>
      </c>
      <c r="L13" s="32" t="s">
        <v>42</v>
      </c>
      <c r="M13" s="32">
        <v>2900.0</v>
      </c>
      <c r="N13" s="32" t="s">
        <v>42</v>
      </c>
      <c r="O13" s="32">
        <v>1.0</v>
      </c>
      <c r="P13" s="32" t="s">
        <v>795</v>
      </c>
      <c r="Q13" s="32">
        <v>24.4</v>
      </c>
      <c r="R13" s="32" t="s">
        <v>792</v>
      </c>
      <c r="U13" s="35">
        <f t="shared" si="1"/>
        <v>8.413793103</v>
      </c>
      <c r="W13" s="43" t="str">
        <f t="shared" si="4"/>
        <v>22619-1.jpg; 22619-2.jpg</v>
      </c>
      <c r="AB13" s="43" t="str">
        <f>IFERROR(__xludf.DUMMYFUNCTION("ai(""breve descripcion de este producto"")"),"Este perfil exterior de la marca Max Core, línea Perfil en color Tabaco, está fabricado en WPC (madera compuesta de polímero y fibra). Es un material de alta resistencia y durabilidad, 100% libre de mantenimiento, ideal para estructuras, divisores y aplic"&amp;"aciones decorativas en exteriores. Cada unidad tiene un espesor de 50 mm, un ancho de 100 mm y un largo de 2900 mm.")</f>
        <v>Este perfil exterior de la marca Max Core, línea Perfil en color Tabaco, está fabricado en WPC (madera compuesta de polímero y fibra). Es un material de alta resistencia y durabilidad, 100% libre de mantenimiento, ideal para estructuras, divisores y aplicaciones decorativas en exteriores. Cada unidad tiene un espesor de 50 mm, un ancho de 100 mm y un largo de 2900 mm.</v>
      </c>
    </row>
    <row r="14" ht="15.75" customHeight="1">
      <c r="A14" s="55">
        <v>22621.0</v>
      </c>
      <c r="B14" s="5" t="s">
        <v>785</v>
      </c>
      <c r="C14" s="32" t="s">
        <v>793</v>
      </c>
      <c r="D14" s="32" t="s">
        <v>787</v>
      </c>
      <c r="E14" s="32" t="s">
        <v>788</v>
      </c>
      <c r="F14" s="32" t="s">
        <v>789</v>
      </c>
      <c r="G14" s="32" t="s">
        <v>793</v>
      </c>
      <c r="H14" s="32" t="s">
        <v>802</v>
      </c>
      <c r="I14" s="32">
        <v>50.0</v>
      </c>
      <c r="J14" s="32" t="s">
        <v>42</v>
      </c>
      <c r="K14" s="32">
        <v>100.0</v>
      </c>
      <c r="L14" s="32" t="s">
        <v>42</v>
      </c>
      <c r="M14" s="32">
        <v>2900.0</v>
      </c>
      <c r="N14" s="32" t="s">
        <v>42</v>
      </c>
      <c r="O14" s="32">
        <v>1.0</v>
      </c>
      <c r="P14" s="32" t="s">
        <v>795</v>
      </c>
      <c r="Q14" s="32">
        <v>24.4</v>
      </c>
      <c r="R14" s="32" t="s">
        <v>792</v>
      </c>
      <c r="U14" s="35">
        <f t="shared" si="1"/>
        <v>8.413793103</v>
      </c>
      <c r="W14" s="43" t="str">
        <f t="shared" si="4"/>
        <v>22621-1.jpg; 22621-2.jpg</v>
      </c>
      <c r="AB14" s="43" t="str">
        <f>IFERROR(__xludf.DUMMYFUNCTION("ai(""breve descripcion de este producto"")"),"Este perfil exterior de la marca Max Core, línea Perfil en color Roble Gris, está fabricado en WPC. Es un material duradero y resistente a la humedad, diseñado para fachadas que buscan la estética de la madera sin mantenimiento periódico. Cada unidad tien"&amp;"e un espesor de 50 mm, un ancho de 100 mm y un largo de 2900 mm.")</f>
        <v>Este perfil exterior de la marca Max Core, línea Perfil en color Roble Gris, está fabricado en WPC. Es un material duradero y resistente a la humedad, diseñado para fachadas que buscan la estética de la madera sin mantenimiento periódico. Cada unidad tiene un espesor de 50 mm, un ancho de 100 mm y un largo de 2900 mm.</v>
      </c>
    </row>
    <row r="15" ht="15.75" customHeight="1">
      <c r="A15" s="55">
        <v>24747.0</v>
      </c>
      <c r="B15" s="5" t="s">
        <v>785</v>
      </c>
      <c r="C15" s="32" t="s">
        <v>793</v>
      </c>
      <c r="D15" s="32" t="s">
        <v>787</v>
      </c>
      <c r="E15" s="32" t="s">
        <v>788</v>
      </c>
      <c r="F15" s="32" t="s">
        <v>789</v>
      </c>
      <c r="G15" s="32" t="s">
        <v>793</v>
      </c>
      <c r="H15" s="32" t="s">
        <v>803</v>
      </c>
      <c r="I15" s="32">
        <v>50.0</v>
      </c>
      <c r="J15" s="32" t="s">
        <v>42</v>
      </c>
      <c r="K15" s="32">
        <v>100.0</v>
      </c>
      <c r="L15" s="32" t="s">
        <v>42</v>
      </c>
      <c r="M15" s="32">
        <v>2900.0</v>
      </c>
      <c r="N15" s="32" t="s">
        <v>42</v>
      </c>
      <c r="O15" s="32">
        <v>1.0</v>
      </c>
      <c r="P15" s="32" t="s">
        <v>795</v>
      </c>
      <c r="Q15" s="32">
        <v>24.4</v>
      </c>
      <c r="R15" s="32" t="s">
        <v>792</v>
      </c>
      <c r="U15" s="35">
        <f t="shared" si="1"/>
        <v>8.413793103</v>
      </c>
      <c r="W15" s="43" t="str">
        <f t="shared" si="4"/>
        <v>24747-1.jpg; 24747-2.jpg</v>
      </c>
      <c r="AB15" s="32" t="s">
        <v>805</v>
      </c>
    </row>
    <row r="16" ht="15.75" customHeight="1">
      <c r="A16" s="55">
        <v>24169.0</v>
      </c>
      <c r="B16" s="5" t="s">
        <v>785</v>
      </c>
      <c r="C16" s="32" t="s">
        <v>786</v>
      </c>
      <c r="D16" s="32" t="s">
        <v>787</v>
      </c>
      <c r="E16" s="32" t="s">
        <v>788</v>
      </c>
      <c r="F16" s="32" t="s">
        <v>789</v>
      </c>
      <c r="G16" s="32" t="s">
        <v>806</v>
      </c>
      <c r="H16" s="32" t="s">
        <v>807</v>
      </c>
      <c r="I16" s="32">
        <v>25.0</v>
      </c>
      <c r="J16" s="32" t="s">
        <v>42</v>
      </c>
      <c r="K16" s="32">
        <v>219.0</v>
      </c>
      <c r="L16" s="32" t="s">
        <v>42</v>
      </c>
      <c r="M16" s="32">
        <v>2900.0</v>
      </c>
      <c r="N16" s="32" t="s">
        <v>42</v>
      </c>
      <c r="O16" s="32">
        <v>0.64</v>
      </c>
      <c r="P16" s="32" t="s">
        <v>46</v>
      </c>
      <c r="Q16" s="43">
        <f t="shared" ref="Q16:Q25" si="5">S16*O16</f>
        <v>23.872</v>
      </c>
      <c r="R16" s="32" t="s">
        <v>792</v>
      </c>
      <c r="S16" s="32">
        <v>37.3</v>
      </c>
      <c r="T16" s="32" t="s">
        <v>792</v>
      </c>
      <c r="U16" s="35">
        <f t="shared" si="1"/>
        <v>8.231724138</v>
      </c>
      <c r="V16" s="32" t="s">
        <v>792</v>
      </c>
      <c r="W16" s="43" t="str">
        <f t="shared" si="4"/>
        <v>24169-1.jpg; 24169-2.jpg</v>
      </c>
      <c r="AB16" s="43" t="str">
        <f>IFERROR(__xludf.DUMMYFUNCTION("ai(""breve descripcion de este producto"")"),"Este revestimiento exterior de la marca Max Core, línea Acanalado Vertical en color Lapacho, está fabricado en WPC (madera compuesta). Es un material duradero, resistente a la intemperie y libre de mantenimiento, ideal para fachadas modernas que buscan la"&amp;" estética de la madera natural. Cada tabla tiene un espesor de 25 mm, un ancho de 219 mm y un largo de 2900 mm, cubriendo una superficie de 0.64 m2.")</f>
        <v>Este revestimiento exterior de la marca Max Core, línea Acanalado Vertical en color Lapacho, está fabricado en WPC (madera compuesta). Es un material duradero, resistente a la intemperie y libre de mantenimiento, ideal para fachadas modernas que buscan la estética de la madera natural. Cada tabla tiene un espesor de 25 mm, un ancho de 219 mm y un largo de 2900 mm, cubriendo una superficie de 0.64 m2.</v>
      </c>
    </row>
    <row r="17" ht="15.75" customHeight="1">
      <c r="A17" s="55">
        <v>24168.0</v>
      </c>
      <c r="B17" s="5" t="s">
        <v>785</v>
      </c>
      <c r="C17" s="32" t="s">
        <v>786</v>
      </c>
      <c r="D17" s="32" t="s">
        <v>787</v>
      </c>
      <c r="E17" s="32" t="s">
        <v>788</v>
      </c>
      <c r="F17" s="32" t="s">
        <v>789</v>
      </c>
      <c r="G17" s="32" t="s">
        <v>806</v>
      </c>
      <c r="H17" s="32" t="s">
        <v>808</v>
      </c>
      <c r="I17" s="32">
        <v>25.0</v>
      </c>
      <c r="J17" s="32" t="s">
        <v>42</v>
      </c>
      <c r="K17" s="32">
        <v>219.0</v>
      </c>
      <c r="L17" s="32" t="s">
        <v>42</v>
      </c>
      <c r="M17" s="32">
        <v>2900.0</v>
      </c>
      <c r="N17" s="32" t="s">
        <v>42</v>
      </c>
      <c r="O17" s="32">
        <v>0.64</v>
      </c>
      <c r="P17" s="32" t="s">
        <v>46</v>
      </c>
      <c r="Q17" s="43">
        <f t="shared" si="5"/>
        <v>23.872</v>
      </c>
      <c r="R17" s="32" t="s">
        <v>792</v>
      </c>
      <c r="S17" s="32">
        <v>37.3</v>
      </c>
      <c r="T17" s="32" t="s">
        <v>792</v>
      </c>
      <c r="U17" s="35">
        <f t="shared" si="1"/>
        <v>8.231724138</v>
      </c>
      <c r="V17" s="32" t="s">
        <v>792</v>
      </c>
      <c r="W17" s="43" t="str">
        <f t="shared" si="4"/>
        <v>24168-1.jpg; 24168-2.jpg</v>
      </c>
      <c r="AB17" s="43" t="str">
        <f>IFERROR(__xludf.DUMMYFUNCTION("ai(""breve descripcion de este producto"")"),"Este revestimiento exterior de la marca Max Core, línea Acanalado Vertical en color Laos, está fabricado en WPC (madera compuesta de polímero y fibra). Es un material duradero, 100% libre de mantenimiento y resistente a la intemperie, diseñado para fachad"&amp;"as modernas que buscan una estética de madera de fácil instalación. Cada tabla tiene un espesor de 25 mm, un ancho de 219 mm y un largo de 2900 mm, cubriendo una superficie de 0.64 m2.")</f>
        <v>Este revestimiento exterior de la marca Max Core, línea Acanalado Vertical en color Laos, está fabricado en WPC (madera compuesta de polímero y fibra). Es un material duradero, 100% libre de mantenimiento y resistente a la intemperie, diseñado para fachadas modernas que buscan una estética de madera de fácil instalación. Cada tabla tiene un espesor de 25 mm, un ancho de 219 mm y un largo de 2900 mm, cubriendo una superficie de 0.64 m2.</v>
      </c>
    </row>
    <row r="18" ht="15.75" customHeight="1">
      <c r="A18" s="55">
        <v>22544.0</v>
      </c>
      <c r="B18" s="5" t="s">
        <v>785</v>
      </c>
      <c r="C18" s="32" t="s">
        <v>786</v>
      </c>
      <c r="D18" s="32" t="s">
        <v>787</v>
      </c>
      <c r="E18" s="32" t="s">
        <v>788</v>
      </c>
      <c r="F18" s="32" t="s">
        <v>789</v>
      </c>
      <c r="G18" s="32" t="s">
        <v>806</v>
      </c>
      <c r="H18" s="32" t="s">
        <v>801</v>
      </c>
      <c r="I18" s="32">
        <v>25.0</v>
      </c>
      <c r="J18" s="32" t="s">
        <v>42</v>
      </c>
      <c r="K18" s="32">
        <v>219.0</v>
      </c>
      <c r="L18" s="32" t="s">
        <v>42</v>
      </c>
      <c r="M18" s="32">
        <v>2900.0</v>
      </c>
      <c r="N18" s="32" t="s">
        <v>42</v>
      </c>
      <c r="O18" s="32">
        <v>0.64</v>
      </c>
      <c r="P18" s="32" t="s">
        <v>46</v>
      </c>
      <c r="Q18" s="43">
        <f t="shared" si="5"/>
        <v>23.872</v>
      </c>
      <c r="R18" s="32" t="s">
        <v>792</v>
      </c>
      <c r="S18" s="32">
        <v>37.3</v>
      </c>
      <c r="T18" s="32" t="s">
        <v>792</v>
      </c>
      <c r="U18" s="35">
        <f t="shared" si="1"/>
        <v>8.231724138</v>
      </c>
      <c r="V18" s="32" t="s">
        <v>792</v>
      </c>
      <c r="W18" s="43" t="str">
        <f t="shared" si="4"/>
        <v>22544-1.jpg; 22544-2.jpg</v>
      </c>
      <c r="AB18" s="43" t="str">
        <f>IFERROR(__xludf.DUMMYFUNCTION("ai(""breve descripcion de este producto"")"),"Este revestimiento exterior de la marca Max Core, perteneciente a la línea Acanalado Vertical en color Tabaco, está fabricado en WPC (madera compuesta de polímero y fibra). Es un material duradero y resistente a la intemperie, la humedad y los insectos, d"&amp;"iseñado para fachadas modernas que no requieren mantenimiento periódico. Cada tabla tiene un espesor de 25 mm, un ancho de 219 mm y un largo de 2900 mm, cubriendo una superficie de 0.64 m2.")</f>
        <v>Este revestimiento exterior de la marca Max Core, perteneciente a la línea Acanalado Vertical en color Tabaco, está fabricado en WPC (madera compuesta de polímero y fibra). Es un material duradero y resistente a la intemperie, la humedad y los insectos, diseñado para fachadas modernas que no requieren mantenimiento periódico. Cada tabla tiene un espesor de 25 mm, un ancho de 219 mm y un largo de 2900 mm, cubriendo una superficie de 0.64 m2.</v>
      </c>
    </row>
    <row r="19" ht="15.75" customHeight="1">
      <c r="A19" s="55">
        <v>22870.0</v>
      </c>
      <c r="B19" s="5" t="s">
        <v>785</v>
      </c>
      <c r="C19" s="32" t="s">
        <v>786</v>
      </c>
      <c r="D19" s="32" t="s">
        <v>787</v>
      </c>
      <c r="E19" s="32" t="s">
        <v>788</v>
      </c>
      <c r="F19" s="32" t="s">
        <v>789</v>
      </c>
      <c r="G19" s="32" t="s">
        <v>806</v>
      </c>
      <c r="H19" s="32" t="s">
        <v>809</v>
      </c>
      <c r="I19" s="32">
        <v>25.0</v>
      </c>
      <c r="J19" s="32" t="s">
        <v>42</v>
      </c>
      <c r="K19" s="32">
        <v>219.0</v>
      </c>
      <c r="L19" s="32" t="s">
        <v>42</v>
      </c>
      <c r="M19" s="32">
        <v>2900.0</v>
      </c>
      <c r="N19" s="32" t="s">
        <v>42</v>
      </c>
      <c r="O19" s="32">
        <v>0.64</v>
      </c>
      <c r="P19" s="32" t="s">
        <v>46</v>
      </c>
      <c r="Q19" s="43">
        <f t="shared" si="5"/>
        <v>23.872</v>
      </c>
      <c r="R19" s="32" t="s">
        <v>792</v>
      </c>
      <c r="S19" s="32">
        <v>37.3</v>
      </c>
      <c r="T19" s="32" t="s">
        <v>792</v>
      </c>
      <c r="U19" s="35">
        <f t="shared" si="1"/>
        <v>8.231724138</v>
      </c>
      <c r="V19" s="32" t="s">
        <v>792</v>
      </c>
      <c r="W19" s="43" t="str">
        <f t="shared" si="4"/>
        <v>22870-1.jpg; 22870-2.jpg</v>
      </c>
      <c r="AB19" s="43" t="str">
        <f>IFERROR(__xludf.DUMMYFUNCTION("ai(""breve descripcion de este producto"")"),"Este revestimiento exterior de la marca Max Core, línea Acanalado Vertical en color Gris T602, está fabricado en WPC (madera compuesta de polímero y fibra). Es un material duradero, resistente a la humedad, la decoloración y los insectos, diseñado para fa"&amp;"chadas modernas que buscan la estética de la madera sin necesidad de mantenimiento periódico. Cada tabla tiene un espesor de 25 mm, un ancho de 219 mm y un largo de 2900 mm, cubriendo una superficie de 0.64 m2.")</f>
        <v>Este revestimiento exterior de la marca Max Core, línea Acanalado Vertical en color Gris T602, está fabricado en WPC (madera compuesta de polímero y fibra). Es un material duradero, resistente a la humedad, la decoloración y los insectos, diseñado para fachadas modernas que buscan la estética de la madera sin necesidad de mantenimiento periódico. Cada tabla tiene un espesor de 25 mm, un ancho de 219 mm y un largo de 2900 mm, cubriendo una superficie de 0.64 m2.</v>
      </c>
    </row>
    <row r="20" ht="15.75" customHeight="1">
      <c r="A20" s="55">
        <v>22545.0</v>
      </c>
      <c r="B20" s="5" t="s">
        <v>785</v>
      </c>
      <c r="C20" s="32" t="s">
        <v>786</v>
      </c>
      <c r="D20" s="32" t="s">
        <v>787</v>
      </c>
      <c r="E20" s="32" t="s">
        <v>788</v>
      </c>
      <c r="F20" s="32" t="s">
        <v>789</v>
      </c>
      <c r="G20" s="32" t="s">
        <v>806</v>
      </c>
      <c r="H20" s="32" t="s">
        <v>794</v>
      </c>
      <c r="I20" s="32">
        <v>25.0</v>
      </c>
      <c r="J20" s="32" t="s">
        <v>42</v>
      </c>
      <c r="K20" s="32">
        <v>219.0</v>
      </c>
      <c r="L20" s="32" t="s">
        <v>42</v>
      </c>
      <c r="M20" s="32">
        <v>2900.0</v>
      </c>
      <c r="N20" s="32" t="s">
        <v>42</v>
      </c>
      <c r="O20" s="32">
        <v>0.64</v>
      </c>
      <c r="P20" s="32" t="s">
        <v>46</v>
      </c>
      <c r="Q20" s="43">
        <f t="shared" si="5"/>
        <v>23.872</v>
      </c>
      <c r="R20" s="32" t="s">
        <v>792</v>
      </c>
      <c r="S20" s="32">
        <v>37.3</v>
      </c>
      <c r="T20" s="32" t="s">
        <v>792</v>
      </c>
      <c r="U20" s="35">
        <f t="shared" si="1"/>
        <v>8.231724138</v>
      </c>
      <c r="V20" s="32" t="s">
        <v>792</v>
      </c>
      <c r="W20" s="43" t="str">
        <f t="shared" si="4"/>
        <v>22545-1.jpg; 22545-2.jpg</v>
      </c>
      <c r="AB20" s="43" t="str">
        <f>IFERROR(__xludf.DUMMYFUNCTION("ai(""breve descripcion de este producto"")"),"Este revestimiento exterior de la marca Max Core, línea Acanalado Vertical en color Roble, está fabricado en WPC (madera compuesta de polímero y fibra). Es un material duradero, resistente a la humedad y a los cambios de temperatura, diseñado para fachada"&amp;"s y muros que buscan la estética de la madera sin necesidad de pintura ni mantenimiento periódico. Cada tabla tiene un espesor de 25 mm, un ancho de 219 mm y un largo de 2900 mm, cubriendo una superficie de 0.64 m2.")</f>
        <v>Este revestimiento exterior de la marca Max Core, línea Acanalado Vertical en color Roble, está fabricado en WPC (madera compuesta de polímero y fibra). Es un material duradero, resistente a la humedad y a los cambios de temperatura, diseñado para fachadas y muros que buscan la estética de la madera sin necesidad de pintura ni mantenimiento periódico. Cada tabla tiene un espesor de 25 mm, un ancho de 219 mm y un largo de 2900 mm, cubriendo una superficie de 0.64 m2.</v>
      </c>
    </row>
    <row r="21" ht="15.75" customHeight="1">
      <c r="A21" s="55">
        <v>24766.0</v>
      </c>
      <c r="B21" s="5" t="s">
        <v>785</v>
      </c>
      <c r="C21" s="32" t="s">
        <v>786</v>
      </c>
      <c r="D21" s="32" t="s">
        <v>787</v>
      </c>
      <c r="E21" s="32" t="s">
        <v>788</v>
      </c>
      <c r="F21" s="32" t="s">
        <v>789</v>
      </c>
      <c r="G21" s="32" t="s">
        <v>806</v>
      </c>
      <c r="H21" s="32" t="s">
        <v>810</v>
      </c>
      <c r="I21" s="32">
        <v>25.0</v>
      </c>
      <c r="J21" s="32" t="s">
        <v>42</v>
      </c>
      <c r="K21" s="32">
        <v>219.0</v>
      </c>
      <c r="L21" s="32" t="s">
        <v>42</v>
      </c>
      <c r="M21" s="32">
        <v>2900.0</v>
      </c>
      <c r="N21" s="32" t="s">
        <v>42</v>
      </c>
      <c r="O21" s="32">
        <v>0.64</v>
      </c>
      <c r="P21" s="32" t="s">
        <v>46</v>
      </c>
      <c r="Q21" s="43">
        <f t="shared" si="5"/>
        <v>23.872</v>
      </c>
      <c r="R21" s="32" t="s">
        <v>792</v>
      </c>
      <c r="S21" s="32">
        <v>37.3</v>
      </c>
      <c r="T21" s="32" t="s">
        <v>792</v>
      </c>
      <c r="U21" s="35">
        <f t="shared" si="1"/>
        <v>8.231724138</v>
      </c>
      <c r="V21" s="32" t="s">
        <v>792</v>
      </c>
      <c r="W21" s="43" t="str">
        <f t="shared" si="4"/>
        <v>24766-1.jpg; 24766-2.jpg</v>
      </c>
      <c r="AB21" s="32" t="s">
        <v>811</v>
      </c>
    </row>
    <row r="22" ht="15.75" customHeight="1">
      <c r="A22" s="55">
        <v>24746.0</v>
      </c>
      <c r="B22" s="5" t="s">
        <v>785</v>
      </c>
      <c r="C22" s="32" t="s">
        <v>786</v>
      </c>
      <c r="D22" s="32" t="s">
        <v>787</v>
      </c>
      <c r="E22" s="32" t="s">
        <v>788</v>
      </c>
      <c r="F22" s="32" t="s">
        <v>789</v>
      </c>
      <c r="G22" s="32" t="s">
        <v>806</v>
      </c>
      <c r="H22" s="32" t="s">
        <v>803</v>
      </c>
      <c r="I22" s="32">
        <v>25.0</v>
      </c>
      <c r="J22" s="32" t="s">
        <v>42</v>
      </c>
      <c r="K22" s="32">
        <v>219.0</v>
      </c>
      <c r="L22" s="32" t="s">
        <v>42</v>
      </c>
      <c r="M22" s="32">
        <v>2900.0</v>
      </c>
      <c r="N22" s="32" t="s">
        <v>42</v>
      </c>
      <c r="O22" s="32">
        <v>0.64</v>
      </c>
      <c r="P22" s="32" t="s">
        <v>46</v>
      </c>
      <c r="Q22" s="43">
        <f t="shared" si="5"/>
        <v>23.872</v>
      </c>
      <c r="R22" s="32" t="s">
        <v>792</v>
      </c>
      <c r="S22" s="32">
        <v>37.3</v>
      </c>
      <c r="T22" s="32" t="s">
        <v>792</v>
      </c>
      <c r="U22" s="35">
        <f t="shared" si="1"/>
        <v>8.231724138</v>
      </c>
      <c r="V22" s="32" t="s">
        <v>792</v>
      </c>
      <c r="W22" s="43" t="str">
        <f t="shared" si="4"/>
        <v>24746-1.jpg; 24746-2.jpg</v>
      </c>
      <c r="AB22" s="32" t="s">
        <v>812</v>
      </c>
    </row>
    <row r="23" ht="15.75" customHeight="1">
      <c r="A23" s="55">
        <v>22620.0</v>
      </c>
      <c r="B23" s="5" t="s">
        <v>785</v>
      </c>
      <c r="C23" s="32" t="s">
        <v>786</v>
      </c>
      <c r="D23" s="32" t="s">
        <v>787</v>
      </c>
      <c r="E23" s="32" t="s">
        <v>788</v>
      </c>
      <c r="F23" s="32" t="s">
        <v>789</v>
      </c>
      <c r="G23" s="32" t="s">
        <v>813</v>
      </c>
      <c r="H23" s="32" t="s">
        <v>801</v>
      </c>
      <c r="I23" s="32">
        <v>21.0</v>
      </c>
      <c r="J23" s="32" t="s">
        <v>42</v>
      </c>
      <c r="K23" s="32">
        <v>138.0</v>
      </c>
      <c r="L23" s="32" t="s">
        <v>42</v>
      </c>
      <c r="M23" s="32">
        <v>2900.0</v>
      </c>
      <c r="N23" s="32" t="s">
        <v>42</v>
      </c>
      <c r="O23" s="32">
        <v>0.4</v>
      </c>
      <c r="P23" s="32" t="s">
        <v>46</v>
      </c>
      <c r="Q23" s="43">
        <f t="shared" si="5"/>
        <v>12.6</v>
      </c>
      <c r="R23" s="32" t="s">
        <v>792</v>
      </c>
      <c r="S23" s="32">
        <v>31.5</v>
      </c>
      <c r="T23" s="32" t="s">
        <v>792</v>
      </c>
      <c r="U23" s="35">
        <f t="shared" si="1"/>
        <v>4.344827586</v>
      </c>
      <c r="V23" s="32" t="s">
        <v>792</v>
      </c>
      <c r="W23" s="43" t="str">
        <f t="shared" si="4"/>
        <v>22620-1.jpg; 22620-2.jpg</v>
      </c>
      <c r="AB23" s="43" t="str">
        <f>IFERROR(__xludf.DUMMYFUNCTION("ai(""breve descripcion de este producto"")"),"Este revestimiento exterior de la marca Max Core, línea Siding en color Tabaco, está fabricado en WPC (madera compuesta de polímero y fibra). Es un material duradero, resistente a la humedad, la decoloración y los insectos, diseñado para fachadas modernas"&amp;" que buscan la estética de la madera sin necesidad de mantenimiento periódico. Cada tabla tiene un espesor de 21 mm, un ancho de 138 mm y un largo de 2900 mm, cubriendo una superficie de 0.4 m2.")</f>
        <v>Este revestimiento exterior de la marca Max Core, línea Siding en color Tabaco, está fabricado en WPC (madera compuesta de polímero y fibra). Es un material duradero, resistente a la humedad, la decoloración y los insectos, diseñado para fachadas modernas que buscan la estética de la madera sin necesidad de mantenimiento periódico. Cada tabla tiene un espesor de 21 mm, un ancho de 138 mm y un largo de 2900 mm, cubriendo una superficie de 0.4 m2.</v>
      </c>
    </row>
    <row r="24" ht="15.75" customHeight="1">
      <c r="A24" s="55">
        <v>22867.0</v>
      </c>
      <c r="B24" s="5" t="s">
        <v>785</v>
      </c>
      <c r="C24" s="32" t="s">
        <v>786</v>
      </c>
      <c r="D24" s="32" t="s">
        <v>787</v>
      </c>
      <c r="E24" s="32" t="s">
        <v>788</v>
      </c>
      <c r="F24" s="32" t="s">
        <v>789</v>
      </c>
      <c r="G24" s="32" t="s">
        <v>813</v>
      </c>
      <c r="H24" s="32" t="s">
        <v>794</v>
      </c>
      <c r="I24" s="32">
        <v>21.0</v>
      </c>
      <c r="J24" s="32" t="s">
        <v>42</v>
      </c>
      <c r="K24" s="32">
        <v>138.0</v>
      </c>
      <c r="L24" s="32" t="s">
        <v>42</v>
      </c>
      <c r="M24" s="32">
        <v>2900.0</v>
      </c>
      <c r="N24" s="32" t="s">
        <v>42</v>
      </c>
      <c r="O24" s="32">
        <v>0.4</v>
      </c>
      <c r="P24" s="32" t="s">
        <v>46</v>
      </c>
      <c r="Q24" s="43">
        <f t="shared" si="5"/>
        <v>12.6</v>
      </c>
      <c r="R24" s="32" t="s">
        <v>792</v>
      </c>
      <c r="S24" s="32">
        <v>31.5</v>
      </c>
      <c r="T24" s="32" t="s">
        <v>792</v>
      </c>
      <c r="U24" s="35">
        <f t="shared" si="1"/>
        <v>4.344827586</v>
      </c>
      <c r="V24" s="32" t="s">
        <v>792</v>
      </c>
      <c r="W24" s="43" t="str">
        <f t="shared" si="4"/>
        <v>22867-1.jpg; 22867-2.jpg</v>
      </c>
      <c r="AB24" s="43" t="str">
        <f>IFERROR(__xludf.DUMMYFUNCTION("ai(""breve descripcion de este producto"")"),"Este revestimiento exterior de la marca Max Core, línea Siding en color Roble, está fabricado en WPC (madera compuesta de polímero y fibra). Es un material duradero, resistente a la humedad y a la exposición solar, diseñado para fachadas con un perfil tip"&amp;"o siding americano que ofrece la estética de la madera sin necesidad de mantenimiento. Cada tabla tiene un espesor de 21 mm, un ancho de 138 mm y un largo de 2900 mm, cubriendo una superficie de 0.40 m2.")</f>
        <v>Este revestimiento exterior de la marca Max Core, línea Siding en color Roble, está fabricado en WPC (madera compuesta de polímero y fibra). Es un material duradero, resistente a la humedad y a la exposición solar, diseñado para fachadas con un perfil tipo siding americano que ofrece la estética de la madera sin necesidad de mantenimiento. Cada tabla tiene un espesor de 21 mm, un ancho de 138 mm y un largo de 2900 mm, cubriendo una superficie de 0.40 m2.</v>
      </c>
    </row>
    <row r="25" ht="15.75" customHeight="1">
      <c r="A25" s="55">
        <v>22869.0</v>
      </c>
      <c r="B25" s="5" t="s">
        <v>785</v>
      </c>
      <c r="C25" s="32" t="s">
        <v>786</v>
      </c>
      <c r="D25" s="32" t="s">
        <v>787</v>
      </c>
      <c r="E25" s="32" t="s">
        <v>788</v>
      </c>
      <c r="F25" s="32" t="s">
        <v>789</v>
      </c>
      <c r="G25" s="32" t="s">
        <v>813</v>
      </c>
      <c r="H25" s="32" t="s">
        <v>814</v>
      </c>
      <c r="I25" s="32">
        <v>21.0</v>
      </c>
      <c r="J25" s="32" t="s">
        <v>42</v>
      </c>
      <c r="K25" s="32">
        <v>138.0</v>
      </c>
      <c r="L25" s="32" t="s">
        <v>42</v>
      </c>
      <c r="M25" s="32">
        <v>2900.0</v>
      </c>
      <c r="N25" s="32" t="s">
        <v>42</v>
      </c>
      <c r="O25" s="32">
        <v>0.4</v>
      </c>
      <c r="P25" s="32" t="s">
        <v>46</v>
      </c>
      <c r="Q25" s="43">
        <f t="shared" si="5"/>
        <v>12.6</v>
      </c>
      <c r="R25" s="32" t="s">
        <v>792</v>
      </c>
      <c r="S25" s="32">
        <v>31.5</v>
      </c>
      <c r="T25" s="32" t="s">
        <v>792</v>
      </c>
      <c r="U25" s="35">
        <f t="shared" si="1"/>
        <v>4.344827586</v>
      </c>
      <c r="V25" s="32" t="s">
        <v>792</v>
      </c>
      <c r="W25" s="43" t="str">
        <f t="shared" si="4"/>
        <v>22869-1.jpg; 22869-2.jpg</v>
      </c>
      <c r="AB25" s="43" t="str">
        <f>IFERROR(__xludf.DUMMYFUNCTION("ai(""breve descripcion de este producto"")"),"Este revestimiento exterior de la marca Max Core, línea Siding en color Gris Ceniza, está fabricado en WPC (madera compuesta de polímero y plástico). Es un material de alta resistencia a la intemperie, la humedad y los insectos, que ofrece una estética de"&amp;" madera natural sin requerir mantenimiento como pintura o barnizado. Diseñado para fachadas y muros exteriores, cada tabla tiene un espesor de 21 mm, un ancho de 138 mm y un largo de 2900 mm, cubriendo una superficie de 0.4 m2.")</f>
        <v>Este revestimiento exterior de la marca Max Core, línea Siding en color Gris Ceniza, está fabricado en WPC (madera compuesta de polímero y plástico). Es un material de alta resistencia a la intemperie, la humedad y los insectos, que ofrece una estética de madera natural sin requerir mantenimiento como pintura o barnizado. Diseñado para fachadas y muros exteriores, cada tabla tiene un espesor de 21 mm, un ancho de 138 mm y un largo de 2900 mm, cubriendo una superficie de 0.4 m2.</v>
      </c>
    </row>
    <row r="26" ht="15.75" customHeight="1">
      <c r="A26" s="55">
        <v>22546.0</v>
      </c>
      <c r="B26" s="5" t="s">
        <v>785</v>
      </c>
      <c r="C26" s="32" t="s">
        <v>815</v>
      </c>
      <c r="D26" s="32" t="s">
        <v>787</v>
      </c>
      <c r="E26" s="32" t="s">
        <v>788</v>
      </c>
      <c r="F26" s="32" t="s">
        <v>789</v>
      </c>
      <c r="G26" s="32" t="s">
        <v>816</v>
      </c>
      <c r="H26" s="32" t="s">
        <v>817</v>
      </c>
      <c r="I26" s="32">
        <v>60.0</v>
      </c>
      <c r="J26" s="32" t="s">
        <v>42</v>
      </c>
      <c r="K26" s="32">
        <v>60.0</v>
      </c>
      <c r="L26" s="32" t="s">
        <v>42</v>
      </c>
      <c r="M26" s="32">
        <v>2900.0</v>
      </c>
      <c r="N26" s="32" t="s">
        <v>42</v>
      </c>
      <c r="O26" s="32" t="s">
        <v>527</v>
      </c>
      <c r="P26" s="32" t="s">
        <v>818</v>
      </c>
      <c r="Q26" s="32">
        <v>14.3</v>
      </c>
      <c r="R26" s="32" t="s">
        <v>792</v>
      </c>
      <c r="U26" s="35">
        <f t="shared" ref="U26:U28" si="6">Q26/2.9</f>
        <v>4.931034483</v>
      </c>
      <c r="V26" s="32" t="s">
        <v>792</v>
      </c>
      <c r="W26" s="32" t="s">
        <v>819</v>
      </c>
      <c r="AB26" s="43" t="str">
        <f>IFERROR(__xludf.DUMMYFUNCTION("ai(""breve descripcion de este producto"")"),"Este revestimiento interior de la marca Max Core, perteneciente a la línea Alistonado en madera de Kiri, está diseñado para aplicaciones en espacios internos. El producto está fabricado en madera natural y presenta un acabado estético que resalta las cara"&amp;"cterísticas propias del material. Cada listón cuenta con un espesor de 20 mm y un ancho de 35 mm, presentándose en largos variables (L.V.) para su instalación.")</f>
        <v>Este revestimiento interior de la marca Max Core, perteneciente a la línea Alistonado en madera de Kiri, está diseñado para aplicaciones en espacios internos. El producto está fabricado en madera natural y presenta un acabado estético que resalta las características propias del material. Cada listón cuenta con un espesor de 20 mm y un ancho de 35 mm, presentándose en largos variables (L.V.) para su instalación.</v>
      </c>
    </row>
    <row r="27" ht="15.75" customHeight="1">
      <c r="A27" s="55">
        <v>25413.0</v>
      </c>
      <c r="B27" s="5" t="s">
        <v>785</v>
      </c>
      <c r="C27" s="32" t="s">
        <v>815</v>
      </c>
      <c r="D27" s="32" t="s">
        <v>787</v>
      </c>
      <c r="E27" s="32" t="s">
        <v>788</v>
      </c>
      <c r="F27" s="32" t="s">
        <v>789</v>
      </c>
      <c r="G27" s="32" t="s">
        <v>820</v>
      </c>
      <c r="H27" s="32" t="s">
        <v>821</v>
      </c>
      <c r="I27" s="32" t="s">
        <v>527</v>
      </c>
      <c r="J27" s="32" t="s">
        <v>42</v>
      </c>
      <c r="K27" s="32" t="s">
        <v>527</v>
      </c>
      <c r="L27" s="32" t="s">
        <v>42</v>
      </c>
      <c r="M27" s="32">
        <v>2900.0</v>
      </c>
      <c r="N27" s="32" t="s">
        <v>42</v>
      </c>
      <c r="O27" s="32" t="s">
        <v>527</v>
      </c>
      <c r="P27" s="32" t="s">
        <v>818</v>
      </c>
      <c r="Q27" s="32">
        <v>10.25</v>
      </c>
      <c r="R27" s="32" t="s">
        <v>792</v>
      </c>
      <c r="U27" s="35">
        <f t="shared" si="6"/>
        <v>3.534482759</v>
      </c>
      <c r="V27" s="32" t="s">
        <v>792</v>
      </c>
      <c r="W27" s="32" t="s">
        <v>822</v>
      </c>
      <c r="AB27" s="43" t="str">
        <f>IFERROR(__xludf.DUMMYFUNCTION("AI(""Completa un valor adecuado para esta celda en función del contexto de la tabla"")"),"Esta terminación de inicio/fin para uso exterior de la marca Max Core está fabricada en WPC (madera compuesta), ofreciendo una alta durabilidad y resistencia a la intemperie sin necesidad de mantenimiento. Es un accesorio ideal para proporcionar un acabad"&amp;"o prolijo y seguro en el comienzo o cierre de la instalación de revestimientos de fachadas. Cada unidad cuenta con un largo de 2900 mm y es compatible con las tonalidades Lapacho, Laos, Smoke Gray y Maple.")</f>
        <v>Esta terminación de inicio/fin para uso exterior de la marca Max Core está fabricada en WPC (madera compuesta), ofreciendo una alta durabilidad y resistencia a la intemperie sin necesidad de mantenimiento. Es un accesorio ideal para proporcionar un acabado prolijo y seguro en el comienzo o cierre de la instalación de revestimientos de fachadas. Cada unidad cuenta con un largo de 2900 mm y es compatible con las tonalidades Lapacho, Laos, Smoke Gray y Maple.</v>
      </c>
    </row>
    <row r="28" ht="15.75" customHeight="1">
      <c r="A28" s="55">
        <v>24916.0</v>
      </c>
      <c r="B28" s="5" t="s">
        <v>785</v>
      </c>
      <c r="C28" s="32" t="s">
        <v>815</v>
      </c>
      <c r="D28" s="32" t="s">
        <v>787</v>
      </c>
      <c r="E28" s="32" t="s">
        <v>788</v>
      </c>
      <c r="F28" s="32" t="s">
        <v>789</v>
      </c>
      <c r="G28" s="32" t="s">
        <v>823</v>
      </c>
      <c r="H28" s="32" t="s">
        <v>821</v>
      </c>
      <c r="I28" s="32" t="s">
        <v>527</v>
      </c>
      <c r="J28" s="32" t="s">
        <v>42</v>
      </c>
      <c r="K28" s="32" t="s">
        <v>527</v>
      </c>
      <c r="L28" s="32" t="s">
        <v>42</v>
      </c>
      <c r="M28" s="32">
        <v>2900.0</v>
      </c>
      <c r="N28" s="32" t="s">
        <v>42</v>
      </c>
      <c r="O28" s="32" t="s">
        <v>527</v>
      </c>
      <c r="P28" s="32" t="s">
        <v>818</v>
      </c>
      <c r="Q28" s="32">
        <v>12.75</v>
      </c>
      <c r="R28" s="32" t="s">
        <v>792</v>
      </c>
      <c r="U28" s="35">
        <f t="shared" si="6"/>
        <v>4.396551724</v>
      </c>
      <c r="V28" s="32" t="s">
        <v>792</v>
      </c>
      <c r="W28" s="32" t="s">
        <v>824</v>
      </c>
      <c r="AB28" s="43" t="str">
        <f>IFERROR(__xludf.DUMMYFUNCTION("AI(""Completa un valor adecuado para esta celda en función del contexto de la tabla"")"),"Este perfil de terminación para esquinas exteriores de la marca Max Core, línea Esquina, está fabricado en WPC (madera compuesta de polímero y fibra). Es un accesorio diseñado para brindar un acabado limpio, duradero y resistente a la intemperie en los bo"&amp;"rdes y uniones de fachadas, protegiendo la estructura sin necesidad de mantenimiento constante como pintura o barniz. Es compatible con los tonos Lapacho, Laos, Smoke Gray y Maple, y cada unidad cuenta con un largo de 2900 mm.")</f>
        <v>Este perfil de terminación para esquinas exteriores de la marca Max Core, línea Esquina, está fabricado en WPC (madera compuesta de polímero y fibra). Es un accesorio diseñado para brindar un acabado limpio, duradero y resistente a la intemperie en los bordes y uniones de fachadas, protegiendo la estructura sin necesidad de mantenimiento constante como pintura o barniz. Es compatible con los tonos Lapacho, Laos, Smoke Gray y Maple, y cada unidad cuenta con un largo de 2900 mm.</v>
      </c>
    </row>
    <row r="29" ht="15.75" customHeight="1">
      <c r="A29" s="55">
        <v>23129.0</v>
      </c>
      <c r="B29" s="5" t="s">
        <v>785</v>
      </c>
      <c r="C29" s="32" t="s">
        <v>815</v>
      </c>
      <c r="D29" s="32" t="s">
        <v>787</v>
      </c>
      <c r="E29" s="32" t="s">
        <v>788</v>
      </c>
      <c r="F29" s="32" t="s">
        <v>789</v>
      </c>
      <c r="G29" s="32" t="s">
        <v>825</v>
      </c>
      <c r="H29" s="32" t="s">
        <v>826</v>
      </c>
      <c r="I29" s="32">
        <v>40.0</v>
      </c>
      <c r="J29" s="32" t="s">
        <v>42</v>
      </c>
      <c r="K29" s="32">
        <v>60.0</v>
      </c>
      <c r="L29" s="32" t="s">
        <v>42</v>
      </c>
      <c r="M29" s="32" t="s">
        <v>527</v>
      </c>
      <c r="N29" s="32" t="s">
        <v>42</v>
      </c>
      <c r="P29" s="32" t="s">
        <v>818</v>
      </c>
      <c r="Q29" s="32">
        <v>0.95</v>
      </c>
      <c r="R29" s="32" t="s">
        <v>792</v>
      </c>
      <c r="W29" s="32" t="s">
        <v>824</v>
      </c>
      <c r="AB29" s="43" t="str">
        <f>IFERROR(__xludf.DUMMYFUNCTION("AI(""Completa un valor adecuado para esta celda en función del contexto de la tabla"")"),"I'm still learning and can't help with that. Do you need help with anything else?")</f>
        <v>I'm still learning and can't help with that. Do you need help with anything else?</v>
      </c>
    </row>
    <row r="30" ht="15.75" customHeight="1">
      <c r="A30" s="55">
        <v>23132.0</v>
      </c>
      <c r="B30" s="5" t="s">
        <v>785</v>
      </c>
      <c r="C30" s="32" t="s">
        <v>815</v>
      </c>
      <c r="D30" s="32" t="s">
        <v>787</v>
      </c>
      <c r="E30" s="32" t="s">
        <v>788</v>
      </c>
      <c r="F30" s="32" t="s">
        <v>789</v>
      </c>
      <c r="G30" s="32" t="s">
        <v>825</v>
      </c>
      <c r="H30" s="32" t="s">
        <v>826</v>
      </c>
      <c r="I30" s="32">
        <v>50.0</v>
      </c>
      <c r="J30" s="32" t="s">
        <v>42</v>
      </c>
      <c r="K30" s="32">
        <v>100.0</v>
      </c>
      <c r="L30" s="32" t="s">
        <v>42</v>
      </c>
      <c r="M30" s="32" t="s">
        <v>527</v>
      </c>
      <c r="N30" s="32" t="s">
        <v>42</v>
      </c>
      <c r="P30" s="32" t="s">
        <v>818</v>
      </c>
      <c r="Q30" s="32">
        <v>1.9</v>
      </c>
      <c r="R30" s="32" t="s">
        <v>792</v>
      </c>
      <c r="U30" s="35"/>
      <c r="W30" s="32" t="s">
        <v>824</v>
      </c>
      <c r="AB30" s="43" t="str">
        <f>IFERROR(__xludf.DUMMYFUNCTION("AI(""Completa un valor adecuado para esta celda en función del contexto de la tabla"")"),"I'm still learning and can't help with that. Do you need help with anything else?")</f>
        <v>I'm still learning and can't help with that. Do you need help with anything else?</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sheetData>
  <autoFilter ref="$A$1:$AB$30"/>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3.71"/>
    <col customWidth="1" min="3" max="3" width="16.14"/>
    <col customWidth="1" min="4" max="4" width="16.86"/>
    <col customWidth="1" min="5" max="6" width="10.71"/>
    <col customWidth="1" min="7" max="7" width="23.86"/>
    <col customWidth="1" min="8" max="8" width="133.0"/>
    <col customWidth="1" min="9" max="14" width="10.71"/>
    <col customWidth="1" min="15" max="16" width="16.14"/>
    <col customWidth="1" min="17" max="17" width="15.43"/>
    <col customWidth="1" min="18" max="19" width="17.0"/>
    <col customWidth="1" min="20" max="23" width="17.57"/>
    <col customWidth="1" min="24" max="27" width="10.71"/>
    <col customWidth="1" min="28" max="28" width="500.0"/>
    <col customWidth="1" min="29" max="30" width="10.71"/>
  </cols>
  <sheetData>
    <row r="1">
      <c r="A1" s="52" t="s">
        <v>0</v>
      </c>
      <c r="B1" s="1" t="s">
        <v>1</v>
      </c>
      <c r="C1" s="53" t="s">
        <v>775</v>
      </c>
      <c r="D1" s="53" t="s">
        <v>776</v>
      </c>
      <c r="E1" s="53" t="s">
        <v>777</v>
      </c>
      <c r="F1" s="53" t="s">
        <v>8</v>
      </c>
      <c r="G1" s="53" t="s">
        <v>9</v>
      </c>
      <c r="H1" s="53" t="s">
        <v>6</v>
      </c>
      <c r="I1" s="53" t="s">
        <v>11</v>
      </c>
      <c r="J1" s="53" t="s">
        <v>778</v>
      </c>
      <c r="K1" s="53" t="s">
        <v>16</v>
      </c>
      <c r="L1" s="53" t="s">
        <v>778</v>
      </c>
      <c r="M1" s="53" t="s">
        <v>17</v>
      </c>
      <c r="N1" s="53" t="s">
        <v>778</v>
      </c>
      <c r="O1" s="53" t="s">
        <v>779</v>
      </c>
      <c r="P1" s="53" t="s">
        <v>778</v>
      </c>
      <c r="Q1" s="53" t="s">
        <v>780</v>
      </c>
      <c r="R1" s="37" t="s">
        <v>21</v>
      </c>
      <c r="S1" s="53" t="s">
        <v>781</v>
      </c>
      <c r="T1" s="37" t="s">
        <v>21</v>
      </c>
      <c r="U1" s="52" t="s">
        <v>782</v>
      </c>
      <c r="V1" s="37" t="s">
        <v>21</v>
      </c>
      <c r="W1" s="54" t="s">
        <v>783</v>
      </c>
      <c r="X1" s="54" t="s">
        <v>784</v>
      </c>
      <c r="Y1" s="54" t="s">
        <v>26</v>
      </c>
      <c r="Z1" s="38" t="s">
        <v>30</v>
      </c>
      <c r="AA1" s="38" t="s">
        <v>31</v>
      </c>
      <c r="AB1" s="54" t="s">
        <v>32</v>
      </c>
    </row>
    <row r="2">
      <c r="A2" s="55">
        <v>23523.0</v>
      </c>
      <c r="B2" s="5" t="s">
        <v>33</v>
      </c>
      <c r="C2" s="32" t="s">
        <v>786</v>
      </c>
      <c r="D2" s="32" t="s">
        <v>827</v>
      </c>
      <c r="E2" s="32" t="s">
        <v>828</v>
      </c>
      <c r="F2" s="32" t="s">
        <v>789</v>
      </c>
      <c r="G2" s="32" t="s">
        <v>829</v>
      </c>
      <c r="H2" s="32" t="s">
        <v>794</v>
      </c>
      <c r="I2" s="32">
        <v>12.0</v>
      </c>
      <c r="J2" s="32" t="s">
        <v>42</v>
      </c>
      <c r="K2" s="32">
        <v>120.0</v>
      </c>
      <c r="L2" s="32" t="s">
        <v>42</v>
      </c>
      <c r="M2" s="32">
        <v>2900.0</v>
      </c>
      <c r="N2" s="32" t="s">
        <v>42</v>
      </c>
      <c r="O2" s="32">
        <v>0.35</v>
      </c>
      <c r="P2" s="32" t="s">
        <v>46</v>
      </c>
      <c r="Q2" s="43">
        <f>S2*O2</f>
        <v>7.7</v>
      </c>
      <c r="R2" s="43" t="str">
        <f>CONCATENATE(#REF!,"-1.jpg; ",#REF!, "-2.jpg")</f>
        <v>#REF!</v>
      </c>
      <c r="S2" s="32">
        <v>22.0</v>
      </c>
      <c r="T2" s="32" t="s">
        <v>792</v>
      </c>
      <c r="U2" s="35">
        <f t="shared" ref="U2:U41" si="1">Q2/M2*1000</f>
        <v>2.655172414</v>
      </c>
      <c r="V2" s="32" t="s">
        <v>792</v>
      </c>
      <c r="W2" s="43" t="str">
        <f t="shared" ref="W2:W6" si="2">CONCATENATE(A2,"-1.jpg; ",A2, "-2.jpg")</f>
        <v>23523-1.jpg; 23523-2.jpg</v>
      </c>
      <c r="AB2" s="43" t="str">
        <f>IFERROR(__xludf.DUMMYFUNCTION("ai(""breve descripcion de este producto"")"),"Este revestimiento para pared interior de la marca Max Core, línea Elite en color Roble, está fabricado en EPS (poliestireno expandido de alta densidad). Es un material acanalado con textura madera, resistente a la humedad, antimoho y antipolillas, diseña"&amp;"do para brindar estética y durabilidad en ambientes internos. Cada tabla tiene un espesor de 12 mm, un ancho de 120 mm y un largo de 2900 mm, cubriendo una superficie de 0.35 m2.")</f>
        <v>Este revestimiento para pared interior de la marca Max Core, línea Elite en color Roble, está fabricado en EPS (poliestireno expandido de alta densidad). Es un material acanalado con textura madera, resistente a la humedad, antimoho y antipolillas, diseñado para brindar estética y durabilidad en ambientes internos. Cada tabla tiene un espesor de 12 mm, un ancho de 120 mm y un largo de 2900 mm, cubriendo una superficie de 0.35 m2.</v>
      </c>
    </row>
    <row r="3">
      <c r="A3" s="55">
        <v>24952.0</v>
      </c>
      <c r="B3" s="5" t="s">
        <v>33</v>
      </c>
      <c r="C3" s="32" t="s">
        <v>786</v>
      </c>
      <c r="D3" s="32" t="s">
        <v>827</v>
      </c>
      <c r="E3" s="32" t="s">
        <v>830</v>
      </c>
      <c r="F3" s="32" t="s">
        <v>789</v>
      </c>
      <c r="G3" s="32" t="s">
        <v>831</v>
      </c>
      <c r="H3" s="32" t="s">
        <v>832</v>
      </c>
      <c r="I3" s="32">
        <v>2.5</v>
      </c>
      <c r="J3" s="32" t="s">
        <v>42</v>
      </c>
      <c r="K3" s="32">
        <v>1220.0</v>
      </c>
      <c r="L3" s="32" t="s">
        <v>42</v>
      </c>
      <c r="M3" s="32">
        <v>2440.0</v>
      </c>
      <c r="N3" s="32" t="s">
        <v>42</v>
      </c>
      <c r="O3" s="43">
        <f>1220*2440/1000000</f>
        <v>2.9768</v>
      </c>
      <c r="P3" s="32" t="s">
        <v>46</v>
      </c>
      <c r="Q3" s="32">
        <v>30.0</v>
      </c>
      <c r="R3" s="32" t="s">
        <v>792</v>
      </c>
      <c r="U3" s="35">
        <f t="shared" si="1"/>
        <v>12.29508197</v>
      </c>
      <c r="W3" s="43" t="str">
        <f t="shared" si="2"/>
        <v>24952-1.jpg; 24952-2.jpg</v>
      </c>
      <c r="AB3" s="43" t="str">
        <f>IFERROR(__xludf.DUMMYFUNCTION("ai(""breve descripcion de este producto"")"),"Este revestimiento interior de la marca Max Core, línea Slimstone en color Nero Gold, está fabricado en PVC. Es un material versátil y estético, diseñado para renovar ambientes internos con un acabado elegante y de fácil instalación. Cada tabla tiene un e"&amp;"spesor de 2.5 mm, un ancho de 1220 mm y un largo de 2440 mm, cubriendo una superficie de 2.9768 m2.")</f>
        <v>Este revestimiento interior de la marca Max Core, línea Slimstone en color Nero Gold, está fabricado en PVC. Es un material versátil y estético, diseñado para renovar ambientes internos con un acabado elegante y de fácil instalación. Cada tabla tiene un espesor de 2.5 mm, un ancho de 1220 mm y un largo de 2440 mm, cubriendo una superficie de 2.9768 m2.</v>
      </c>
    </row>
    <row r="4">
      <c r="A4" s="55">
        <v>23521.0</v>
      </c>
      <c r="B4" s="5" t="s">
        <v>33</v>
      </c>
      <c r="C4" s="32" t="s">
        <v>786</v>
      </c>
      <c r="D4" s="32" t="s">
        <v>827</v>
      </c>
      <c r="E4" s="32" t="s">
        <v>828</v>
      </c>
      <c r="F4" s="32" t="s">
        <v>789</v>
      </c>
      <c r="G4" s="32" t="s">
        <v>829</v>
      </c>
      <c r="H4" s="32" t="s">
        <v>833</v>
      </c>
      <c r="I4" s="32">
        <v>12.0</v>
      </c>
      <c r="J4" s="32" t="s">
        <v>42</v>
      </c>
      <c r="K4" s="32">
        <v>120.0</v>
      </c>
      <c r="L4" s="32" t="s">
        <v>42</v>
      </c>
      <c r="M4" s="32">
        <v>2900.0</v>
      </c>
      <c r="N4" s="32" t="s">
        <v>42</v>
      </c>
      <c r="O4" s="32">
        <v>0.35</v>
      </c>
      <c r="P4" s="32" t="s">
        <v>46</v>
      </c>
      <c r="Q4" s="43">
        <f t="shared" ref="Q4:Q24" si="3">S4*O4</f>
        <v>7.7</v>
      </c>
      <c r="R4" s="32" t="s">
        <v>792</v>
      </c>
      <c r="S4" s="32">
        <v>22.0</v>
      </c>
      <c r="T4" s="32" t="s">
        <v>792</v>
      </c>
      <c r="U4" s="35">
        <f t="shared" si="1"/>
        <v>2.655172414</v>
      </c>
      <c r="V4" s="32" t="s">
        <v>792</v>
      </c>
      <c r="W4" s="43" t="str">
        <f t="shared" si="2"/>
        <v>23521-1.jpg; 23521-2.jpg</v>
      </c>
      <c r="AB4" s="43" t="str">
        <f>IFERROR(__xludf.DUMMYFUNCTION("ai(""breve descripcion de este producto"")"),"Este revestimiento acanalado para pared interior de la marca Max Core, línea Elite Pannel Skin en color Gris Onix, está fabricado en EPS con un núcleo aislante. Es un material 100% libre de mantenimiento, resistente, duradero y de fácil limpieza, ideal pa"&amp;"ra espacios de diseño contemporáneo o industrial. Cada tabla tiene un espesor de 12 mm, un ancho de 120 mm y un largo de 2900 mm, cubriendo una superficie de 0.35 m2.")</f>
        <v>Este revestimiento acanalado para pared interior de la marca Max Core, línea Elite Pannel Skin en color Gris Onix, está fabricado en EPS con un núcleo aislante. Es un material 100% libre de mantenimiento, resistente, duradero y de fácil limpieza, ideal para espacios de diseño contemporáneo o industrial. Cada tabla tiene un espesor de 12 mm, un ancho de 120 mm y un largo de 2900 mm, cubriendo una superficie de 0.35 m2.</v>
      </c>
    </row>
    <row r="5">
      <c r="A5" s="55">
        <v>23520.0</v>
      </c>
      <c r="B5" s="5" t="s">
        <v>33</v>
      </c>
      <c r="C5" s="32" t="s">
        <v>786</v>
      </c>
      <c r="D5" s="32" t="s">
        <v>827</v>
      </c>
      <c r="E5" s="32" t="s">
        <v>828</v>
      </c>
      <c r="F5" s="32" t="s">
        <v>789</v>
      </c>
      <c r="G5" s="32" t="s">
        <v>829</v>
      </c>
      <c r="H5" s="32" t="s">
        <v>834</v>
      </c>
      <c r="I5" s="32">
        <v>12.0</v>
      </c>
      <c r="J5" s="32" t="s">
        <v>42</v>
      </c>
      <c r="K5" s="32">
        <v>120.0</v>
      </c>
      <c r="L5" s="32" t="s">
        <v>42</v>
      </c>
      <c r="M5" s="32">
        <v>2900.0</v>
      </c>
      <c r="N5" s="32" t="s">
        <v>42</v>
      </c>
      <c r="O5" s="32">
        <v>0.35</v>
      </c>
      <c r="P5" s="32" t="s">
        <v>46</v>
      </c>
      <c r="Q5" s="43">
        <f t="shared" si="3"/>
        <v>7.7</v>
      </c>
      <c r="R5" s="32" t="s">
        <v>792</v>
      </c>
      <c r="S5" s="32">
        <v>22.0</v>
      </c>
      <c r="T5" s="32" t="s">
        <v>792</v>
      </c>
      <c r="U5" s="35">
        <f t="shared" si="1"/>
        <v>2.655172414</v>
      </c>
      <c r="V5" s="32" t="s">
        <v>792</v>
      </c>
      <c r="W5" s="43" t="str">
        <f t="shared" si="2"/>
        <v>23520-1.jpg; 23520-2.jpg</v>
      </c>
      <c r="AB5" s="43" t="str">
        <f>IFERROR(__xludf.DUMMYFUNCTION("ai(""breve descripcion de este producto"")"),"Este revestimiento interior de la marca Max Core, línea Elite Pannel Skin en color Blanco Perla, está fabricado en EPS (poliestireno expandido). Es un panel acanalado diseñado para uso en interiores, destacándose por ser el tono más claro de su línea. Cad"&amp;"a tabla tiene un espesor de 12 mm, un ancho de 120 mm y un largo de 2900 mm, cubriendo una superficie de 0.35 m2. Es un material resistente a la humedad y de fácil mantenimiento.")</f>
        <v>Este revestimiento interior de la marca Max Core, línea Elite Pannel Skin en color Blanco Perla, está fabricado en EPS (poliestireno expandido). Es un panel acanalado diseñado para uso en interiores, destacándose por ser el tono más claro de su línea. Cada tabla tiene un espesor de 12 mm, un ancho de 120 mm y un largo de 2900 mm, cubriendo una superficie de 0.35 m2. Es un material resistente a la humedad y de fácil mantenimiento.</v>
      </c>
    </row>
    <row r="6">
      <c r="A6" s="55">
        <v>23522.0</v>
      </c>
      <c r="B6" s="5" t="s">
        <v>33</v>
      </c>
      <c r="C6" s="32" t="s">
        <v>786</v>
      </c>
      <c r="D6" s="32" t="s">
        <v>827</v>
      </c>
      <c r="E6" s="32" t="s">
        <v>828</v>
      </c>
      <c r="F6" s="32" t="s">
        <v>789</v>
      </c>
      <c r="G6" s="32" t="s">
        <v>829</v>
      </c>
      <c r="H6" s="32" t="s">
        <v>835</v>
      </c>
      <c r="I6" s="32">
        <v>12.0</v>
      </c>
      <c r="J6" s="32" t="s">
        <v>42</v>
      </c>
      <c r="K6" s="32">
        <v>120.0</v>
      </c>
      <c r="L6" s="32" t="s">
        <v>42</v>
      </c>
      <c r="M6" s="32">
        <v>2900.0</v>
      </c>
      <c r="N6" s="32" t="s">
        <v>42</v>
      </c>
      <c r="O6" s="32">
        <v>0.35</v>
      </c>
      <c r="P6" s="32" t="s">
        <v>46</v>
      </c>
      <c r="Q6" s="43">
        <f t="shared" si="3"/>
        <v>7.7</v>
      </c>
      <c r="R6" s="32" t="s">
        <v>792</v>
      </c>
      <c r="S6" s="32">
        <v>22.0</v>
      </c>
      <c r="T6" s="32" t="s">
        <v>792</v>
      </c>
      <c r="U6" s="35">
        <f t="shared" si="1"/>
        <v>2.655172414</v>
      </c>
      <c r="V6" s="32" t="s">
        <v>792</v>
      </c>
      <c r="W6" s="43" t="str">
        <f t="shared" si="2"/>
        <v>23522-1.jpg; 23522-2.jpg</v>
      </c>
      <c r="AB6" s="43" t="str">
        <f>IFERROR(__xludf.DUMMYFUNCTION("ai(""breve descripcion de este producto"")"),"Este revestimiento para pared interior de la marca Max Core, línea Elite Pannel Skin en color Incienso, está fabricado en EPS (poliestireno expandido). Es un material duradero, resistente al agua y 100% libre de mantenimiento, ideal para transformar livin"&amp;"gs, oficinas y locales comerciales con un diseño premium y elegante. Su sistema de machihembrado permite una instalación rápida, limpia y con fijaciones ocultas, pudiendo aplicarse de forma vertical u horizontal. Cada tabla tiene un espesor de 12 mm, un a"&amp;"ncho de 120 mm y un largo de 2900 mm, cubriendo una superficie de 0.35 m2.")</f>
        <v>Este revestimiento para pared interior de la marca Max Core, línea Elite Pannel Skin en color Incienso, está fabricado en EPS (poliestireno expandido). Es un material duradero, resistente al agua y 100% libre de mantenimiento, ideal para transformar livings, oficinas y locales comerciales con un diseño premium y elegante. Su sistema de machihembrado permite una instalación rápida, limpia y con fijaciones ocultas, pudiendo aplicarse de forma vertical u horizontal. Cada tabla tiene un espesor de 12 mm, un ancho de 120 mm y un largo de 2900 mm, cubriendo una superficie de 0.35 m2.</v>
      </c>
    </row>
    <row r="7">
      <c r="A7" s="55">
        <v>24999.0</v>
      </c>
      <c r="B7" s="5" t="s">
        <v>33</v>
      </c>
      <c r="C7" s="32" t="s">
        <v>786</v>
      </c>
      <c r="D7" s="32" t="s">
        <v>827</v>
      </c>
      <c r="E7" s="32" t="s">
        <v>828</v>
      </c>
      <c r="F7" s="32" t="s">
        <v>789</v>
      </c>
      <c r="G7" s="32" t="s">
        <v>829</v>
      </c>
      <c r="H7" s="32" t="s">
        <v>836</v>
      </c>
      <c r="I7" s="32">
        <v>12.0</v>
      </c>
      <c r="J7" s="32" t="s">
        <v>42</v>
      </c>
      <c r="K7" s="32">
        <v>120.0</v>
      </c>
      <c r="L7" s="32" t="s">
        <v>42</v>
      </c>
      <c r="M7" s="32">
        <v>2900.0</v>
      </c>
      <c r="N7" s="32" t="s">
        <v>42</v>
      </c>
      <c r="O7" s="32">
        <v>0.35</v>
      </c>
      <c r="P7" s="32" t="s">
        <v>46</v>
      </c>
      <c r="Q7" s="43">
        <f t="shared" si="3"/>
        <v>7.7</v>
      </c>
      <c r="R7" s="32" t="s">
        <v>792</v>
      </c>
      <c r="S7" s="32">
        <v>22.0</v>
      </c>
      <c r="T7" s="32" t="s">
        <v>792</v>
      </c>
      <c r="U7" s="35">
        <f t="shared" si="1"/>
        <v>2.655172414</v>
      </c>
      <c r="V7" s="32" t="s">
        <v>792</v>
      </c>
      <c r="W7" s="43" t="str">
        <f t="shared" ref="W7:W24" si="4">CONCATENATE(A7,"-1.jpg; ",A7, "-2.jpg; ",A7, "-3.jpg")</f>
        <v>24999-1.jpg; 24999-2.jpg; 24999-3.jpg</v>
      </c>
      <c r="AB7" s="43" t="str">
        <f>IFERROR(__xludf.DUMMYFUNCTION("ai(""breve descripcion de este producto"")"),"Este revestimiento interior de la marca Max Core, línea Elite Pannel Skin en color Blanco Perla, está fabricado en EPS (poliestireno expandido). Es un panel acanalado diseñado para uso en interiores, destacándose por ser el tono más claro de su línea. Cad"&amp;"a tabla tiene un espesor de 12 mm, un ancho de 120 mm y un largo de 2900 mm, cubriendo una superficie de 0.35 m2. Es un material resistente a la humedad y de fácil mantenimiento.")</f>
        <v>Este revestimiento interior de la marca Max Core, línea Elite Pannel Skin en color Blanco Perla, está fabricado en EPS (poliestireno expandido). Es un panel acanalado diseñado para uso en interiores, destacándose por ser el tono más claro de su línea. Cada tabla tiene un espesor de 12 mm, un ancho de 120 mm y un largo de 2900 mm, cubriendo una superficie de 0.35 m2. Es un material resistente a la humedad y de fácil mantenimiento.</v>
      </c>
    </row>
    <row r="8">
      <c r="A8" s="55">
        <v>25001.0</v>
      </c>
      <c r="B8" s="5" t="s">
        <v>33</v>
      </c>
      <c r="C8" s="32" t="s">
        <v>786</v>
      </c>
      <c r="D8" s="32" t="s">
        <v>827</v>
      </c>
      <c r="E8" s="32" t="s">
        <v>828</v>
      </c>
      <c r="F8" s="32" t="s">
        <v>789</v>
      </c>
      <c r="G8" s="32" t="s">
        <v>829</v>
      </c>
      <c r="H8" s="32" t="s">
        <v>837</v>
      </c>
      <c r="I8" s="32">
        <v>12.0</v>
      </c>
      <c r="J8" s="32" t="s">
        <v>42</v>
      </c>
      <c r="K8" s="32">
        <v>120.0</v>
      </c>
      <c r="L8" s="32" t="s">
        <v>42</v>
      </c>
      <c r="M8" s="32">
        <v>2900.0</v>
      </c>
      <c r="N8" s="32" t="s">
        <v>42</v>
      </c>
      <c r="O8" s="32">
        <v>0.35</v>
      </c>
      <c r="P8" s="32" t="s">
        <v>46</v>
      </c>
      <c r="Q8" s="43">
        <f t="shared" si="3"/>
        <v>7.7</v>
      </c>
      <c r="R8" s="32" t="s">
        <v>792</v>
      </c>
      <c r="S8" s="32">
        <v>22.0</v>
      </c>
      <c r="T8" s="32" t="s">
        <v>792</v>
      </c>
      <c r="U8" s="35">
        <f t="shared" si="1"/>
        <v>2.655172414</v>
      </c>
      <c r="V8" s="32" t="s">
        <v>792</v>
      </c>
      <c r="W8" s="43" t="str">
        <f t="shared" si="4"/>
        <v>25001-1.jpg; 25001-2.jpg; 25001-3.jpg</v>
      </c>
      <c r="AB8" s="32" t="s">
        <v>838</v>
      </c>
    </row>
    <row r="9">
      <c r="A9" s="55">
        <v>25000.0</v>
      </c>
      <c r="B9" s="5" t="s">
        <v>33</v>
      </c>
      <c r="C9" s="32" t="s">
        <v>786</v>
      </c>
      <c r="D9" s="32" t="s">
        <v>827</v>
      </c>
      <c r="E9" s="32" t="s">
        <v>828</v>
      </c>
      <c r="F9" s="32" t="s">
        <v>789</v>
      </c>
      <c r="G9" s="32" t="s">
        <v>829</v>
      </c>
      <c r="H9" s="32" t="s">
        <v>839</v>
      </c>
      <c r="I9" s="32">
        <v>12.0</v>
      </c>
      <c r="J9" s="32" t="s">
        <v>42</v>
      </c>
      <c r="K9" s="32">
        <v>120.0</v>
      </c>
      <c r="L9" s="32" t="s">
        <v>42</v>
      </c>
      <c r="M9" s="32">
        <v>2900.0</v>
      </c>
      <c r="N9" s="32" t="s">
        <v>42</v>
      </c>
      <c r="O9" s="32">
        <v>0.35</v>
      </c>
      <c r="P9" s="32" t="s">
        <v>46</v>
      </c>
      <c r="Q9" s="43">
        <f t="shared" si="3"/>
        <v>7.7</v>
      </c>
      <c r="R9" s="32" t="s">
        <v>792</v>
      </c>
      <c r="S9" s="32">
        <v>22.0</v>
      </c>
      <c r="T9" s="32" t="s">
        <v>792</v>
      </c>
      <c r="U9" s="35">
        <f t="shared" si="1"/>
        <v>2.655172414</v>
      </c>
      <c r="V9" s="32" t="s">
        <v>792</v>
      </c>
      <c r="W9" s="43" t="str">
        <f t="shared" si="4"/>
        <v>25000-1.jpg; 25000-2.jpg; 25000-3.jpg</v>
      </c>
      <c r="AB9" s="32" t="s">
        <v>838</v>
      </c>
    </row>
    <row r="10">
      <c r="A10" s="55">
        <v>25002.0</v>
      </c>
      <c r="B10" s="5" t="s">
        <v>33</v>
      </c>
      <c r="C10" s="32" t="s">
        <v>786</v>
      </c>
      <c r="D10" s="32" t="s">
        <v>827</v>
      </c>
      <c r="E10" s="32" t="s">
        <v>828</v>
      </c>
      <c r="F10" s="32" t="s">
        <v>789</v>
      </c>
      <c r="G10" s="32" t="s">
        <v>829</v>
      </c>
      <c r="H10" s="32" t="s">
        <v>840</v>
      </c>
      <c r="I10" s="32">
        <v>12.0</v>
      </c>
      <c r="J10" s="32" t="s">
        <v>42</v>
      </c>
      <c r="K10" s="32">
        <v>120.0</v>
      </c>
      <c r="L10" s="32" t="s">
        <v>42</v>
      </c>
      <c r="M10" s="32">
        <v>2900.0</v>
      </c>
      <c r="N10" s="32" t="s">
        <v>42</v>
      </c>
      <c r="O10" s="32">
        <v>0.35</v>
      </c>
      <c r="P10" s="32" t="s">
        <v>46</v>
      </c>
      <c r="Q10" s="43">
        <f t="shared" si="3"/>
        <v>7.7</v>
      </c>
      <c r="R10" s="32" t="s">
        <v>792</v>
      </c>
      <c r="S10" s="32">
        <v>22.0</v>
      </c>
      <c r="T10" s="32" t="s">
        <v>792</v>
      </c>
      <c r="U10" s="35">
        <f t="shared" si="1"/>
        <v>2.655172414</v>
      </c>
      <c r="V10" s="32" t="s">
        <v>792</v>
      </c>
      <c r="W10" s="43" t="str">
        <f t="shared" si="4"/>
        <v>25002-1.jpg; 25002-2.jpg; 25002-3.jpg</v>
      </c>
      <c r="AB10" s="32" t="s">
        <v>838</v>
      </c>
    </row>
    <row r="11">
      <c r="A11" s="55">
        <v>25003.0</v>
      </c>
      <c r="B11" s="5" t="s">
        <v>33</v>
      </c>
      <c r="C11" s="32" t="s">
        <v>786</v>
      </c>
      <c r="D11" s="32" t="s">
        <v>827</v>
      </c>
      <c r="E11" s="32" t="s">
        <v>828</v>
      </c>
      <c r="F11" s="32" t="s">
        <v>789</v>
      </c>
      <c r="G11" s="32" t="s">
        <v>841</v>
      </c>
      <c r="H11" s="32" t="s">
        <v>842</v>
      </c>
      <c r="I11" s="32">
        <v>12.0</v>
      </c>
      <c r="J11" s="32" t="s">
        <v>42</v>
      </c>
      <c r="K11" s="32">
        <v>120.0</v>
      </c>
      <c r="L11" s="32" t="s">
        <v>42</v>
      </c>
      <c r="M11" s="32">
        <v>2900.0</v>
      </c>
      <c r="N11" s="32" t="s">
        <v>42</v>
      </c>
      <c r="O11" s="32">
        <v>0.35</v>
      </c>
      <c r="P11" s="32" t="s">
        <v>46</v>
      </c>
      <c r="Q11" s="43">
        <f t="shared" si="3"/>
        <v>7.7</v>
      </c>
      <c r="R11" s="32" t="s">
        <v>792</v>
      </c>
      <c r="S11" s="32">
        <v>22.0</v>
      </c>
      <c r="T11" s="32" t="s">
        <v>792</v>
      </c>
      <c r="U11" s="35">
        <f t="shared" si="1"/>
        <v>2.655172414</v>
      </c>
      <c r="V11" s="32" t="s">
        <v>792</v>
      </c>
      <c r="W11" s="43" t="str">
        <f t="shared" si="4"/>
        <v>25003-1.jpg; 25003-2.jpg; 25003-3.jpg</v>
      </c>
      <c r="AB11" s="32" t="s">
        <v>838</v>
      </c>
    </row>
    <row r="12">
      <c r="A12" s="55">
        <v>25004.0</v>
      </c>
      <c r="B12" s="5" t="s">
        <v>33</v>
      </c>
      <c r="C12" s="32" t="s">
        <v>786</v>
      </c>
      <c r="D12" s="32" t="s">
        <v>827</v>
      </c>
      <c r="E12" s="32" t="s">
        <v>828</v>
      </c>
      <c r="F12" s="32" t="s">
        <v>789</v>
      </c>
      <c r="G12" s="32" t="s">
        <v>841</v>
      </c>
      <c r="H12" s="32" t="s">
        <v>843</v>
      </c>
      <c r="I12" s="32">
        <v>12.0</v>
      </c>
      <c r="J12" s="32" t="s">
        <v>42</v>
      </c>
      <c r="K12" s="32">
        <v>120.0</v>
      </c>
      <c r="L12" s="32" t="s">
        <v>42</v>
      </c>
      <c r="M12" s="32">
        <v>2900.0</v>
      </c>
      <c r="N12" s="32" t="s">
        <v>42</v>
      </c>
      <c r="O12" s="32">
        <v>0.35</v>
      </c>
      <c r="P12" s="32" t="s">
        <v>46</v>
      </c>
      <c r="Q12" s="43">
        <f t="shared" si="3"/>
        <v>7.7</v>
      </c>
      <c r="R12" s="32" t="s">
        <v>792</v>
      </c>
      <c r="S12" s="32">
        <v>22.0</v>
      </c>
      <c r="T12" s="32" t="s">
        <v>792</v>
      </c>
      <c r="U12" s="35">
        <f t="shared" si="1"/>
        <v>2.655172414</v>
      </c>
      <c r="V12" s="32" t="s">
        <v>792</v>
      </c>
      <c r="W12" s="43" t="str">
        <f t="shared" si="4"/>
        <v>25004-1.jpg; 25004-2.jpg; 25004-3.jpg</v>
      </c>
      <c r="AB12" s="32" t="s">
        <v>838</v>
      </c>
    </row>
    <row r="13">
      <c r="A13" s="55">
        <v>25006.0</v>
      </c>
      <c r="B13" s="5" t="s">
        <v>33</v>
      </c>
      <c r="C13" s="32" t="s">
        <v>786</v>
      </c>
      <c r="D13" s="32" t="s">
        <v>827</v>
      </c>
      <c r="E13" s="32" t="s">
        <v>828</v>
      </c>
      <c r="F13" s="32" t="s">
        <v>789</v>
      </c>
      <c r="G13" s="32" t="s">
        <v>841</v>
      </c>
      <c r="H13" s="32" t="s">
        <v>807</v>
      </c>
      <c r="I13" s="32">
        <v>12.0</v>
      </c>
      <c r="J13" s="32" t="s">
        <v>42</v>
      </c>
      <c r="K13" s="32">
        <v>120.0</v>
      </c>
      <c r="L13" s="32" t="s">
        <v>42</v>
      </c>
      <c r="M13" s="32">
        <v>2900.0</v>
      </c>
      <c r="N13" s="32" t="s">
        <v>42</v>
      </c>
      <c r="O13" s="32">
        <v>0.35</v>
      </c>
      <c r="P13" s="32" t="s">
        <v>46</v>
      </c>
      <c r="Q13" s="43">
        <f t="shared" si="3"/>
        <v>7.7</v>
      </c>
      <c r="R13" s="32" t="s">
        <v>792</v>
      </c>
      <c r="S13" s="32">
        <v>22.0</v>
      </c>
      <c r="T13" s="32" t="s">
        <v>792</v>
      </c>
      <c r="U13" s="35">
        <f t="shared" si="1"/>
        <v>2.655172414</v>
      </c>
      <c r="V13" s="32" t="s">
        <v>792</v>
      </c>
      <c r="W13" s="43" t="str">
        <f t="shared" si="4"/>
        <v>25006-1.jpg; 25006-2.jpg; 25006-3.jpg</v>
      </c>
      <c r="AB13" s="43" t="str">
        <f>IFERROR(__xludf.DUMMYFUNCTION("ai(""breve descripcion de este producto"")"),"Este revestimiento de interior de la marca Max Core, línea Elite pannel Skin en color Lapacho, está fabricado en EPS (poliestireno expandido). Es un material ligero, resistente y de fácil instalación, ideal para renovar ambientes interiores con una estéti"&amp;"ca de madera natural. Cada tabla tiene un espesor de 12 mm, un ancho de 120 mm y un largo de 2900 mm, cubriendo una superficie de 0.35 m2.")</f>
        <v>Este revestimiento de interior de la marca Max Core, línea Elite pannel Skin en color Lapacho, está fabricado en EPS (poliestireno expandido). Es un material ligero, resistente y de fácil instalación, ideal para renovar ambientes interiores con una estética de madera natural. Cada tabla tiene un espesor de 12 mm, un ancho de 120 mm y un largo de 2900 mm, cubriendo una superficie de 0.35 m2.</v>
      </c>
    </row>
    <row r="14">
      <c r="A14" s="55">
        <v>25005.0</v>
      </c>
      <c r="B14" s="5" t="s">
        <v>33</v>
      </c>
      <c r="C14" s="32" t="s">
        <v>786</v>
      </c>
      <c r="D14" s="32" t="s">
        <v>827</v>
      </c>
      <c r="E14" s="32" t="s">
        <v>828</v>
      </c>
      <c r="F14" s="32" t="s">
        <v>789</v>
      </c>
      <c r="G14" s="32" t="s">
        <v>841</v>
      </c>
      <c r="H14" s="32" t="s">
        <v>844</v>
      </c>
      <c r="I14" s="32">
        <v>12.0</v>
      </c>
      <c r="J14" s="32" t="s">
        <v>42</v>
      </c>
      <c r="K14" s="32">
        <v>120.0</v>
      </c>
      <c r="L14" s="32" t="s">
        <v>42</v>
      </c>
      <c r="M14" s="32">
        <v>2900.0</v>
      </c>
      <c r="N14" s="32" t="s">
        <v>42</v>
      </c>
      <c r="O14" s="32">
        <v>0.35</v>
      </c>
      <c r="P14" s="32" t="s">
        <v>46</v>
      </c>
      <c r="Q14" s="43">
        <f t="shared" si="3"/>
        <v>7.7</v>
      </c>
      <c r="R14" s="32" t="s">
        <v>792</v>
      </c>
      <c r="S14" s="32">
        <v>22.0</v>
      </c>
      <c r="T14" s="32" t="s">
        <v>792</v>
      </c>
      <c r="U14" s="35">
        <f t="shared" si="1"/>
        <v>2.655172414</v>
      </c>
      <c r="V14" s="32" t="s">
        <v>792</v>
      </c>
      <c r="W14" s="43" t="str">
        <f t="shared" si="4"/>
        <v>25005-1.jpg; 25005-2.jpg; 25005-3.jpg</v>
      </c>
      <c r="AB14" s="32" t="s">
        <v>838</v>
      </c>
    </row>
    <row r="15">
      <c r="A15" s="55">
        <v>25266.0</v>
      </c>
      <c r="B15" s="5" t="s">
        <v>33</v>
      </c>
      <c r="C15" s="32" t="s">
        <v>786</v>
      </c>
      <c r="D15" s="32" t="s">
        <v>827</v>
      </c>
      <c r="E15" s="32" t="s">
        <v>828</v>
      </c>
      <c r="F15" s="32" t="s">
        <v>789</v>
      </c>
      <c r="G15" s="32" t="s">
        <v>841</v>
      </c>
      <c r="H15" s="32" t="s">
        <v>845</v>
      </c>
      <c r="I15" s="32">
        <v>12.0</v>
      </c>
      <c r="J15" s="32" t="s">
        <v>42</v>
      </c>
      <c r="K15" s="32">
        <v>120.0</v>
      </c>
      <c r="L15" s="32" t="s">
        <v>42</v>
      </c>
      <c r="M15" s="32">
        <v>2900.0</v>
      </c>
      <c r="N15" s="32" t="s">
        <v>42</v>
      </c>
      <c r="O15" s="32">
        <v>0.35</v>
      </c>
      <c r="P15" s="32" t="s">
        <v>46</v>
      </c>
      <c r="Q15" s="43">
        <f t="shared" si="3"/>
        <v>6.93</v>
      </c>
      <c r="R15" s="32" t="s">
        <v>792</v>
      </c>
      <c r="S15" s="32">
        <v>19.8</v>
      </c>
      <c r="T15" s="32" t="s">
        <v>792</v>
      </c>
      <c r="U15" s="35">
        <f t="shared" si="1"/>
        <v>2.389655172</v>
      </c>
      <c r="V15" s="32" t="s">
        <v>792</v>
      </c>
      <c r="W15" s="43" t="str">
        <f t="shared" si="4"/>
        <v>25266-1.jpg; 25266-2.jpg; 25266-3.jpg</v>
      </c>
      <c r="AB15" s="43" t="str">
        <f>IFERROR(__xludf.DUMMYFUNCTION("ai(""breve descripcion de este producto"")"),"Este revestimiento para interiores de la marca Max Core, perteneciente a la línea Elite Pannel Skin en color Aura, está fabricado en EPS (poliestireno expandido). Es un material ligero, resistente a la humedad y de fácil instalación, diseñado para aportar"&amp;" diseño y textura a paredes en ambientes como livings o dormitorios. Cada tabla presenta un espesor de 12 mm, un ancho de 120 mm y un largo de 2900 mm, cubriendo una superficie de 0.35 m2.")</f>
        <v>Este revestimiento para interiores de la marca Max Core, perteneciente a la línea Elite Pannel Skin en color Aura, está fabricado en EPS (poliestireno expandido). Es un material ligero, resistente a la humedad y de fácil instalación, diseñado para aportar diseño y textura a paredes en ambientes como livings o dormitorios. Cada tabla presenta un espesor de 12 mm, un ancho de 120 mm y un largo de 2900 mm, cubriendo una superficie de 0.35 m2.</v>
      </c>
    </row>
    <row r="16" ht="15.75" customHeight="1">
      <c r="A16" s="55">
        <v>25269.0</v>
      </c>
      <c r="B16" s="5" t="s">
        <v>33</v>
      </c>
      <c r="C16" s="32" t="s">
        <v>786</v>
      </c>
      <c r="D16" s="32" t="s">
        <v>827</v>
      </c>
      <c r="E16" s="32" t="s">
        <v>828</v>
      </c>
      <c r="F16" s="32" t="s">
        <v>789</v>
      </c>
      <c r="G16" s="32" t="s">
        <v>841</v>
      </c>
      <c r="H16" s="32" t="s">
        <v>846</v>
      </c>
      <c r="I16" s="32">
        <v>12.0</v>
      </c>
      <c r="J16" s="32" t="s">
        <v>42</v>
      </c>
      <c r="K16" s="32">
        <v>120.0</v>
      </c>
      <c r="L16" s="32" t="s">
        <v>42</v>
      </c>
      <c r="M16" s="32">
        <v>2900.0</v>
      </c>
      <c r="N16" s="32" t="s">
        <v>42</v>
      </c>
      <c r="O16" s="32">
        <v>0.35</v>
      </c>
      <c r="P16" s="32" t="s">
        <v>46</v>
      </c>
      <c r="Q16" s="43">
        <f t="shared" si="3"/>
        <v>6.93</v>
      </c>
      <c r="R16" s="32" t="s">
        <v>792</v>
      </c>
      <c r="S16" s="32">
        <v>19.8</v>
      </c>
      <c r="T16" s="32" t="s">
        <v>792</v>
      </c>
      <c r="U16" s="35">
        <f t="shared" si="1"/>
        <v>2.389655172</v>
      </c>
      <c r="V16" s="32" t="s">
        <v>792</v>
      </c>
      <c r="W16" s="43" t="str">
        <f t="shared" si="4"/>
        <v>25269-1.jpg; 25269-2.jpg; 25269-3.jpg</v>
      </c>
      <c r="AB16" s="43" t="str">
        <f>IFERROR(__xludf.DUMMYFUNCTION("ai(""breve descripcion de este producto"")"),"Este revestimiento interior de la marca Max Core, línea Elite Pannel Skin en color Alto, está fabricado en EPS (poliestireno expandido). Es un material duradero, resistente al agua y a la corrosión, diseñado para transformar ambientes internos con un acab"&amp;"ado elegante y sofisticado que no requiere mantenimiento. Cada tabla posee un sistema de machihembrado para una instalación rápida y sencilla, con un espesor de 12 mm, un ancho de 120 mm y un largo de 2900 mm, cubriendo una superficie de 0.35 m2.")</f>
        <v>Este revestimiento interior de la marca Max Core, línea Elite Pannel Skin en color Alto, está fabricado en EPS (poliestireno expandido). Es un material duradero, resistente al agua y a la corrosión, diseñado para transformar ambientes internos con un acabado elegante y sofisticado que no requiere mantenimiento. Cada tabla posee un sistema de machihembrado para una instalación rápida y sencilla, con un espesor de 12 mm, un ancho de 120 mm y un largo de 2900 mm, cubriendo una superficie de 0.35 m2.</v>
      </c>
    </row>
    <row r="17" ht="15.75" customHeight="1">
      <c r="A17" s="55">
        <v>25268.0</v>
      </c>
      <c r="B17" s="5" t="s">
        <v>33</v>
      </c>
      <c r="C17" s="32" t="s">
        <v>786</v>
      </c>
      <c r="D17" s="32" t="s">
        <v>827</v>
      </c>
      <c r="E17" s="32" t="s">
        <v>828</v>
      </c>
      <c r="F17" s="32" t="s">
        <v>789</v>
      </c>
      <c r="G17" s="32" t="s">
        <v>847</v>
      </c>
      <c r="H17" s="32" t="s">
        <v>848</v>
      </c>
      <c r="I17" s="32">
        <v>12.0</v>
      </c>
      <c r="J17" s="32" t="s">
        <v>42</v>
      </c>
      <c r="K17" s="32">
        <v>120.0</v>
      </c>
      <c r="L17" s="32" t="s">
        <v>42</v>
      </c>
      <c r="M17" s="32">
        <v>2900.0</v>
      </c>
      <c r="N17" s="32" t="s">
        <v>42</v>
      </c>
      <c r="O17" s="32">
        <v>0.35</v>
      </c>
      <c r="P17" s="32" t="s">
        <v>46</v>
      </c>
      <c r="Q17" s="43">
        <f t="shared" si="3"/>
        <v>6.93</v>
      </c>
      <c r="R17" s="32" t="s">
        <v>792</v>
      </c>
      <c r="S17" s="32">
        <v>19.8</v>
      </c>
      <c r="T17" s="32" t="s">
        <v>792</v>
      </c>
      <c r="U17" s="35">
        <f t="shared" si="1"/>
        <v>2.389655172</v>
      </c>
      <c r="V17" s="32" t="s">
        <v>792</v>
      </c>
      <c r="W17" s="43" t="str">
        <f t="shared" si="4"/>
        <v>25268-1.jpg; 25268-2.jpg; 25268-3.jpg</v>
      </c>
      <c r="AB17" s="43" t="str">
        <f>IFERROR(__xludf.DUMMYFUNCTION("ai(""breve descripcion de este producto"")"),"Este revestimiento interior de la marca Max Core, línea Elite pannel skin en color Bosco, está fabricado en EPS (poliestireno expandido). Es un material diseñado para paredes interiores que ofrece un acabado estético de alta calidad y es 100% libre de man"&amp;"tenimiento. Cada tabla tiene un espesor de 12 mm, un ancho de 120 mm y un largo de 2900 mm, cubriendo una superficie de 0.35 m2.")</f>
        <v>Este revestimiento interior de la marca Max Core, línea Elite pannel skin en color Bosco, está fabricado en EPS (poliestireno expandido). Es un material diseñado para paredes interiores que ofrece un acabado estético de alta calidad y es 100% libre de mantenimiento. Cada tabla tiene un espesor de 12 mm, un ancho de 120 mm y un largo de 2900 mm, cubriendo una superficie de 0.35 m2.</v>
      </c>
    </row>
    <row r="18" ht="15.75" customHeight="1">
      <c r="A18" s="55">
        <v>25260.0</v>
      </c>
      <c r="B18" s="5" t="s">
        <v>33</v>
      </c>
      <c r="C18" s="32" t="s">
        <v>786</v>
      </c>
      <c r="D18" s="32" t="s">
        <v>827</v>
      </c>
      <c r="E18" s="32" t="s">
        <v>828</v>
      </c>
      <c r="F18" s="32" t="s">
        <v>789</v>
      </c>
      <c r="G18" s="32" t="s">
        <v>847</v>
      </c>
      <c r="H18" s="32" t="s">
        <v>849</v>
      </c>
      <c r="I18" s="32">
        <v>12.0</v>
      </c>
      <c r="J18" s="32" t="s">
        <v>42</v>
      </c>
      <c r="K18" s="32">
        <v>120.0</v>
      </c>
      <c r="L18" s="32" t="s">
        <v>42</v>
      </c>
      <c r="M18" s="32">
        <v>2900.0</v>
      </c>
      <c r="N18" s="32" t="s">
        <v>42</v>
      </c>
      <c r="O18" s="32">
        <v>0.35</v>
      </c>
      <c r="P18" s="32" t="s">
        <v>46</v>
      </c>
      <c r="Q18" s="43">
        <f t="shared" si="3"/>
        <v>6.93</v>
      </c>
      <c r="R18" s="32" t="s">
        <v>792</v>
      </c>
      <c r="S18" s="32">
        <v>19.8</v>
      </c>
      <c r="T18" s="32" t="s">
        <v>792</v>
      </c>
      <c r="U18" s="35">
        <f t="shared" si="1"/>
        <v>2.389655172</v>
      </c>
      <c r="V18" s="32" t="s">
        <v>792</v>
      </c>
      <c r="W18" s="43" t="str">
        <f t="shared" si="4"/>
        <v>25260-1.jpg; 25260-2.jpg; 25260-3.jpg</v>
      </c>
      <c r="AB18" s="43" t="str">
        <f>IFERROR(__xludf.DUMMYFUNCTION("ai(""breve descripcion de este producto"")"),"Este revestimiento interior de la marca Max Core, línea Elite pannel skin en color Nova, está fabricado en EPS (poliestireno expandido). Es un material libre de mantenimiento, con diseño premium y de fácil instalación, ideal para transformar espacios inte"&amp;"riores. Cada tabla tiene un espesor de 12 mm, un ancho de 120 mm y un largo de 2900 mm, cubriendo una superficie de 0.35 m2.")</f>
        <v>Este revestimiento interior de la marca Max Core, línea Elite pannel skin en color Nova, está fabricado en EPS (poliestireno expandido). Es un material libre de mantenimiento, con diseño premium y de fácil instalación, ideal para transformar espacios interiores. Cada tabla tiene un espesor de 12 mm, un ancho de 120 mm y un largo de 2900 mm, cubriendo una superficie de 0.35 m2.</v>
      </c>
    </row>
    <row r="19" ht="15.75" customHeight="1">
      <c r="A19" s="55">
        <v>25261.0</v>
      </c>
      <c r="B19" s="5" t="s">
        <v>33</v>
      </c>
      <c r="C19" s="32" t="s">
        <v>786</v>
      </c>
      <c r="D19" s="32" t="s">
        <v>827</v>
      </c>
      <c r="E19" s="32" t="s">
        <v>828</v>
      </c>
      <c r="F19" s="32" t="s">
        <v>789</v>
      </c>
      <c r="G19" s="32" t="s">
        <v>847</v>
      </c>
      <c r="H19" s="32" t="s">
        <v>850</v>
      </c>
      <c r="I19" s="32">
        <v>12.0</v>
      </c>
      <c r="J19" s="32" t="s">
        <v>42</v>
      </c>
      <c r="K19" s="32">
        <v>120.0</v>
      </c>
      <c r="L19" s="32" t="s">
        <v>42</v>
      </c>
      <c r="M19" s="32">
        <v>2900.0</v>
      </c>
      <c r="N19" s="32" t="s">
        <v>42</v>
      </c>
      <c r="O19" s="32">
        <v>0.35</v>
      </c>
      <c r="P19" s="32" t="s">
        <v>46</v>
      </c>
      <c r="Q19" s="43">
        <f t="shared" si="3"/>
        <v>6.93</v>
      </c>
      <c r="R19" s="32" t="s">
        <v>792</v>
      </c>
      <c r="S19" s="32">
        <v>19.8</v>
      </c>
      <c r="T19" s="32" t="s">
        <v>792</v>
      </c>
      <c r="U19" s="35">
        <f t="shared" si="1"/>
        <v>2.389655172</v>
      </c>
      <c r="V19" s="32" t="s">
        <v>792</v>
      </c>
      <c r="W19" s="43" t="str">
        <f t="shared" si="4"/>
        <v>25261-1.jpg; 25261-2.jpg; 25261-3.jpg</v>
      </c>
      <c r="AB19" s="43" t="str">
        <f>IFERROR(__xludf.DUMMYFUNCTION("ai(""breve descripcion de este producto"")"),"Este revestimiento de pared interior de la marca Max Core, perteneciente a la línea Elite pannel skin en color Terra, está fabricado en EPS (poliestireno expandido). Es un producto ecológico, resistente al agua y de fácil instalación, diseñado para transf"&amp;"ormar ambientes interiores con un acabado moderno. Cada tabla posee un espesor de 12 mm, un ancho de 120 mm y un largo de 2900 mm, cubriendo una superficie total de 0.35 m2.")</f>
        <v>Este revestimiento de pared interior de la marca Max Core, perteneciente a la línea Elite pannel skin en color Terra, está fabricado en EPS (poliestireno expandido). Es un producto ecológico, resistente al agua y de fácil instalación, diseñado para transformar ambientes interiores con un acabado moderno. Cada tabla posee un espesor de 12 mm, un ancho de 120 mm y un largo de 2900 mm, cubriendo una superficie total de 0.35 m2.</v>
      </c>
    </row>
    <row r="20" ht="15.75" customHeight="1">
      <c r="A20" s="55">
        <v>25267.0</v>
      </c>
      <c r="B20" s="5" t="s">
        <v>33</v>
      </c>
      <c r="C20" s="32" t="s">
        <v>786</v>
      </c>
      <c r="D20" s="32" t="s">
        <v>827</v>
      </c>
      <c r="E20" s="32" t="s">
        <v>828</v>
      </c>
      <c r="F20" s="32" t="s">
        <v>789</v>
      </c>
      <c r="G20" s="32" t="s">
        <v>847</v>
      </c>
      <c r="H20" s="32" t="s">
        <v>851</v>
      </c>
      <c r="I20" s="32">
        <v>12.0</v>
      </c>
      <c r="J20" s="32" t="s">
        <v>42</v>
      </c>
      <c r="K20" s="32">
        <v>120.0</v>
      </c>
      <c r="L20" s="32" t="s">
        <v>42</v>
      </c>
      <c r="M20" s="32">
        <v>2900.0</v>
      </c>
      <c r="N20" s="32" t="s">
        <v>42</v>
      </c>
      <c r="O20" s="32">
        <v>0.35</v>
      </c>
      <c r="P20" s="32" t="s">
        <v>46</v>
      </c>
      <c r="Q20" s="43">
        <f t="shared" si="3"/>
        <v>6.93</v>
      </c>
      <c r="R20" s="32" t="s">
        <v>792</v>
      </c>
      <c r="S20" s="32">
        <v>19.8</v>
      </c>
      <c r="T20" s="32" t="s">
        <v>792</v>
      </c>
      <c r="U20" s="35">
        <f t="shared" si="1"/>
        <v>2.389655172</v>
      </c>
      <c r="V20" s="32" t="s">
        <v>792</v>
      </c>
      <c r="W20" s="43" t="str">
        <f t="shared" si="4"/>
        <v>25267-1.jpg; 25267-2.jpg; 25267-3.jpg</v>
      </c>
      <c r="AB20" s="43" t="str">
        <f>IFERROR(__xludf.DUMMYFUNCTION("ai(""breve descripcion de este producto"")"),"Este revestimiento interior de la marca Max Core, perteneciente a la línea Elite pannel skin en color Zenit, está fabricado en EPS (poliestireno expandido). Se caracteriza por un acabado supermate de tacto sedoso y una alta resistencia a rayaduras, mancha"&amp;"s y abrasión. Cada tabla tiene un espesor de 12 mm, un ancho de 120 mm y un largo de 2900 mm, cubriendo una superficie de 0.35 m2. Es un material duradero y de fácil limpieza, diseñado para crear ambientes sofisticados con una estética moderna y minimalis"&amp;"ta.")</f>
        <v>Este revestimiento interior de la marca Max Core, perteneciente a la línea Elite pannel skin en color Zenit, está fabricado en EPS (poliestireno expandido). Se caracteriza por un acabado supermate de tacto sedoso y una alta resistencia a rayaduras, manchas y abrasión. Cada tabla tiene un espesor de 12 mm, un ancho de 120 mm y un largo de 2900 mm, cubriendo una superficie de 0.35 m2. Es un material duradero y de fácil limpieza, diseñado para crear ambientes sofisticados con una estética moderna y minimalista.</v>
      </c>
    </row>
    <row r="21" ht="15.75" customHeight="1">
      <c r="A21" s="55">
        <v>25265.0</v>
      </c>
      <c r="B21" s="5" t="s">
        <v>33</v>
      </c>
      <c r="C21" s="32" t="s">
        <v>786</v>
      </c>
      <c r="D21" s="32" t="s">
        <v>827</v>
      </c>
      <c r="E21" s="32" t="s">
        <v>828</v>
      </c>
      <c r="F21" s="32" t="s">
        <v>789</v>
      </c>
      <c r="G21" s="32" t="s">
        <v>847</v>
      </c>
      <c r="H21" s="32" t="s">
        <v>852</v>
      </c>
      <c r="I21" s="32">
        <v>12.0</v>
      </c>
      <c r="J21" s="32" t="s">
        <v>42</v>
      </c>
      <c r="K21" s="32">
        <v>120.0</v>
      </c>
      <c r="L21" s="32" t="s">
        <v>42</v>
      </c>
      <c r="M21" s="32">
        <v>2900.0</v>
      </c>
      <c r="N21" s="32" t="s">
        <v>42</v>
      </c>
      <c r="O21" s="32">
        <v>0.35</v>
      </c>
      <c r="P21" s="32" t="s">
        <v>46</v>
      </c>
      <c r="Q21" s="43">
        <f t="shared" si="3"/>
        <v>6.93</v>
      </c>
      <c r="R21" s="32" t="s">
        <v>792</v>
      </c>
      <c r="S21" s="32">
        <v>19.8</v>
      </c>
      <c r="T21" s="32" t="s">
        <v>792</v>
      </c>
      <c r="U21" s="35">
        <f t="shared" si="1"/>
        <v>2.389655172</v>
      </c>
      <c r="V21" s="32" t="s">
        <v>792</v>
      </c>
      <c r="W21" s="43" t="str">
        <f t="shared" si="4"/>
        <v>25265-1.jpg; 25265-2.jpg; 25265-3.jpg</v>
      </c>
      <c r="AB21" s="43" t="str">
        <f>IFERROR(__xludf.DUMMYFUNCTION("ai(""breve descripcion de este producto"")"),"Este revestimiento interior de la marca Max Core, línea Elite pannel skin en color Magno, está fabricado en EPS (poliestireno expandido). Es un material resistente, duradero y 100% libre de mantenimiento, ideal para transformar livings, oficinas y dormito"&amp;"rios con un diseño moderno y una instalación de encastre prolija. Cada tabla tiene un espesor de 12 mm, un ancho de 120 mm y un largo de 2900 mm, cubriendo una superficie de 0.35 m2.")</f>
        <v>Este revestimiento interior de la marca Max Core, línea Elite pannel skin en color Magno, está fabricado en EPS (poliestireno expandido). Es un material resistente, duradero y 100% libre de mantenimiento, ideal para transformar livings, oficinas y dormitorios con un diseño moderno y una instalación de encastre prolija. Cada tabla tiene un espesor de 12 mm, un ancho de 120 mm y un largo de 2900 mm, cubriendo una superficie de 0.35 m2.</v>
      </c>
    </row>
    <row r="22" ht="15.75" customHeight="1">
      <c r="A22" s="55">
        <v>25263.0</v>
      </c>
      <c r="B22" s="5" t="s">
        <v>33</v>
      </c>
      <c r="C22" s="32" t="s">
        <v>786</v>
      </c>
      <c r="D22" s="32" t="s">
        <v>827</v>
      </c>
      <c r="E22" s="32" t="s">
        <v>828</v>
      </c>
      <c r="F22" s="32" t="s">
        <v>789</v>
      </c>
      <c r="G22" s="32" t="s">
        <v>847</v>
      </c>
      <c r="H22" s="32" t="s">
        <v>853</v>
      </c>
      <c r="I22" s="32">
        <v>12.0</v>
      </c>
      <c r="J22" s="32" t="s">
        <v>42</v>
      </c>
      <c r="K22" s="32">
        <v>120.0</v>
      </c>
      <c r="L22" s="32" t="s">
        <v>42</v>
      </c>
      <c r="M22" s="32">
        <v>2900.0</v>
      </c>
      <c r="N22" s="32" t="s">
        <v>42</v>
      </c>
      <c r="O22" s="32">
        <v>0.35</v>
      </c>
      <c r="P22" s="32" t="s">
        <v>46</v>
      </c>
      <c r="Q22" s="43">
        <f t="shared" si="3"/>
        <v>6.93</v>
      </c>
      <c r="R22" s="32" t="s">
        <v>792</v>
      </c>
      <c r="S22" s="32">
        <v>19.8</v>
      </c>
      <c r="T22" s="32" t="s">
        <v>792</v>
      </c>
      <c r="U22" s="35">
        <f t="shared" si="1"/>
        <v>2.389655172</v>
      </c>
      <c r="V22" s="32" t="s">
        <v>792</v>
      </c>
      <c r="W22" s="43" t="str">
        <f t="shared" si="4"/>
        <v>25263-1.jpg; 25263-2.jpg; 25263-3.jpg</v>
      </c>
      <c r="AB22" s="43" t="str">
        <f>IFERROR(__xludf.DUMMYFUNCTION("ai(""breve descripcion de este producto"")"),"Este revestimiento interior de la marca Max Core, línea Elite pannel skin en color Soria, está fabricado en EPS (poliestireno expandido). Es un material ligero y resistente, ideal para renovar ambientes internos con una estética moderna y de fácil instala"&amp;"ción. Cada tabla tiene un espesor de 12 mm, un ancho de 120 mm y un largo de 2900 mm, cubriendo una superficie de 0.35 m2.")</f>
        <v>Este revestimiento interior de la marca Max Core, línea Elite pannel skin en color Soria, está fabricado en EPS (poliestireno expandido). Es un material ligero y resistente, ideal para renovar ambientes internos con una estética moderna y de fácil instalación. Cada tabla tiene un espesor de 12 mm, un ancho de 120 mm y un largo de 2900 mm, cubriendo una superficie de 0.35 m2.</v>
      </c>
    </row>
    <row r="23" ht="15.75" customHeight="1">
      <c r="A23" s="55">
        <v>25264.0</v>
      </c>
      <c r="B23" s="5" t="s">
        <v>33</v>
      </c>
      <c r="C23" s="32" t="s">
        <v>786</v>
      </c>
      <c r="D23" s="32" t="s">
        <v>827</v>
      </c>
      <c r="E23" s="32" t="s">
        <v>828</v>
      </c>
      <c r="F23" s="32" t="s">
        <v>789</v>
      </c>
      <c r="G23" s="32" t="s">
        <v>847</v>
      </c>
      <c r="H23" s="32" t="s">
        <v>854</v>
      </c>
      <c r="I23" s="32">
        <v>12.0</v>
      </c>
      <c r="J23" s="32" t="s">
        <v>42</v>
      </c>
      <c r="K23" s="32">
        <v>120.0</v>
      </c>
      <c r="L23" s="32" t="s">
        <v>42</v>
      </c>
      <c r="M23" s="32">
        <v>2900.0</v>
      </c>
      <c r="N23" s="32" t="s">
        <v>42</v>
      </c>
      <c r="O23" s="32">
        <v>0.35</v>
      </c>
      <c r="P23" s="32" t="s">
        <v>46</v>
      </c>
      <c r="Q23" s="43">
        <f t="shared" si="3"/>
        <v>6.93</v>
      </c>
      <c r="R23" s="32" t="s">
        <v>792</v>
      </c>
      <c r="S23" s="32">
        <v>19.8</v>
      </c>
      <c r="T23" s="32" t="s">
        <v>792</v>
      </c>
      <c r="U23" s="35">
        <f t="shared" si="1"/>
        <v>2.389655172</v>
      </c>
      <c r="V23" s="32" t="s">
        <v>792</v>
      </c>
      <c r="W23" s="43" t="str">
        <f t="shared" si="4"/>
        <v>25264-1.jpg; 25264-2.jpg; 25264-3.jpg</v>
      </c>
      <c r="AB23" s="43" t="str">
        <f>IFERROR(__xludf.DUMMYFUNCTION("ai(""breve descripcion de este producto"")"),"Este revestimiento para pared interior de la marca Max Core, línea Elite Pannel Skin en color Lunar, está fabricado en EPS. Es un material diseñado para ser 100% libre de mantenimiento, resistente, duradero y de fácil limpieza. Presenta un diseño premium "&amp;"de instalación práctica mediante encastre, ideal para transformar livings, dormitorios, oficinas y locales comerciales. Cada tabla tiene un espesor de 12 mm, un ancho de 120 mm y un largo de 2900 mm, cubriendo una superficie de 0.35 m2.")</f>
        <v>Este revestimiento para pared interior de la marca Max Core, línea Elite Pannel Skin en color Lunar, está fabricado en EPS. Es un material diseñado para ser 100% libre de mantenimiento, resistente, duradero y de fácil limpieza. Presenta un diseño premium de instalación práctica mediante encastre, ideal para transformar livings, dormitorios, oficinas y locales comerciales. Cada tabla tiene un espesor de 12 mm, un ancho de 120 mm y un largo de 2900 mm, cubriendo una superficie de 0.35 m2.</v>
      </c>
    </row>
    <row r="24" ht="15.75" customHeight="1">
      <c r="A24" s="55">
        <v>25262.0</v>
      </c>
      <c r="B24" s="5" t="s">
        <v>33</v>
      </c>
      <c r="C24" s="32" t="s">
        <v>786</v>
      </c>
      <c r="D24" s="32" t="s">
        <v>827</v>
      </c>
      <c r="E24" s="32" t="s">
        <v>828</v>
      </c>
      <c r="F24" s="32" t="s">
        <v>789</v>
      </c>
      <c r="G24" s="32" t="s">
        <v>847</v>
      </c>
      <c r="H24" s="32" t="s">
        <v>855</v>
      </c>
      <c r="I24" s="32">
        <v>12.0</v>
      </c>
      <c r="J24" s="32" t="s">
        <v>42</v>
      </c>
      <c r="K24" s="32">
        <v>120.0</v>
      </c>
      <c r="L24" s="32" t="s">
        <v>42</v>
      </c>
      <c r="M24" s="32">
        <v>2900.0</v>
      </c>
      <c r="N24" s="32" t="s">
        <v>42</v>
      </c>
      <c r="O24" s="32">
        <v>0.35</v>
      </c>
      <c r="P24" s="32" t="s">
        <v>46</v>
      </c>
      <c r="Q24" s="43">
        <f t="shared" si="3"/>
        <v>6.93</v>
      </c>
      <c r="R24" s="32" t="s">
        <v>792</v>
      </c>
      <c r="S24" s="32">
        <v>19.8</v>
      </c>
      <c r="T24" s="32" t="s">
        <v>792</v>
      </c>
      <c r="U24" s="35">
        <f t="shared" si="1"/>
        <v>2.389655172</v>
      </c>
      <c r="V24" s="32" t="s">
        <v>792</v>
      </c>
      <c r="W24" s="43" t="str">
        <f t="shared" si="4"/>
        <v>25262-1.jpg; 25262-2.jpg; 25262-3.jpg</v>
      </c>
      <c r="AB24" s="43" t="str">
        <f>IFERROR(__xludf.DUMMYFUNCTION("ai(""breve descripcion de este producto"")"),"Este revestimiento de pared interior de la marca Max Core, perteneciente a la línea Elite pannel skin en color Travia, está fabricado en EPS (poliestireno expandido). Es una solución diseñada para transformar espacios interiores con un toque estético sofi"&amp;"sticado, siendo un material ligero y fácil de instalar. Cada tabla cuenta con un espesor de 12 mm, un ancho de 120 mm y un largo de 2900 mm, cubriendo una superficie de 0.35 m2.")</f>
        <v>Este revestimiento de pared interior de la marca Max Core, perteneciente a la línea Elite pannel skin en color Travia, está fabricado en EPS (poliestireno expandido). Es una solución diseñada para transformar espacios interiores con un toque estético sofisticado, siendo un material ligero y fácil de instalar. Cada tabla cuenta con un espesor de 12 mm, un ancho de 120 mm y un largo de 2900 mm, cubriendo una superficie de 0.35 m2.</v>
      </c>
    </row>
    <row r="25" ht="15.75" customHeight="1">
      <c r="A25" s="55">
        <v>25364.0</v>
      </c>
      <c r="B25" s="5" t="s">
        <v>33</v>
      </c>
      <c r="C25" s="32" t="s">
        <v>786</v>
      </c>
      <c r="D25" s="32" t="s">
        <v>827</v>
      </c>
      <c r="E25" s="32" t="s">
        <v>828</v>
      </c>
      <c r="F25" s="32" t="s">
        <v>789</v>
      </c>
      <c r="G25" s="32" t="s">
        <v>856</v>
      </c>
      <c r="H25" s="32" t="s">
        <v>857</v>
      </c>
      <c r="I25" s="32">
        <v>5.0</v>
      </c>
      <c r="J25" s="32" t="s">
        <v>42</v>
      </c>
      <c r="K25" s="32">
        <v>1220.0</v>
      </c>
      <c r="L25" s="32" t="s">
        <v>42</v>
      </c>
      <c r="M25" s="32">
        <v>2900.0</v>
      </c>
      <c r="N25" s="32" t="s">
        <v>42</v>
      </c>
      <c r="O25" s="43">
        <f t="shared" ref="O25:O26" si="5">1220*2900/1000000</f>
        <v>3.538</v>
      </c>
      <c r="P25" s="32" t="s">
        <v>46</v>
      </c>
      <c r="Q25" s="32">
        <v>47.0</v>
      </c>
      <c r="R25" s="32" t="s">
        <v>792</v>
      </c>
      <c r="U25" s="35">
        <f t="shared" si="1"/>
        <v>16.20689655</v>
      </c>
      <c r="W25" s="43" t="str">
        <f t="shared" ref="W25:W52" si="6">CONCATENATE(A25,"-1.jpg; ",A25, "-2.jpg")</f>
        <v>25364-1.jpg; 25364-2.jpg</v>
      </c>
      <c r="AB25" s="43" t="str">
        <f>IFERROR(__xludf.DUMMYFUNCTION("ai(""breve descripcion de este producto"")"),"Este revestimiento para interiores de la marca Max Core, línea Slim wood en diseño Senda, está fabricado en EPS (poliestireno expandido). Con un espesor de 5 mm, un ancho de 1220 mm y un largo de 2900 mm, cada tabla cubre una superficie de 3.538 m2. Es un"&amp;" panel decorativo diseñado para muros y cielos que ofrece una instalación fácil, rápida y limpia, aportando calidez y una terminación libre de imperfecciones a espacios residenciales o comerciales.")</f>
        <v>Este revestimiento para interiores de la marca Max Core, línea Slim wood en diseño Senda, está fabricado en EPS (poliestireno expandido). Con un espesor de 5 mm, un ancho de 1220 mm y un largo de 2900 mm, cada tabla cubre una superficie de 3.538 m2. Es un panel decorativo diseñado para muros y cielos que ofrece una instalación fácil, rápida y limpia, aportando calidez y una terminación libre de imperfecciones a espacios residenciales o comerciales.</v>
      </c>
    </row>
    <row r="26" ht="15.75" customHeight="1">
      <c r="A26" s="55">
        <v>25363.0</v>
      </c>
      <c r="B26" s="5" t="s">
        <v>33</v>
      </c>
      <c r="C26" s="32" t="s">
        <v>786</v>
      </c>
      <c r="D26" s="32" t="s">
        <v>827</v>
      </c>
      <c r="E26" s="32" t="s">
        <v>828</v>
      </c>
      <c r="F26" s="32" t="s">
        <v>789</v>
      </c>
      <c r="G26" s="32" t="s">
        <v>856</v>
      </c>
      <c r="H26" s="32" t="s">
        <v>858</v>
      </c>
      <c r="I26" s="32">
        <v>5.0</v>
      </c>
      <c r="J26" s="32" t="s">
        <v>42</v>
      </c>
      <c r="K26" s="32">
        <v>1220.0</v>
      </c>
      <c r="L26" s="32" t="s">
        <v>42</v>
      </c>
      <c r="M26" s="32">
        <v>2900.0</v>
      </c>
      <c r="N26" s="32" t="s">
        <v>42</v>
      </c>
      <c r="O26" s="43">
        <f t="shared" si="5"/>
        <v>3.538</v>
      </c>
      <c r="P26" s="32" t="s">
        <v>46</v>
      </c>
      <c r="Q26" s="32">
        <v>47.0</v>
      </c>
      <c r="R26" s="32" t="s">
        <v>792</v>
      </c>
      <c r="U26" s="35">
        <f t="shared" si="1"/>
        <v>16.20689655</v>
      </c>
      <c r="W26" s="43" t="str">
        <f t="shared" si="6"/>
        <v>25363-1.jpg; 25363-2.jpg</v>
      </c>
      <c r="AB26" s="43" t="str">
        <f>IFERROR(__xludf.DUMMYFUNCTION("ai(""breve descripcion de este producto"")"),"Este revestimiento de pared interior de la marca Max Core, perteneciente a la línea Slim wood en color Duna, está fabricado en EPS (poliestireno expandido). Se destaca por ser un material liviano, resistente al agua y a la corrosión, ideal para transforma"&amp;"r ambientes de manera rápida y limpia mediante una instalación en seco. Cada placa presenta un espesor de 5 mm, un ancho de 1220 mm y un largo de 2900 mm, cubriendo una superficie total de 3.538 m2. Su diseño versátil permite aplicaciones tanto en muros c"&amp;"omo en cielos, ofreciendo un acabado decorativo duradero y de alta calidad.")</f>
        <v>Este revestimiento de pared interior de la marca Max Core, perteneciente a la línea Slim wood en color Duna, está fabricado en EPS (poliestireno expandido). Se destaca por ser un material liviano, resistente al agua y a la corrosión, ideal para transformar ambientes de manera rápida y limpia mediante una instalación en seco. Cada placa presenta un espesor de 5 mm, un ancho de 1220 mm y un largo de 2900 mm, cubriendo una superficie total de 3.538 m2. Su diseño versátil permite aplicaciones tanto en muros como en cielos, ofreciendo un acabado decorativo duradero y de alta calidad.</v>
      </c>
    </row>
    <row r="27" ht="15.75" customHeight="1">
      <c r="A27" s="55">
        <v>25373.0</v>
      </c>
      <c r="B27" s="5" t="s">
        <v>33</v>
      </c>
      <c r="C27" s="32" t="s">
        <v>786</v>
      </c>
      <c r="D27" s="32" t="s">
        <v>827</v>
      </c>
      <c r="E27" s="32" t="s">
        <v>828</v>
      </c>
      <c r="F27" s="32" t="s">
        <v>789</v>
      </c>
      <c r="G27" s="32" t="s">
        <v>856</v>
      </c>
      <c r="H27" s="32" t="s">
        <v>858</v>
      </c>
      <c r="I27" s="32">
        <v>8.0</v>
      </c>
      <c r="J27" s="32" t="s">
        <v>42</v>
      </c>
      <c r="K27" s="32">
        <v>151.0</v>
      </c>
      <c r="L27" s="32" t="s">
        <v>42</v>
      </c>
      <c r="M27" s="32">
        <v>2900.0</v>
      </c>
      <c r="N27" s="32" t="s">
        <v>42</v>
      </c>
      <c r="O27" s="32">
        <v>0.44</v>
      </c>
      <c r="P27" s="32" t="s">
        <v>46</v>
      </c>
      <c r="Q27" s="43">
        <f t="shared" ref="Q27:Q33" si="7">S27*O27</f>
        <v>9.68</v>
      </c>
      <c r="R27" s="32" t="s">
        <v>792</v>
      </c>
      <c r="S27" s="32">
        <v>22.0</v>
      </c>
      <c r="T27" s="32" t="s">
        <v>792</v>
      </c>
      <c r="U27" s="35">
        <f t="shared" si="1"/>
        <v>3.337931034</v>
      </c>
      <c r="V27" s="32" t="s">
        <v>792</v>
      </c>
      <c r="W27" s="43" t="str">
        <f t="shared" si="6"/>
        <v>25373-1.jpg; 25373-2.jpg</v>
      </c>
      <c r="AB27" s="43" t="str">
        <f>IFERROR(__xludf.DUMMYFUNCTION("ai(""breve descripcion de este producto"")"),"Este revestimiento de pared interior de la marca Max Core, línea Slim wood en color Duna, está fabricado en EPS (poliestireno expandido). Se trata de un material ecológico, resistente a la humedad y de fácil instalación, ideal para transformar ambientes c"&amp;"on un toque de diseño minimalista. Cada tabla presenta un espesor de 8 mm, un ancho de 151 mm y un largo de 2900 mm, cubriendo una superficie de 0.44 m2.")</f>
        <v>Este revestimiento de pared interior de la marca Max Core, línea Slim wood en color Duna, está fabricado en EPS (poliestireno expandido). Se trata de un material ecológico, resistente a la humedad y de fácil instalación, ideal para transformar ambientes con un toque de diseño minimalista. Cada tabla presenta un espesor de 8 mm, un ancho de 151 mm y un largo de 2900 mm, cubriendo una superficie de 0.44 m2.</v>
      </c>
    </row>
    <row r="28" ht="15.75" customHeight="1">
      <c r="A28" s="55">
        <v>25372.0</v>
      </c>
      <c r="B28" s="5" t="s">
        <v>33</v>
      </c>
      <c r="C28" s="32" t="s">
        <v>786</v>
      </c>
      <c r="D28" s="32" t="s">
        <v>827</v>
      </c>
      <c r="E28" s="32" t="s">
        <v>828</v>
      </c>
      <c r="F28" s="32" t="s">
        <v>789</v>
      </c>
      <c r="G28" s="32" t="s">
        <v>856</v>
      </c>
      <c r="H28" s="32" t="s">
        <v>857</v>
      </c>
      <c r="I28" s="32">
        <v>8.0</v>
      </c>
      <c r="J28" s="32" t="s">
        <v>42</v>
      </c>
      <c r="K28" s="32">
        <v>151.0</v>
      </c>
      <c r="L28" s="32" t="s">
        <v>42</v>
      </c>
      <c r="M28" s="32">
        <v>2900.0</v>
      </c>
      <c r="N28" s="32" t="s">
        <v>42</v>
      </c>
      <c r="O28" s="32">
        <v>0.44</v>
      </c>
      <c r="P28" s="32" t="s">
        <v>46</v>
      </c>
      <c r="Q28" s="43">
        <f t="shared" si="7"/>
        <v>9.68</v>
      </c>
      <c r="R28" s="32" t="s">
        <v>792</v>
      </c>
      <c r="S28" s="32">
        <v>22.0</v>
      </c>
      <c r="T28" s="32" t="s">
        <v>792</v>
      </c>
      <c r="U28" s="35">
        <f t="shared" si="1"/>
        <v>3.337931034</v>
      </c>
      <c r="V28" s="32" t="s">
        <v>792</v>
      </c>
      <c r="W28" s="43" t="str">
        <f t="shared" si="6"/>
        <v>25372-1.jpg; 25372-2.jpg</v>
      </c>
      <c r="AB28" s="43" t="str">
        <f>IFERROR(__xludf.DUMMYFUNCTION("ai(""breve descripcion de este producto"")"),"Este revestimiento interior de la marca Max Core, perteneciente a la línea Slim wood en color Senda, está fabricado en EPS (poliestireno expandido). Es una opción decorativa y ligera, diseñada para renovar ambientes internos con facilidad. Cada tabla cuen"&amp;"ta con un espesor de 8 mm, un ancho de 151 mm y un largo de 2900 mm, cubriendo una superficie de 0.44 m2.")</f>
        <v>Este revestimiento interior de la marca Max Core, perteneciente a la línea Slim wood en color Senda, está fabricado en EPS (poliestireno expandido). Es una opción decorativa y ligera, diseñada para renovar ambientes internos con facilidad. Cada tabla cuenta con un espesor de 8 mm, un ancho de 151 mm y un largo de 2900 mm, cubriendo una superficie de 0.44 m2.</v>
      </c>
    </row>
    <row r="29" ht="15.75" customHeight="1">
      <c r="A29" s="55">
        <v>25016.0</v>
      </c>
      <c r="B29" s="5" t="s">
        <v>33</v>
      </c>
      <c r="C29" s="32" t="s">
        <v>786</v>
      </c>
      <c r="D29" s="32" t="s">
        <v>827</v>
      </c>
      <c r="E29" s="32" t="s">
        <v>859</v>
      </c>
      <c r="F29" s="32" t="s">
        <v>789</v>
      </c>
      <c r="G29" s="32" t="s">
        <v>860</v>
      </c>
      <c r="H29" s="32" t="s">
        <v>861</v>
      </c>
      <c r="I29" s="32">
        <v>8.0</v>
      </c>
      <c r="J29" s="32" t="s">
        <v>42</v>
      </c>
      <c r="K29" s="32">
        <v>600.0</v>
      </c>
      <c r="L29" s="32" t="s">
        <v>42</v>
      </c>
      <c r="M29" s="32">
        <v>2440.0</v>
      </c>
      <c r="N29" s="32" t="s">
        <v>42</v>
      </c>
      <c r="O29" s="32">
        <v>1.46</v>
      </c>
      <c r="P29" s="32" t="s">
        <v>46</v>
      </c>
      <c r="Q29" s="43">
        <f t="shared" si="7"/>
        <v>39.42</v>
      </c>
      <c r="R29" s="32" t="s">
        <v>792</v>
      </c>
      <c r="S29" s="32">
        <v>27.0</v>
      </c>
      <c r="T29" s="32" t="s">
        <v>792</v>
      </c>
      <c r="U29" s="35">
        <f t="shared" si="1"/>
        <v>16.1557377</v>
      </c>
      <c r="V29" s="32" t="s">
        <v>792</v>
      </c>
      <c r="W29" s="43" t="str">
        <f t="shared" si="6"/>
        <v>25016-1.jpg; 25016-2.jpg</v>
      </c>
      <c r="AB29" s="43" t="str">
        <f>IFERROR(__xludf.DUMMYFUNCTION("ai(""breve descripcion de este producto"")"),"Este revestimiento acústico interior de la marca Max Core, línea Silenza en color Blonde Oak, está diseñado para mejorar el confort sonoro en espacios interiores. Presenta un tono de roble claro y natural con una base beige dorada suave que aporta una est"&amp;"ética cálida y minimalista. Cada panel tiene un espesor de 8 mm, un ancho de 600 mm y un largo de 2440 mm, cubriendo una superficie de 1.46 m2. Es un material que combina la reducción de ruido con una textura realista, ideal para ambientes que buscan un d"&amp;"iseño fresco y luminoso.")</f>
        <v>Este revestimiento acústico interior de la marca Max Core, línea Silenza en color Blonde Oak, está diseñado para mejorar el confort sonoro en espacios interiores. Presenta un tono de roble claro y natural con una base beige dorada suave que aporta una estética cálida y minimalista. Cada panel tiene un espesor de 8 mm, un ancho de 600 mm y un largo de 2440 mm, cubriendo una superficie de 1.46 m2. Es un material que combina la reducción de ruido con una textura realista, ideal para ambientes que buscan un diseño fresco y luminoso.</v>
      </c>
    </row>
    <row r="30" ht="15.75" customHeight="1">
      <c r="A30" s="55">
        <v>25015.0</v>
      </c>
      <c r="B30" s="5" t="s">
        <v>33</v>
      </c>
      <c r="C30" s="32" t="s">
        <v>786</v>
      </c>
      <c r="D30" s="32" t="s">
        <v>827</v>
      </c>
      <c r="E30" s="32" t="s">
        <v>859</v>
      </c>
      <c r="F30" s="32" t="s">
        <v>789</v>
      </c>
      <c r="G30" s="32" t="s">
        <v>860</v>
      </c>
      <c r="H30" s="32" t="s">
        <v>862</v>
      </c>
      <c r="I30" s="32">
        <v>8.0</v>
      </c>
      <c r="J30" s="32" t="s">
        <v>42</v>
      </c>
      <c r="K30" s="32">
        <v>600.0</v>
      </c>
      <c r="L30" s="32" t="s">
        <v>42</v>
      </c>
      <c r="M30" s="32">
        <v>2440.0</v>
      </c>
      <c r="N30" s="32" t="s">
        <v>42</v>
      </c>
      <c r="O30" s="32">
        <v>1.46</v>
      </c>
      <c r="P30" s="32" t="s">
        <v>46</v>
      </c>
      <c r="Q30" s="43">
        <f t="shared" si="7"/>
        <v>39.42</v>
      </c>
      <c r="R30" s="32" t="s">
        <v>792</v>
      </c>
      <c r="S30" s="32">
        <v>27.0</v>
      </c>
      <c r="T30" s="32" t="s">
        <v>792</v>
      </c>
      <c r="U30" s="35">
        <f t="shared" si="1"/>
        <v>16.1557377</v>
      </c>
      <c r="W30" s="43" t="str">
        <f t="shared" si="6"/>
        <v>25015-1.jpg; 25015-2.jpg</v>
      </c>
      <c r="AB30" s="43" t="str">
        <f>IFERROR(__xludf.DUMMYFUNCTION("ai(""breve descripcion de este producto"")"),"Este revestimiento acústico para interior de la marca Max Core, línea Acustico Silenza en color Sunset Oak, está diseñado para mejorar la absorción sonora y reducir el eco en diversos ambientes. Fabricado con una base acústica y listones alistonados, ofre"&amp;"ce un diseño moderno y elegante que aporta calidez sin requerir mantenimiento. Cada panel tiene un espesor de 8 mm, un ancho de 600 mm y un largo de 2440 mm, cubriendo una superficie de .46 m2.")</f>
        <v>Este revestimiento acústico para interior de la marca Max Core, línea Acustico Silenza en color Sunset Oak, está diseñado para mejorar la absorción sonora y reducir el eco en diversos ambientes. Fabricado con una base acústica y listones alistonados, ofrece un diseño moderno y elegante que aporta calidez sin requerir mantenimiento. Cada panel tiene un espesor de 8 mm, un ancho de 600 mm y un largo de 2440 mm, cubriendo una superficie de .46 m2.</v>
      </c>
    </row>
    <row r="31" ht="15.75" customHeight="1">
      <c r="A31" s="55">
        <v>24932.0</v>
      </c>
      <c r="B31" s="5" t="s">
        <v>33</v>
      </c>
      <c r="C31" s="32" t="s">
        <v>786</v>
      </c>
      <c r="D31" s="32" t="s">
        <v>827</v>
      </c>
      <c r="E31" s="32" t="s">
        <v>859</v>
      </c>
      <c r="F31" s="32" t="s">
        <v>789</v>
      </c>
      <c r="G31" s="32" t="s">
        <v>860</v>
      </c>
      <c r="H31" s="32" t="s">
        <v>863</v>
      </c>
      <c r="I31" s="32">
        <v>21.0</v>
      </c>
      <c r="J31" s="32" t="s">
        <v>42</v>
      </c>
      <c r="K31" s="32">
        <v>600.0</v>
      </c>
      <c r="L31" s="32" t="s">
        <v>42</v>
      </c>
      <c r="M31" s="32">
        <v>2440.0</v>
      </c>
      <c r="N31" s="32" t="s">
        <v>42</v>
      </c>
      <c r="O31" s="32">
        <v>1.46</v>
      </c>
      <c r="P31" s="32" t="s">
        <v>46</v>
      </c>
      <c r="Q31" s="43">
        <f t="shared" si="7"/>
        <v>43.8</v>
      </c>
      <c r="R31" s="32" t="s">
        <v>792</v>
      </c>
      <c r="S31" s="32">
        <v>30.0</v>
      </c>
      <c r="T31" s="32" t="s">
        <v>792</v>
      </c>
      <c r="U31" s="35">
        <f t="shared" si="1"/>
        <v>17.95081967</v>
      </c>
      <c r="V31" s="32" t="s">
        <v>792</v>
      </c>
      <c r="W31" s="43" t="str">
        <f t="shared" si="6"/>
        <v>24932-1.jpg; 24932-2.jpg</v>
      </c>
      <c r="AB31" s="43" t="str">
        <f>IFERROR(__xludf.DUMMYFUNCTION("ai(""breve descripcion de este producto"")"),"Este revestimiento acústico interior de la marca Max Core, línea Silenza en color Silver Oak, está diseñado para mejorar la absorción sonora y aportar un estilo moderno a cualquier ambiente. Fabricado con fieltro de poliéster de alta densidad y MDF con te"&amp;"rminación en melamina, ofrece una reducción de ruido de hasta el 50%. Es un producto de fácil instalación, libre de mantenimiento y apto para muros en espacios residenciales o comerciales. Cada panel tiene un espesor de 21 mm, un ancho de 600 mm y un larg"&amp;"o de 2440 mm, cubriendo una superficie de 1.46 m2.")</f>
        <v>Este revestimiento acústico interior de la marca Max Core, línea Silenza en color Silver Oak, está diseñado para mejorar la absorción sonora y aportar un estilo moderno a cualquier ambiente. Fabricado con fieltro de poliéster de alta densidad y MDF con terminación en melamina, ofrece una reducción de ruido de hasta el 50%. Es un producto de fácil instalación, libre de mantenimiento y apto para muros en espacios residenciales o comerciales. Cada panel tiene un espesor de 21 mm, un ancho de 600 mm y un largo de 2440 mm, cubriendo una superficie de 1.46 m2.</v>
      </c>
    </row>
    <row r="32" ht="15.75" customHeight="1">
      <c r="A32" s="55">
        <v>24931.0</v>
      </c>
      <c r="B32" s="5" t="s">
        <v>33</v>
      </c>
      <c r="C32" s="32" t="s">
        <v>786</v>
      </c>
      <c r="D32" s="32" t="s">
        <v>827</v>
      </c>
      <c r="E32" s="32" t="s">
        <v>859</v>
      </c>
      <c r="F32" s="32" t="s">
        <v>789</v>
      </c>
      <c r="G32" s="32" t="s">
        <v>860</v>
      </c>
      <c r="H32" s="32" t="s">
        <v>864</v>
      </c>
      <c r="I32" s="32">
        <v>21.0</v>
      </c>
      <c r="J32" s="32" t="s">
        <v>42</v>
      </c>
      <c r="K32" s="32">
        <v>600.0</v>
      </c>
      <c r="L32" s="32" t="s">
        <v>42</v>
      </c>
      <c r="M32" s="32">
        <v>2440.0</v>
      </c>
      <c r="N32" s="32" t="s">
        <v>42</v>
      </c>
      <c r="O32" s="32">
        <v>1.46</v>
      </c>
      <c r="P32" s="32" t="s">
        <v>46</v>
      </c>
      <c r="Q32" s="43">
        <f t="shared" si="7"/>
        <v>43.8</v>
      </c>
      <c r="R32" s="32" t="s">
        <v>792</v>
      </c>
      <c r="S32" s="32">
        <v>30.0</v>
      </c>
      <c r="T32" s="32" t="s">
        <v>792</v>
      </c>
      <c r="U32" s="35">
        <f t="shared" si="1"/>
        <v>17.95081967</v>
      </c>
      <c r="V32" s="32" t="s">
        <v>792</v>
      </c>
      <c r="W32" s="43" t="str">
        <f t="shared" si="6"/>
        <v>24931-1.jpg; 24931-2.jpg</v>
      </c>
      <c r="AB32" s="43" t="str">
        <f>IFERROR(__xludf.DUMMYFUNCTION("ai(""breve descripcion de este producto"")"),"Este revestimiento interior de la marca Max Core, línea Acustico Silenza en color Black Walnut, está diseñado para mejorar la acústica de los espacios con un estilo elegante. Sus paneles de 21 mm de espesor, 600 mm de ancho y 2440 mm de largo ofrecen una "&amp;"solución estética y funcional, cubriendo una superficie de 1.46 m2 por tabla. Es ideal para ambientes modernos que requieren control sonoro y la calidez visual de la madera de nogal.")</f>
        <v>Este revestimiento interior de la marca Max Core, línea Acustico Silenza en color Black Walnut, está diseñado para mejorar la acústica de los espacios con un estilo elegante. Sus paneles de 21 mm de espesor, 600 mm de ancho y 2440 mm de largo ofrecen una solución estética y funcional, cubriendo una superficie de 1.46 m2 por tabla. Es ideal para ambientes modernos que requieren control sonoro y la calidez visual de la madera de nogal.</v>
      </c>
    </row>
    <row r="33" ht="15.75" customHeight="1">
      <c r="A33" s="55">
        <v>24930.0</v>
      </c>
      <c r="B33" s="5" t="s">
        <v>33</v>
      </c>
      <c r="C33" s="32" t="s">
        <v>786</v>
      </c>
      <c r="D33" s="32" t="s">
        <v>827</v>
      </c>
      <c r="E33" s="32" t="s">
        <v>859</v>
      </c>
      <c r="F33" s="32" t="s">
        <v>789</v>
      </c>
      <c r="G33" s="32" t="s">
        <v>860</v>
      </c>
      <c r="H33" s="32" t="s">
        <v>865</v>
      </c>
      <c r="I33" s="32">
        <v>21.0</v>
      </c>
      <c r="J33" s="32" t="s">
        <v>42</v>
      </c>
      <c r="K33" s="32">
        <v>600.0</v>
      </c>
      <c r="L33" s="32" t="s">
        <v>42</v>
      </c>
      <c r="M33" s="32">
        <v>2440.0</v>
      </c>
      <c r="N33" s="32" t="s">
        <v>42</v>
      </c>
      <c r="O33" s="32">
        <v>1.46</v>
      </c>
      <c r="P33" s="32" t="s">
        <v>46</v>
      </c>
      <c r="Q33" s="43">
        <f t="shared" si="7"/>
        <v>43.8</v>
      </c>
      <c r="R33" s="32" t="s">
        <v>792</v>
      </c>
      <c r="S33" s="32">
        <v>30.0</v>
      </c>
      <c r="T33" s="32" t="s">
        <v>792</v>
      </c>
      <c r="U33" s="35">
        <f t="shared" si="1"/>
        <v>17.95081967</v>
      </c>
      <c r="V33" s="32" t="s">
        <v>792</v>
      </c>
      <c r="W33" s="43" t="str">
        <f t="shared" si="6"/>
        <v>24930-1.jpg; 24930-2.jpg</v>
      </c>
      <c r="AB33" s="43" t="str">
        <f>IFERROR(__xludf.DUMMYFUNCTION("ai(""breve descripcion de este producto"")"),"Este revestimiento acústico interior de la marca Max Core, línea Silenza en color White Oak, está diseñado para mejorar la absorción sonora y reducir la reverberación en diversos ambientes. Fabricado con listones que aportan una estética de madera natural"&amp;", cuenta con un fieltro que optimiza la calidad acústica, siendo ideal para hogares, oficinas y locales comerciales. Es un producto de fácil instalación que no requiere mantenimiento posterior. Cada panel tiene un espesor de 21 mm, un ancho de 600 mm y un"&amp;" largo de 2440 mm, cubriendo una superficie de 1.46 m2.")</f>
        <v>Este revestimiento acústico interior de la marca Max Core, línea Silenza en color White Oak, está diseñado para mejorar la absorción sonora y reducir la reverberación en diversos ambientes. Fabricado con listones que aportan una estética de madera natural, cuenta con un fieltro que optimiza la calidad acústica, siendo ideal para hogares, oficinas y locales comerciales. Es un producto de fácil instalación que no requiere mantenimiento posterior. Cada panel tiene un espesor de 21 mm, un ancho de 600 mm y un largo de 2440 mm, cubriendo una superficie de 1.46 m2.</v>
      </c>
    </row>
    <row r="34" ht="15.75" customHeight="1">
      <c r="A34" s="55">
        <v>24954.0</v>
      </c>
      <c r="B34" s="5" t="s">
        <v>33</v>
      </c>
      <c r="C34" s="32" t="s">
        <v>786</v>
      </c>
      <c r="D34" s="32" t="s">
        <v>827</v>
      </c>
      <c r="E34" s="32" t="s">
        <v>830</v>
      </c>
      <c r="F34" s="32" t="s">
        <v>789</v>
      </c>
      <c r="G34" s="32" t="s">
        <v>831</v>
      </c>
      <c r="H34" s="32" t="s">
        <v>866</v>
      </c>
      <c r="I34" s="32">
        <v>2.5</v>
      </c>
      <c r="J34" s="32" t="s">
        <v>42</v>
      </c>
      <c r="K34" s="32">
        <v>1220.0</v>
      </c>
      <c r="L34" s="32" t="s">
        <v>42</v>
      </c>
      <c r="M34" s="32">
        <v>2440.0</v>
      </c>
      <c r="N34" s="32" t="s">
        <v>42</v>
      </c>
      <c r="O34" s="43">
        <f t="shared" ref="O34:O40" si="8">1220*2440/1000000</f>
        <v>2.9768</v>
      </c>
      <c r="P34" s="32" t="s">
        <v>46</v>
      </c>
      <c r="Q34" s="32">
        <v>30.0</v>
      </c>
      <c r="R34" s="32" t="s">
        <v>792</v>
      </c>
      <c r="U34" s="35">
        <f t="shared" si="1"/>
        <v>12.29508197</v>
      </c>
      <c r="V34" s="32" t="s">
        <v>792</v>
      </c>
      <c r="W34" s="43" t="str">
        <f t="shared" si="6"/>
        <v>24954-1.jpg; 24954-2.jpg</v>
      </c>
      <c r="AB34" s="43" t="str">
        <f>IFERROR(__xludf.DUMMYFUNCTION("ai(""breve descripcion de este producto"")"),"Este revestimiento de la marca Max Core, perteneciente a la línea Slimstone en color Carrara Ice, es un panel rígido de PVC con un acabado estético que imita el mármol natural. Es una solución duradera y de rápida instalación, ideal para revestir paredes "&amp;"interiores sin necesidad de mantenimiento periódico. Cada placa tiene un espesor de 2.5 mm, un ancho de 1220 mm y un largo de 2440 mm, cubriendo una superficie total de 2.9768 m2.")</f>
        <v>Este revestimiento de la marca Max Core, perteneciente a la línea Slimstone en color Carrara Ice, es un panel rígido de PVC con un acabado estético que imita el mármol natural. Es una solución duradera y de rápida instalación, ideal para revestir paredes interiores sin necesidad de mantenimiento periódico. Cada placa tiene un espesor de 2.5 mm, un ancho de 1220 mm y un largo de 2440 mm, cubriendo una superficie total de 2.9768 m2.</v>
      </c>
    </row>
    <row r="35" ht="15.75" customHeight="1">
      <c r="A35" s="55">
        <v>24955.0</v>
      </c>
      <c r="B35" s="5" t="s">
        <v>33</v>
      </c>
      <c r="C35" s="32" t="s">
        <v>786</v>
      </c>
      <c r="D35" s="32" t="s">
        <v>827</v>
      </c>
      <c r="E35" s="32" t="s">
        <v>830</v>
      </c>
      <c r="F35" s="32" t="s">
        <v>789</v>
      </c>
      <c r="G35" s="32" t="s">
        <v>831</v>
      </c>
      <c r="H35" s="32" t="s">
        <v>867</v>
      </c>
      <c r="I35" s="32">
        <v>2.5</v>
      </c>
      <c r="J35" s="32" t="s">
        <v>42</v>
      </c>
      <c r="K35" s="32">
        <v>1220.0</v>
      </c>
      <c r="L35" s="32" t="s">
        <v>42</v>
      </c>
      <c r="M35" s="32">
        <v>2440.0</v>
      </c>
      <c r="N35" s="32" t="s">
        <v>42</v>
      </c>
      <c r="O35" s="43">
        <f t="shared" si="8"/>
        <v>2.9768</v>
      </c>
      <c r="P35" s="32" t="s">
        <v>46</v>
      </c>
      <c r="Q35" s="32">
        <v>33.0</v>
      </c>
      <c r="R35" s="32" t="s">
        <v>792</v>
      </c>
      <c r="U35" s="35">
        <f t="shared" si="1"/>
        <v>13.52459016</v>
      </c>
      <c r="V35" s="32" t="s">
        <v>792</v>
      </c>
      <c r="W35" s="43" t="str">
        <f t="shared" si="6"/>
        <v>24955-1.jpg; 24955-2.jpg</v>
      </c>
      <c r="AB35" s="43" t="str">
        <f>IFERROR(__xludf.DUMMYFUNCTION("ai(""breve descripcion de este producto"")"),"Este revestimiento interior de la marca Max Core, línea Slimstone en color Cloude Stone, está fabricado en PVC con un diseño que imita la estética del mármol o la piedra natural. Es un panel delgado y ligero, ideal para aplicaciones en paredes interiores,"&amp;" mobiliario o cielorrasos, ofreciendo una solución decorativa sofisticada y de fácil instalación. Cada tabla tiene un espesor de 2.5 mm, un ancho de 1220 mm y un largo de 2440 mm, cubriendo una superficie de 2.9768 m2.")</f>
        <v>Este revestimiento interior de la marca Max Core, línea Slimstone en color Cloude Stone, está fabricado en PVC con un diseño que imita la estética del mármol o la piedra natural. Es un panel delgado y ligero, ideal para aplicaciones en paredes interiores, mobiliario o cielorrasos, ofreciendo una solución decorativa sofisticada y de fácil instalación. Cada tabla tiene un espesor de 2.5 mm, un ancho de 1220 mm y un largo de 2440 mm, cubriendo una superficie de 2.9768 m2.</v>
      </c>
    </row>
    <row r="36" ht="15.75" customHeight="1">
      <c r="A36" s="55">
        <v>25312.0</v>
      </c>
      <c r="B36" s="5" t="s">
        <v>33</v>
      </c>
      <c r="C36" s="32" t="s">
        <v>786</v>
      </c>
      <c r="D36" s="32" t="s">
        <v>827</v>
      </c>
      <c r="E36" s="32" t="s">
        <v>830</v>
      </c>
      <c r="F36" s="32" t="s">
        <v>789</v>
      </c>
      <c r="G36" s="32" t="s">
        <v>831</v>
      </c>
      <c r="H36" s="32" t="s">
        <v>868</v>
      </c>
      <c r="I36" s="32">
        <v>2.5</v>
      </c>
      <c r="J36" s="32" t="s">
        <v>42</v>
      </c>
      <c r="K36" s="32">
        <v>1220.0</v>
      </c>
      <c r="L36" s="32" t="s">
        <v>42</v>
      </c>
      <c r="M36" s="32">
        <v>2440.0</v>
      </c>
      <c r="N36" s="32" t="s">
        <v>42</v>
      </c>
      <c r="O36" s="43">
        <f t="shared" si="8"/>
        <v>2.9768</v>
      </c>
      <c r="P36" s="32" t="s">
        <v>46</v>
      </c>
      <c r="Q36" s="32">
        <v>30.0</v>
      </c>
      <c r="R36" s="32" t="s">
        <v>792</v>
      </c>
      <c r="U36" s="35">
        <f t="shared" si="1"/>
        <v>12.29508197</v>
      </c>
      <c r="V36" s="32" t="s">
        <v>792</v>
      </c>
      <c r="W36" s="43" t="str">
        <f t="shared" si="6"/>
        <v>25312-1.jpg; 25312-2.jpg</v>
      </c>
      <c r="AB36" s="43" t="str">
        <f>IFERROR(__xludf.DUMMYFUNCTION("ai(""breve descripcion de este producto"")"),"Este revestimiento de pared interior de la marca Max Core, línea Slimstone en color Crema Marfil, está fabricado en PVC de 2.5 mm de espesor. Es un material que reinterpreta el mármol clásico con tonos crema suaves y vetas delicadas, ofreciendo una superf"&amp;"icie luminosa, elegante y fácil de instalar. Cada placa tiene un ancho de 1220 mm y un largo de 2440 mm, cubriendo una superficie de 2.9768 m2.")</f>
        <v>Este revestimiento de pared interior de la marca Max Core, línea Slimstone en color Crema Marfil, está fabricado en PVC de 2.5 mm de espesor. Es un material que reinterpreta el mármol clásico con tonos crema suaves y vetas delicadas, ofreciendo una superficie luminosa, elegante y fácil de instalar. Cada placa tiene un ancho de 1220 mm y un largo de 2440 mm, cubriendo una superficie de 2.9768 m2.</v>
      </c>
    </row>
    <row r="37" ht="15.75" customHeight="1">
      <c r="A37" s="55">
        <v>24953.0</v>
      </c>
      <c r="B37" s="5" t="s">
        <v>33</v>
      </c>
      <c r="C37" s="32" t="s">
        <v>786</v>
      </c>
      <c r="D37" s="32" t="s">
        <v>827</v>
      </c>
      <c r="E37" s="32" t="s">
        <v>830</v>
      </c>
      <c r="F37" s="32" t="s">
        <v>789</v>
      </c>
      <c r="G37" s="32" t="s">
        <v>831</v>
      </c>
      <c r="H37" s="32" t="s">
        <v>869</v>
      </c>
      <c r="I37" s="32">
        <v>2.5</v>
      </c>
      <c r="J37" s="32" t="s">
        <v>42</v>
      </c>
      <c r="K37" s="32">
        <v>1220.0</v>
      </c>
      <c r="L37" s="32" t="s">
        <v>42</v>
      </c>
      <c r="M37" s="32">
        <v>2440.0</v>
      </c>
      <c r="N37" s="32" t="s">
        <v>42</v>
      </c>
      <c r="O37" s="43">
        <f t="shared" si="8"/>
        <v>2.9768</v>
      </c>
      <c r="P37" s="32" t="s">
        <v>46</v>
      </c>
      <c r="Q37" s="32">
        <v>33.0</v>
      </c>
      <c r="R37" s="32" t="s">
        <v>792</v>
      </c>
      <c r="U37" s="35">
        <f t="shared" si="1"/>
        <v>13.52459016</v>
      </c>
      <c r="V37" s="32" t="s">
        <v>792</v>
      </c>
      <c r="W37" s="43" t="str">
        <f t="shared" si="6"/>
        <v>24953-1.jpg; 24953-2.jpg</v>
      </c>
      <c r="AB37" s="43" t="str">
        <f>IFERROR(__xludf.DUMMYFUNCTION("ai(""breve descripcion de este producto"")"),"Este revestimiento de interior de la marca Max Core, línea Slimstone en color Storm Grey, es una placa de PVC rígido de alta densidad con un acabado que imita el mármol. Presenta un diseño de tonos grises profundos con vetas oscuras, ideal para crear ambi"&amp;"entes modernos y sofisticados con el aspecto de la piedra natural pero sin necesidad de obra pesada. Es un material liviano, resistente a la humedad y de fácil limpieza, que no requiere mantenimiento especial. Cada tabla tiene un espesor de 2.5 mm, un anc"&amp;"ho de 1220 mm y un largo de 2440 mm, cubriendo una superficie de 2.9768 m2.")</f>
        <v>Este revestimiento de interior de la marca Max Core, línea Slimstone en color Storm Grey, es una placa de PVC rígido de alta densidad con un acabado que imita el mármol. Presenta un diseño de tonos grises profundos con vetas oscuras, ideal para crear ambientes modernos y sofisticados con el aspecto de la piedra natural pero sin necesidad de obra pesada. Es un material liviano, resistente a la humedad y de fácil limpieza, que no requiere mantenimiento especial. Cada tabla tiene un espesor de 2.5 mm, un ancho de 1220 mm y un largo de 2440 mm, cubriendo una superficie de 2.9768 m2.</v>
      </c>
    </row>
    <row r="38" ht="15.75" customHeight="1">
      <c r="A38" s="55">
        <v>25375.0</v>
      </c>
      <c r="B38" s="5" t="s">
        <v>33</v>
      </c>
      <c r="C38" s="32" t="s">
        <v>786</v>
      </c>
      <c r="D38" s="32" t="s">
        <v>827</v>
      </c>
      <c r="E38" s="32" t="s">
        <v>830</v>
      </c>
      <c r="F38" s="32" t="s">
        <v>789</v>
      </c>
      <c r="G38" s="32" t="s">
        <v>831</v>
      </c>
      <c r="H38" s="32" t="s">
        <v>870</v>
      </c>
      <c r="I38" s="32">
        <v>2.8</v>
      </c>
      <c r="J38" s="32" t="s">
        <v>42</v>
      </c>
      <c r="K38" s="32">
        <v>1220.0</v>
      </c>
      <c r="L38" s="32" t="s">
        <v>42</v>
      </c>
      <c r="M38" s="32">
        <v>2440.0</v>
      </c>
      <c r="N38" s="32" t="s">
        <v>42</v>
      </c>
      <c r="O38" s="43">
        <f t="shared" si="8"/>
        <v>2.9768</v>
      </c>
      <c r="P38" s="32" t="s">
        <v>46</v>
      </c>
      <c r="Q38" s="32">
        <v>37.0</v>
      </c>
      <c r="R38" s="32" t="s">
        <v>792</v>
      </c>
      <c r="U38" s="35">
        <f t="shared" si="1"/>
        <v>15.16393443</v>
      </c>
      <c r="V38" s="32" t="s">
        <v>792</v>
      </c>
      <c r="W38" s="43" t="str">
        <f t="shared" si="6"/>
        <v>25375-1.jpg; 25375-2.jpg</v>
      </c>
      <c r="AB38" s="43" t="str">
        <f>IFERROR(__xludf.DUMMYFUNCTION("ai(""breve descripcion de este producto"")"),"Este revestimiento interior de la marca Max Core, línea Slimstone en color Cemento Alisado, está fabricado en PVC de alta calidad. Diseñado como una alternativa moderna a la piedra natural, este material es liviano, resistente y 100% libre de mantenimient"&amp;"o. Es ideal para revestir paredes en diversos ambientes, incluyendo baños y cocinas, gracias a su impermeabilidad total. Cada tabla tiene un espesor de 2.8 mm, un ancho de 1220 mm y un largo de 2440 mm, cubriendo una superficie de 2.9768 m2. Su instalació"&amp;"n es rápida y sencilla, proporcionando un acabado estético de hormigón liso o microcemento.")</f>
        <v>Este revestimiento interior de la marca Max Core, línea Slimstone en color Cemento Alisado, está fabricado en PVC de alta calidad. Diseñado como una alternativa moderna a la piedra natural, este material es liviano, resistente y 100% libre de mantenimiento. Es ideal para revestir paredes en diversos ambientes, incluyendo baños y cocinas, gracias a su impermeabilidad total. Cada tabla tiene un espesor de 2.8 mm, un ancho de 1220 mm y un largo de 2440 mm, cubriendo una superficie de 2.9768 m2. Su instalación es rápida y sencilla, proporcionando un acabado estético de hormigón liso o microcemento.</v>
      </c>
    </row>
    <row r="39" ht="15.75" customHeight="1">
      <c r="A39" s="55">
        <v>25376.0</v>
      </c>
      <c r="B39" s="5" t="s">
        <v>33</v>
      </c>
      <c r="C39" s="32" t="s">
        <v>786</v>
      </c>
      <c r="D39" s="32" t="s">
        <v>827</v>
      </c>
      <c r="E39" s="32" t="s">
        <v>830</v>
      </c>
      <c r="F39" s="32" t="s">
        <v>789</v>
      </c>
      <c r="G39" s="32" t="s">
        <v>831</v>
      </c>
      <c r="H39" s="32" t="s">
        <v>871</v>
      </c>
      <c r="I39" s="32">
        <v>2.8</v>
      </c>
      <c r="J39" s="32" t="s">
        <v>42</v>
      </c>
      <c r="K39" s="32">
        <v>1220.0</v>
      </c>
      <c r="L39" s="32" t="s">
        <v>42</v>
      </c>
      <c r="M39" s="32">
        <v>2440.0</v>
      </c>
      <c r="N39" s="32" t="s">
        <v>42</v>
      </c>
      <c r="O39" s="43">
        <f t="shared" si="8"/>
        <v>2.9768</v>
      </c>
      <c r="P39" s="32" t="s">
        <v>46</v>
      </c>
      <c r="Q39" s="32">
        <v>37.0</v>
      </c>
      <c r="R39" s="32" t="s">
        <v>792</v>
      </c>
      <c r="U39" s="35">
        <f t="shared" si="1"/>
        <v>15.16393443</v>
      </c>
      <c r="V39" s="32" t="s">
        <v>792</v>
      </c>
      <c r="W39" s="43" t="str">
        <f t="shared" si="6"/>
        <v>25376-1.jpg; 25376-2.jpg</v>
      </c>
      <c r="AB39" s="43" t="str">
        <f>IFERROR(__xludf.DUMMYFUNCTION("ai(""breve descripcion de este producto"")"),"Este revestimiento de interior de la marca Max Core, perteneciente a la línea Slimstone en color Limestone Warm, está fabricado en PVC. Se trata de una placa que simula la piedra natural con un acabado mate, diseñada para renovar espacios con sofisticació"&amp;"n y sin necesidad de realizar obras complejas. Cada tabla posee un espesor de 2.8 mm, un ancho de 1220 mm y un largo de 2440 mm, cubriendo una superficie de 2.9768 m2. Es un material 100% libre de mantenimiento, impermeable y de fácil instalación, apto pa"&amp;"ra ser aplicado sobre diversos sustratos como madera, metal o placas de yeso.")</f>
        <v>Este revestimiento de interior de la marca Max Core, perteneciente a la línea Slimstone en color Limestone Warm, está fabricado en PVC. Se trata de una placa que simula la piedra natural con un acabado mate, diseñada para renovar espacios con sofisticación y sin necesidad de realizar obras complejas. Cada tabla posee un espesor de 2.8 mm, un ancho de 1220 mm y un largo de 2440 mm, cubriendo una superficie de 2.9768 m2. Es un material 100% libre de mantenimiento, impermeable y de fácil instalación, apto para ser aplicado sobre diversos sustratos como madera, metal o placas de yeso.</v>
      </c>
    </row>
    <row r="40" ht="15.75" customHeight="1">
      <c r="A40" s="55">
        <v>25374.0</v>
      </c>
      <c r="B40" s="5" t="s">
        <v>33</v>
      </c>
      <c r="C40" s="32" t="s">
        <v>786</v>
      </c>
      <c r="D40" s="32" t="s">
        <v>827</v>
      </c>
      <c r="E40" s="32" t="s">
        <v>830</v>
      </c>
      <c r="F40" s="32" t="s">
        <v>789</v>
      </c>
      <c r="G40" s="32" t="s">
        <v>831</v>
      </c>
      <c r="H40" s="32" t="s">
        <v>872</v>
      </c>
      <c r="I40" s="32">
        <v>2.8</v>
      </c>
      <c r="J40" s="32" t="s">
        <v>42</v>
      </c>
      <c r="K40" s="32">
        <v>1220.0</v>
      </c>
      <c r="L40" s="32" t="s">
        <v>42</v>
      </c>
      <c r="M40" s="32">
        <v>2440.0</v>
      </c>
      <c r="N40" s="32" t="s">
        <v>42</v>
      </c>
      <c r="O40" s="43">
        <f t="shared" si="8"/>
        <v>2.9768</v>
      </c>
      <c r="P40" s="32" t="s">
        <v>46</v>
      </c>
      <c r="Q40" s="32">
        <v>37.0</v>
      </c>
      <c r="R40" s="32" t="s">
        <v>792</v>
      </c>
      <c r="U40" s="35">
        <f t="shared" si="1"/>
        <v>15.16393443</v>
      </c>
      <c r="V40" s="32" t="s">
        <v>792</v>
      </c>
      <c r="W40" s="43" t="str">
        <f t="shared" si="6"/>
        <v>25374-1.jpg; 25374-2.jpg</v>
      </c>
      <c r="AB40" s="43" t="str">
        <f>IFERROR(__xludf.DUMMYFUNCTION("ai(""breve descripcion de este producto"")"),"Este revestimiento de interior de la marca Max Core, línea Slimstone en color Travertino Light, está fabricado en PVC con un acabado que simula la piedra natural. Es un material liviano y resistente que permite renovar espacios fácilmente, pudiendo aplica"&amp;"rse sobre diversas superficies como madera, durlock o metal. Cada placa tiene un espesor de 2.8 mm, un ancho de 1220 mm y un largo de 2440 mm, cubriendo una superficie de 2.9768 m2.")</f>
        <v>Este revestimiento de interior de la marca Max Core, línea Slimstone en color Travertino Light, está fabricado en PVC con un acabado que simula la piedra natural. Es un material liviano y resistente que permite renovar espacios fácilmente, pudiendo aplicarse sobre diversas superficies como madera, durlock o metal. Cada placa tiene un espesor de 2.8 mm, un ancho de 1220 mm y un largo de 2440 mm, cubriendo una superficie de 2.9768 m2.</v>
      </c>
    </row>
    <row r="41" ht="15.75" customHeight="1">
      <c r="A41" s="55">
        <v>22443.0</v>
      </c>
      <c r="B41" s="5" t="s">
        <v>33</v>
      </c>
      <c r="C41" s="32" t="s">
        <v>786</v>
      </c>
      <c r="D41" s="32" t="s">
        <v>827</v>
      </c>
      <c r="E41" s="32" t="s">
        <v>873</v>
      </c>
      <c r="F41" s="32" t="s">
        <v>789</v>
      </c>
      <c r="G41" s="32" t="s">
        <v>874</v>
      </c>
      <c r="H41" s="32" t="s">
        <v>807</v>
      </c>
      <c r="I41" s="32">
        <v>20.0</v>
      </c>
      <c r="J41" s="32" t="s">
        <v>42</v>
      </c>
      <c r="K41" s="32">
        <v>35.0</v>
      </c>
      <c r="L41" s="32" t="s">
        <v>42</v>
      </c>
      <c r="M41" s="32">
        <v>3050.0</v>
      </c>
      <c r="N41" s="32" t="s">
        <v>42</v>
      </c>
      <c r="O41" s="32">
        <v>1.28</v>
      </c>
      <c r="P41" s="32" t="s">
        <v>46</v>
      </c>
      <c r="Q41" s="43">
        <f t="shared" ref="Q41:Q52" si="9">S41*O41</f>
        <v>150.144</v>
      </c>
      <c r="S41" s="32">
        <v>117.3</v>
      </c>
      <c r="T41" s="32" t="s">
        <v>792</v>
      </c>
      <c r="U41" s="35">
        <f t="shared" si="1"/>
        <v>49.22754098</v>
      </c>
      <c r="V41" s="32" t="s">
        <v>792</v>
      </c>
      <c r="W41" s="43" t="str">
        <f t="shared" si="6"/>
        <v>22443-1.jpg; 22443-2.jpg</v>
      </c>
      <c r="AB41" s="43" t="str">
        <f>IFERROR(__xludf.DUMMYFUNCTION("ai(""breve descripcion de este producto"")"),"Este revestimiento interior de la marca Max Core, línea Alistonado en madera de Lapacho, es un producto premium fabricado al 100% con madera natural de bosques sustentables. Destacado por su alta resistencia, durabilidad y tonalidad cálida, este material "&amp;"aporta sofisticación y una estética moderna a muros y cielorrasos internos. Cada tabla presenta un espesor de 20 mm, un ancho de 35 mm y un largo fijo de 3050 mm, cubriendo una superficie de 1.28 m2.")</f>
        <v>Este revestimiento interior de la marca Max Core, línea Alistonado en madera de Lapacho, es un producto premium fabricado al 100% con madera natural de bosques sustentables. Destacado por su alta resistencia, durabilidad y tonalidad cálida, este material aporta sofisticación y una estética moderna a muros y cielorrasos internos. Cada tabla presenta un espesor de 20 mm, un ancho de 35 mm y un largo fijo de 3050 mm, cubriendo una superficie de 1.28 m2.</v>
      </c>
    </row>
    <row r="42" ht="15.75" customHeight="1">
      <c r="A42" s="55">
        <v>22448.0</v>
      </c>
      <c r="B42" s="5" t="s">
        <v>33</v>
      </c>
      <c r="C42" s="32" t="s">
        <v>786</v>
      </c>
      <c r="D42" s="32" t="s">
        <v>827</v>
      </c>
      <c r="E42" s="32" t="s">
        <v>873</v>
      </c>
      <c r="F42" s="32" t="s">
        <v>789</v>
      </c>
      <c r="G42" s="32" t="s">
        <v>875</v>
      </c>
      <c r="H42" s="32" t="s">
        <v>807</v>
      </c>
      <c r="I42" s="32">
        <v>20.0</v>
      </c>
      <c r="J42" s="32" t="s">
        <v>42</v>
      </c>
      <c r="K42" s="32">
        <v>35.0</v>
      </c>
      <c r="L42" s="32" t="s">
        <v>42</v>
      </c>
      <c r="M42" s="56" t="s">
        <v>876</v>
      </c>
      <c r="Q42" s="43">
        <f t="shared" si="9"/>
        <v>0</v>
      </c>
      <c r="S42" s="32">
        <v>100.2</v>
      </c>
      <c r="T42" s="32" t="s">
        <v>792</v>
      </c>
      <c r="U42" s="35"/>
      <c r="W42" s="43" t="str">
        <f t="shared" si="6"/>
        <v>22448-1.jpg; 22448-2.jpg</v>
      </c>
      <c r="AB42" s="43" t="str">
        <f>IFERROR(__xludf.DUMMYFUNCTION("ai(""breve descripcion de este producto"")"),"Este revestimiento de la marca Max Core, línea Alistonado en madera natural de Lapacho, está diseñado para uso interior. Es una opción premium y elegante que aporta la calidez y resistencia característica de esta madera noble a cualquier ambiente. Cada ta"&amp;"bla tiene un espesor de 20 mm y un ancho de 35 mm, con un largo variable (L.V.) que permite una instalación personalizada. El producto se comercializa a un precio de 100.2 USD por metro cuadrado.")</f>
        <v>Este revestimiento de la marca Max Core, línea Alistonado en madera natural de Lapacho, está diseñado para uso interior. Es una opción premium y elegante que aporta la calidez y resistencia característica de esta madera noble a cualquier ambiente. Cada tabla tiene un espesor de 20 mm y un ancho de 35 mm, con un largo variable (L.V.) que permite una instalación personalizada. El producto se comercializa a un precio de 100.2 USD por metro cuadrado.</v>
      </c>
    </row>
    <row r="43" ht="15.75" customHeight="1">
      <c r="A43" s="55">
        <v>22445.0</v>
      </c>
      <c r="B43" s="5" t="s">
        <v>33</v>
      </c>
      <c r="C43" s="32" t="s">
        <v>786</v>
      </c>
      <c r="D43" s="32" t="s">
        <v>827</v>
      </c>
      <c r="E43" s="32" t="s">
        <v>873</v>
      </c>
      <c r="F43" s="32" t="s">
        <v>789</v>
      </c>
      <c r="G43" s="32" t="s">
        <v>875</v>
      </c>
      <c r="H43" s="32" t="s">
        <v>877</v>
      </c>
      <c r="I43" s="32">
        <v>20.0</v>
      </c>
      <c r="J43" s="32" t="s">
        <v>42</v>
      </c>
      <c r="K43" s="32">
        <v>35.0</v>
      </c>
      <c r="L43" s="32" t="s">
        <v>42</v>
      </c>
      <c r="M43" s="32">
        <v>3050.0</v>
      </c>
      <c r="N43" s="32" t="s">
        <v>42</v>
      </c>
      <c r="O43" s="32">
        <v>1.28</v>
      </c>
      <c r="P43" s="32" t="s">
        <v>46</v>
      </c>
      <c r="Q43" s="43">
        <f t="shared" si="9"/>
        <v>103.872</v>
      </c>
      <c r="S43" s="32">
        <v>81.15</v>
      </c>
      <c r="T43" s="32" t="s">
        <v>792</v>
      </c>
      <c r="U43" s="35">
        <f>Q43/M43*1000</f>
        <v>34.05639344</v>
      </c>
      <c r="V43" s="32" t="s">
        <v>792</v>
      </c>
      <c r="W43" s="43" t="str">
        <f t="shared" si="6"/>
        <v>22445-1.jpg; 22445-2.jpg</v>
      </c>
      <c r="AB43" s="43" t="str">
        <f>IFERROR(__xludf.DUMMYFUNCTION("ai(""breve descripcion de este producto"")"),"Este revestimiento de madera natural Angelin de la línea Alistonado Max Core está diseñado para uso en interiores, aportando calidez y elegancia mediante un sistema de listonado continuo. Fabricado con madera 100% proveniente de bosques sustentables, se p"&amp;"resenta en listones de largo fijo de 3.05 m, con un espesor de 20 mm y un ancho de 35 mm. Es ideal para muros y cielos en zonas no expuestas a la humedad, ofreciendo una superficie homogénea fácil de instalar gracias a su sistema machihembrado que permite"&amp;" fijaciones ocultas.cha técnica.")</f>
        <v>Este revestimiento de madera natural Angelin de la línea Alistonado Max Core está diseñado para uso en interiores, aportando calidez y elegancia mediante un sistema de listonado continuo. Fabricado con madera 100% proveniente de bosques sustentables, se presenta en listones de largo fijo de 3.05 m, con un espesor de 20 mm y un ancho de 35 mm. Es ideal para muros y cielos en zonas no expuestas a la humedad, ofreciendo una superficie homogénea fácil de instalar gracias a su sistema machihembrado que permite fijaciones ocultas.cha técnica.</v>
      </c>
    </row>
    <row r="44" ht="15.75" customHeight="1">
      <c r="A44" s="55">
        <v>22450.0</v>
      </c>
      <c r="B44" s="5" t="s">
        <v>33</v>
      </c>
      <c r="C44" s="32" t="s">
        <v>786</v>
      </c>
      <c r="D44" s="32" t="s">
        <v>827</v>
      </c>
      <c r="E44" s="32" t="s">
        <v>873</v>
      </c>
      <c r="F44" s="32" t="s">
        <v>789</v>
      </c>
      <c r="G44" s="32" t="s">
        <v>875</v>
      </c>
      <c r="H44" s="32" t="s">
        <v>877</v>
      </c>
      <c r="I44" s="32">
        <v>20.0</v>
      </c>
      <c r="J44" s="32" t="s">
        <v>42</v>
      </c>
      <c r="K44" s="32">
        <v>35.0</v>
      </c>
      <c r="L44" s="32" t="s">
        <v>42</v>
      </c>
      <c r="M44" s="56" t="s">
        <v>876</v>
      </c>
      <c r="Q44" s="43">
        <f t="shared" si="9"/>
        <v>0</v>
      </c>
      <c r="S44" s="32">
        <v>70.7</v>
      </c>
      <c r="T44" s="32" t="s">
        <v>792</v>
      </c>
      <c r="U44" s="35"/>
      <c r="W44" s="43" t="str">
        <f t="shared" si="6"/>
        <v>22450-1.jpg; 22450-2.jpg</v>
      </c>
      <c r="AB44" s="43" t="str">
        <f>IFERROR(__xludf.DUMMYFUNCTION("ai(""breve descripcion de este producto"")"),"Este revestimiento interior de la marca Max Core, línea Alistonado en madera de Angelin, ofrece una solución elegante y natural para espacios internos. El material de madera real proporciona calidez y una estética auténtica, ideal para proyectos de diseño"&amp;" que priorizan la textura y el acabado orgánico. Cada pieza cuenta con un espesor de 20 mm y un ancho de 35 mm, con un largo variable (L.V.) que se adapta a diversas necesidades de instalación. El producto tiene un precio de 70.7 usd por m2.")</f>
        <v>Este revestimiento interior de la marca Max Core, línea Alistonado en madera de Angelin, ofrece una solución elegante y natural para espacios internos. El material de madera real proporciona calidez y una estética auténtica, ideal para proyectos de diseño que priorizan la textura y el acabado orgánico. Cada pieza cuenta con un espesor de 20 mm y un ancho de 35 mm, con un largo variable (L.V.) que se adapta a diversas necesidades de instalación. El producto tiene un precio de 70.7 usd por m2.</v>
      </c>
    </row>
    <row r="45" ht="15.75" customHeight="1">
      <c r="A45" s="55">
        <v>22444.0</v>
      </c>
      <c r="B45" s="5" t="s">
        <v>33</v>
      </c>
      <c r="C45" s="32" t="s">
        <v>786</v>
      </c>
      <c r="D45" s="32" t="s">
        <v>827</v>
      </c>
      <c r="E45" s="32" t="s">
        <v>873</v>
      </c>
      <c r="F45" s="32" t="s">
        <v>789</v>
      </c>
      <c r="G45" s="32" t="s">
        <v>875</v>
      </c>
      <c r="H45" s="32" t="s">
        <v>878</v>
      </c>
      <c r="I45" s="32">
        <v>20.0</v>
      </c>
      <c r="J45" s="32" t="s">
        <v>42</v>
      </c>
      <c r="K45" s="32">
        <v>35.0</v>
      </c>
      <c r="L45" s="32" t="s">
        <v>42</v>
      </c>
      <c r="M45" s="32">
        <v>3050.0</v>
      </c>
      <c r="N45" s="32" t="s">
        <v>42</v>
      </c>
      <c r="O45" s="32">
        <v>1.28</v>
      </c>
      <c r="P45" s="32" t="s">
        <v>46</v>
      </c>
      <c r="Q45" s="43">
        <f t="shared" si="9"/>
        <v>103.872</v>
      </c>
      <c r="S45" s="32">
        <v>81.15</v>
      </c>
      <c r="T45" s="32" t="s">
        <v>792</v>
      </c>
      <c r="U45" s="35">
        <f>Q45/M45*1000</f>
        <v>34.05639344</v>
      </c>
      <c r="V45" s="32" t="s">
        <v>792</v>
      </c>
      <c r="W45" s="43" t="str">
        <f t="shared" si="6"/>
        <v>22444-1.jpg; 22444-2.jpg</v>
      </c>
      <c r="AB45" s="43" t="str">
        <f>IFERROR(__xludf.DUMMYFUNCTION("ai(""breve descripcion de este producto"")"),"Este revestimiento de pared para interior de la marca Max Core, línea Alistonado en madera Jequetiba, está fabricado con madera 100% proveniente de bosques sustentables. Se caracteriza por ser un material natural que requiere ser instalado en superficies "&amp;"lisas y sin humedad, ya que no es apto para zonas húmedas. Cada tabla tiene un espesor de 20 mm, un ancho de 35 mm y un largo fijo de 3050 mm, cubriendo una superficie de 1.28 m2 por unidad.")</f>
        <v>Este revestimiento de pared para interior de la marca Max Core, línea Alistonado en madera Jequetiba, está fabricado con madera 100% proveniente de bosques sustentables. Se caracteriza por ser un material natural que requiere ser instalado en superficies lisas y sin humedad, ya que no es apto para zonas húmedas. Cada tabla tiene un espesor de 20 mm, un ancho de 35 mm y un largo fijo de 3050 mm, cubriendo una superficie de 1.28 m2 por unidad.</v>
      </c>
    </row>
    <row r="46" ht="15.75" customHeight="1">
      <c r="A46" s="55">
        <v>22449.0</v>
      </c>
      <c r="B46" s="5" t="s">
        <v>33</v>
      </c>
      <c r="C46" s="32" t="s">
        <v>786</v>
      </c>
      <c r="D46" s="32" t="s">
        <v>827</v>
      </c>
      <c r="E46" s="32" t="s">
        <v>873</v>
      </c>
      <c r="F46" s="32" t="s">
        <v>789</v>
      </c>
      <c r="G46" s="32" t="s">
        <v>875</v>
      </c>
      <c r="H46" s="32" t="s">
        <v>878</v>
      </c>
      <c r="I46" s="32">
        <v>20.0</v>
      </c>
      <c r="J46" s="32" t="s">
        <v>42</v>
      </c>
      <c r="K46" s="32">
        <v>35.0</v>
      </c>
      <c r="L46" s="32" t="s">
        <v>42</v>
      </c>
      <c r="M46" s="56" t="s">
        <v>879</v>
      </c>
      <c r="Q46" s="43">
        <f t="shared" si="9"/>
        <v>0</v>
      </c>
      <c r="S46" s="32">
        <v>70.7</v>
      </c>
      <c r="T46" s="32" t="s">
        <v>792</v>
      </c>
      <c r="U46" s="35"/>
      <c r="W46" s="43" t="str">
        <f t="shared" si="6"/>
        <v>22449-1.jpg; 22449-2.jpg</v>
      </c>
      <c r="AB46" s="43" t="str">
        <f>IFERROR(__xludf.DUMMYFUNCTION("ai(""breve descripcion de este producto"")"),"Este revestimiento interior de la marca Max Core, línea Alistonado en color Jequetiba, está fabricado en madera natural. Es un material de alta calidad diseñado para brindar calidez y elegancia a ambientes internos, destacando por su veta y textura autént"&amp;"ica. Cada tabla tiene un espesor de 20 mm y un ancho de 35 mm, disponible en largos variables (L.V.) para adaptarse a diferentes proyectos arquitectónicos. Su precio es de 70.7 usd por m2.")</f>
        <v>Este revestimiento interior de la marca Max Core, línea Alistonado en color Jequetiba, está fabricado en madera natural. Es un material de alta calidad diseñado para brindar calidez y elegancia a ambientes internos, destacando por su veta y textura auténtica. Cada tabla tiene un espesor de 20 mm y un ancho de 35 mm, disponible en largos variables (L.V.) para adaptarse a diferentes proyectos arquitectónicos. Su precio es de 70.7 usd por m2.</v>
      </c>
    </row>
    <row r="47" ht="15.75" customHeight="1">
      <c r="A47" s="55">
        <v>22447.0</v>
      </c>
      <c r="B47" s="5" t="s">
        <v>33</v>
      </c>
      <c r="C47" s="32" t="s">
        <v>786</v>
      </c>
      <c r="D47" s="32" t="s">
        <v>827</v>
      </c>
      <c r="E47" s="32" t="s">
        <v>873</v>
      </c>
      <c r="F47" s="32" t="s">
        <v>789</v>
      </c>
      <c r="G47" s="32" t="s">
        <v>875</v>
      </c>
      <c r="H47" s="32" t="s">
        <v>880</v>
      </c>
      <c r="I47" s="32">
        <v>20.0</v>
      </c>
      <c r="J47" s="32" t="s">
        <v>42</v>
      </c>
      <c r="K47" s="32">
        <v>35.0</v>
      </c>
      <c r="L47" s="32" t="s">
        <v>42</v>
      </c>
      <c r="M47" s="32">
        <v>3050.0</v>
      </c>
      <c r="N47" s="32" t="s">
        <v>42</v>
      </c>
      <c r="O47" s="32">
        <v>1.28</v>
      </c>
      <c r="P47" s="32" t="s">
        <v>46</v>
      </c>
      <c r="Q47" s="43">
        <f t="shared" si="9"/>
        <v>97.408</v>
      </c>
      <c r="S47" s="32">
        <v>76.1</v>
      </c>
      <c r="T47" s="32" t="s">
        <v>792</v>
      </c>
      <c r="U47" s="35">
        <f>Q47/M47*1000</f>
        <v>31.93704918</v>
      </c>
      <c r="V47" s="32" t="s">
        <v>792</v>
      </c>
      <c r="W47" s="43" t="str">
        <f t="shared" si="6"/>
        <v>22447-1.jpg; 22447-2.jpg</v>
      </c>
      <c r="AB47" s="43" t="str">
        <f>IFERROR(__xludf.DUMMYFUNCTION("ai(""breve descripcion de este producto"")"),"Este revestimiento de pared de la marca Max Core, línea Alistonado en madera de Eucaliptus, está diseñado para uso en interiores. Fabricado con madera 100% natural proveniente de bosques sustentables, ofrece una estética cálida con tonos rosados únicos y "&amp;"una durabilidad semi dura. Cada tabla tiene un espesor de 20 mm, un ancho de 35 mm y un largo fijo de 3050 mm, cubriendo un rendimiento de 1.28 m2 por caja. Su sistema de machihembrado facilita una instalación con fijaciones ocultas en paredes o techos.")</f>
        <v>Este revestimiento de pared de la marca Max Core, línea Alistonado en madera de Eucaliptus, está diseñado para uso en interiores. Fabricado con madera 100% natural proveniente de bosques sustentables, ofrece una estética cálida con tonos rosados únicos y una durabilidad semi dura. Cada tabla tiene un espesor de 20 mm, un ancho de 35 mm y un largo fijo de 3050 mm, cubriendo un rendimiento de 1.28 m2 por caja. Su sistema de machihembrado facilita una instalación con fijaciones ocultas en paredes o techos.</v>
      </c>
    </row>
    <row r="48" ht="15.75" customHeight="1">
      <c r="A48" s="55">
        <v>22452.0</v>
      </c>
      <c r="B48" s="5" t="s">
        <v>33</v>
      </c>
      <c r="C48" s="32" t="s">
        <v>786</v>
      </c>
      <c r="D48" s="32" t="s">
        <v>827</v>
      </c>
      <c r="E48" s="32" t="s">
        <v>873</v>
      </c>
      <c r="F48" s="32" t="s">
        <v>789</v>
      </c>
      <c r="G48" s="32" t="s">
        <v>875</v>
      </c>
      <c r="H48" s="32" t="s">
        <v>880</v>
      </c>
      <c r="I48" s="32">
        <v>20.0</v>
      </c>
      <c r="J48" s="32" t="s">
        <v>42</v>
      </c>
      <c r="K48" s="32">
        <v>35.0</v>
      </c>
      <c r="L48" s="32" t="s">
        <v>42</v>
      </c>
      <c r="M48" s="56" t="s">
        <v>876</v>
      </c>
      <c r="Q48" s="43">
        <f t="shared" si="9"/>
        <v>0</v>
      </c>
      <c r="S48" s="32">
        <v>62.75</v>
      </c>
      <c r="T48" s="32" t="s">
        <v>792</v>
      </c>
      <c r="U48" s="35"/>
      <c r="W48" s="43" t="str">
        <f t="shared" si="6"/>
        <v>22452-1.jpg; 22452-2.jpg</v>
      </c>
      <c r="AB48" s="43" t="str">
        <f>IFERROR(__xludf.DUMMYFUNCTION("ai(""breve descripcion de este producto"")"),"Este revestimiento interior de la marca Max Core, línea Alistonado en madera de Eucaliptus, está fabricado con madera 100% natural proveniente de bosques sustentables. Diseñado para aportar calidez y una estética natural a ambientes internos, este materia"&amp;"l destaca por su tono rosado único y su resistencia característica. Cada pieza presenta un espesor de 20 mm, un ancho de 35 mm y se ofrece en largos variables (L.V.) que oscilan entre 700 mm y 3050 mm.")</f>
        <v>Este revestimiento interior de la marca Max Core, línea Alistonado en madera de Eucaliptus, está fabricado con madera 100% natural proveniente de bosques sustentables. Diseñado para aportar calidez y una estética natural a ambientes internos, este material destaca por su tono rosado único y su resistencia característica. Cada pieza presenta un espesor de 20 mm, un ancho de 35 mm y se ofrece en largos variables (L.V.) que oscilan entre 700 mm y 3050 mm.</v>
      </c>
    </row>
    <row r="49" ht="15.75" customHeight="1">
      <c r="A49" s="55">
        <v>22446.0</v>
      </c>
      <c r="B49" s="5" t="s">
        <v>33</v>
      </c>
      <c r="C49" s="32" t="s">
        <v>786</v>
      </c>
      <c r="D49" s="32" t="s">
        <v>827</v>
      </c>
      <c r="E49" s="32" t="s">
        <v>873</v>
      </c>
      <c r="F49" s="32" t="s">
        <v>789</v>
      </c>
      <c r="G49" s="32" t="s">
        <v>875</v>
      </c>
      <c r="H49" s="32" t="s">
        <v>881</v>
      </c>
      <c r="I49" s="32">
        <v>20.0</v>
      </c>
      <c r="J49" s="32" t="s">
        <v>42</v>
      </c>
      <c r="K49" s="32">
        <v>35.0</v>
      </c>
      <c r="L49" s="32" t="s">
        <v>42</v>
      </c>
      <c r="M49" s="32">
        <v>3050.0</v>
      </c>
      <c r="N49" s="32" t="s">
        <v>42</v>
      </c>
      <c r="O49" s="32">
        <v>1.28</v>
      </c>
      <c r="P49" s="32" t="s">
        <v>46</v>
      </c>
      <c r="Q49" s="43">
        <f t="shared" si="9"/>
        <v>91.008</v>
      </c>
      <c r="S49" s="32">
        <v>71.1</v>
      </c>
      <c r="T49" s="32" t="s">
        <v>792</v>
      </c>
      <c r="U49" s="35">
        <f>Q49/M49*1000</f>
        <v>29.83868852</v>
      </c>
      <c r="V49" s="32" t="s">
        <v>792</v>
      </c>
      <c r="W49" s="43" t="str">
        <f t="shared" si="6"/>
        <v>22446-1.jpg; 22446-2.jpg</v>
      </c>
      <c r="AB49" s="43" t="str">
        <f>IFERROR(__xludf.DUMMYFUNCTION("ai(""breve descripcion de este producto"")"),"Este revestimiento interior de la marca Max Core, perteneciente a la línea Alistonado en madera natural de Marupa, ofrece una solución elegante y cálida para espacios internos. Fabricado con madera 100% proveniente de bosques sustentables, este producto d"&amp;"estaca por su calidad premium con una cara frontal libre de nudos. Cada tabla presenta un espesor de 20 mm, un ancho de 35 mm y un largo de 3050 mm, cubriendo un rendimiento de 1.28 m2 por caja. Es un material ideal para crear ambientes acogedores que, ad"&amp;"emás de su valor estético, puede proporcionar aislamiento acústico y térmico. Se recomienda la aplicación de un protector de madera durante la instalación para asegurar su durabilidad y mantenimiento con el tiempo.")</f>
        <v>Este revestimiento interior de la marca Max Core, perteneciente a la línea Alistonado en madera natural de Marupa, ofrece una solución elegante y cálida para espacios internos. Fabricado con madera 100% proveniente de bosques sustentables, este producto destaca por su calidad premium con una cara frontal libre de nudos. Cada tabla presenta un espesor de 20 mm, un ancho de 35 mm y un largo de 3050 mm, cubriendo un rendimiento de 1.28 m2 por caja. Es un material ideal para crear ambientes acogedores que, además de su valor estético, puede proporcionar aislamiento acústico y térmico. Se recomienda la aplicación de un protector de madera durante la instalación para asegurar su durabilidad y mantenimiento con el tiempo.</v>
      </c>
    </row>
    <row r="50" ht="15.75" customHeight="1">
      <c r="A50" s="55">
        <v>22451.0</v>
      </c>
      <c r="B50" s="5" t="s">
        <v>33</v>
      </c>
      <c r="C50" s="32" t="s">
        <v>786</v>
      </c>
      <c r="D50" s="32" t="s">
        <v>827</v>
      </c>
      <c r="E50" s="32" t="s">
        <v>873</v>
      </c>
      <c r="F50" s="32" t="s">
        <v>789</v>
      </c>
      <c r="G50" s="32" t="s">
        <v>875</v>
      </c>
      <c r="H50" s="32" t="s">
        <v>881</v>
      </c>
      <c r="I50" s="32">
        <v>20.0</v>
      </c>
      <c r="J50" s="32" t="s">
        <v>42</v>
      </c>
      <c r="K50" s="32">
        <v>35.0</v>
      </c>
      <c r="L50" s="32" t="s">
        <v>42</v>
      </c>
      <c r="M50" s="56" t="s">
        <v>876</v>
      </c>
      <c r="Q50" s="43">
        <f t="shared" si="9"/>
        <v>0</v>
      </c>
      <c r="S50" s="32">
        <v>62.85</v>
      </c>
      <c r="T50" s="32" t="s">
        <v>792</v>
      </c>
      <c r="U50" s="35"/>
      <c r="W50" s="43" t="str">
        <f t="shared" si="6"/>
        <v>22451-1.jpg; 22451-2.jpg</v>
      </c>
      <c r="AB50" s="43" t="str">
        <f>IFERROR(__xludf.DUMMYFUNCTION("ai(""breve descripcion de este producto"")"),"Este revestimiento interior de la marca Max Core, línea Alistonado en madera de Marupa, ofrece una estética natural y cálida para espacios interiores. Con un espesor de 20 mm y un ancho de 35 mm, este producto de madera maciza es ideal para crear ambiente"&amp;"s sofisticados y acogedores. Su largo es variable (L.V.), permitiendo una adaptación versátil a diferentes proyectos de diseño.")</f>
        <v>Este revestimiento interior de la marca Max Core, línea Alistonado en madera de Marupa, ofrece una estética natural y cálida para espacios interiores. Con un espesor de 20 mm y un ancho de 35 mm, este producto de madera maciza es ideal para crear ambientes sofisticados y acogedores. Su largo es variable (L.V.), permitiendo una adaptación versátil a diferentes proyectos de diseño.</v>
      </c>
    </row>
    <row r="51" ht="15.75" customHeight="1">
      <c r="A51" s="55">
        <v>23049.0</v>
      </c>
      <c r="B51" s="5" t="s">
        <v>33</v>
      </c>
      <c r="C51" s="32" t="s">
        <v>786</v>
      </c>
      <c r="D51" s="32" t="s">
        <v>827</v>
      </c>
      <c r="E51" s="32" t="s">
        <v>873</v>
      </c>
      <c r="F51" s="32" t="s">
        <v>789</v>
      </c>
      <c r="G51" s="32" t="s">
        <v>875</v>
      </c>
      <c r="H51" s="32" t="s">
        <v>882</v>
      </c>
      <c r="I51" s="32">
        <v>20.0</v>
      </c>
      <c r="J51" s="32" t="s">
        <v>42</v>
      </c>
      <c r="K51" s="32">
        <v>35.0</v>
      </c>
      <c r="L51" s="32" t="s">
        <v>42</v>
      </c>
      <c r="M51" s="32">
        <v>3050.0</v>
      </c>
      <c r="N51" s="32" t="s">
        <v>42</v>
      </c>
      <c r="O51" s="32">
        <v>1.28</v>
      </c>
      <c r="P51" s="32" t="s">
        <v>46</v>
      </c>
      <c r="Q51" s="43">
        <f t="shared" si="9"/>
        <v>103.232</v>
      </c>
      <c r="S51" s="32">
        <v>80.65</v>
      </c>
      <c r="T51" s="32" t="s">
        <v>792</v>
      </c>
      <c r="U51" s="35">
        <f>Q51/M51*1000</f>
        <v>33.84655738</v>
      </c>
      <c r="V51" s="32" t="s">
        <v>792</v>
      </c>
      <c r="W51" s="43" t="str">
        <f t="shared" si="6"/>
        <v>23049-1.jpg; 23049-2.jpg</v>
      </c>
      <c r="AB51" s="43" t="str">
        <f>IFERROR(__xludf.DUMMYFUNCTION("ai(""breve descripcion de este producto"")"),"Este revestimiento de madera maciza natural de Kiri, de la marca Max Core y línea Alistonado, está diseñado para uso en interiores como paredes y cielorrasos. Se caracteriza por ser una madera clara, liviana y de veta sutil, ideal para proyectos que busca"&amp;"n elegancia y calidez sin nudos a la vista. Las piezas se presentan en formato de listones encastrables de 20 mm de espesor, 35 mm de ancho y 3050 mm de largo, cubriendo una superficie de 1.28 m2 por tabla.")</f>
        <v>Este revestimiento de madera maciza natural de Kiri, de la marca Max Core y línea Alistonado, está diseñado para uso en interiores como paredes y cielorrasos. Se caracteriza por ser una madera clara, liviana y de veta sutil, ideal para proyectos que buscan elegancia y calidez sin nudos a la vista. Las piezas se presentan en formato de listones encastrables de 20 mm de espesor, 35 mm de ancho y 3050 mm de largo, cubriendo una superficie de 1.28 m2 por tabla.</v>
      </c>
    </row>
    <row r="52" ht="15.75" customHeight="1">
      <c r="A52" s="55">
        <v>23045.0</v>
      </c>
      <c r="B52" s="5" t="s">
        <v>33</v>
      </c>
      <c r="C52" s="32" t="s">
        <v>786</v>
      </c>
      <c r="D52" s="32" t="s">
        <v>827</v>
      </c>
      <c r="E52" s="32" t="s">
        <v>873</v>
      </c>
      <c r="F52" s="32" t="s">
        <v>789</v>
      </c>
      <c r="G52" s="32" t="s">
        <v>875</v>
      </c>
      <c r="H52" s="32" t="s">
        <v>882</v>
      </c>
      <c r="I52" s="32">
        <v>20.0</v>
      </c>
      <c r="J52" s="32" t="s">
        <v>42</v>
      </c>
      <c r="K52" s="32">
        <v>35.0</v>
      </c>
      <c r="L52" s="32" t="s">
        <v>42</v>
      </c>
      <c r="M52" s="56" t="s">
        <v>876</v>
      </c>
      <c r="Q52" s="43">
        <f t="shared" si="9"/>
        <v>0</v>
      </c>
      <c r="S52" s="32">
        <v>73.4</v>
      </c>
      <c r="T52" s="32" t="s">
        <v>792</v>
      </c>
      <c r="U52" s="35"/>
      <c r="W52" s="43" t="str">
        <f t="shared" si="6"/>
        <v>23045-1.jpg; 23045-2.jpg</v>
      </c>
      <c r="AB52" s="43" t="str">
        <f>IFERROR(__xludf.DUMMYFUNCTION("ai(""breve descripcion de este producto"")"),"Este revestimiento interior de la marca Max Core, perteneciente a la línea Alistonado en madera de Kiri, destaca por su calidez y elegancia natural. Fabricado en madera maciza, es ideal para crear ambientes sofisticados y acogedores en espacios internos. "&amp;"Cada pieza cuenta con un espesor de 20 mm y un ancho de 35 mm, presentándose en largos variables para adaptarse a diferentes proyectos arquitectónicos. Su precio de referencia es de 73.4 usd por metro cuadrado.")</f>
        <v>Este revestimiento interior de la marca Max Core, perteneciente a la línea Alistonado en madera de Kiri, destaca por su calidez y elegancia natural. Fabricado en madera maciza, es ideal para crear ambientes sofisticados y acogedores en espacios internos. Cada pieza cuenta con un espesor de 20 mm y un ancho de 35 mm, presentándose en largos variables para adaptarse a diferentes proyectos arquitectónicos. Su precio de referencia es de 73.4 usd por metro cuadrado.</v>
      </c>
    </row>
    <row r="53" ht="15.75" customHeight="1">
      <c r="A53" s="55">
        <v>24992.0</v>
      </c>
      <c r="B53" s="5" t="s">
        <v>33</v>
      </c>
      <c r="C53" s="32" t="s">
        <v>815</v>
      </c>
      <c r="D53" s="32" t="s">
        <v>883</v>
      </c>
      <c r="E53" s="32" t="s">
        <v>828</v>
      </c>
      <c r="F53" s="32" t="s">
        <v>789</v>
      </c>
      <c r="G53" s="32" t="s">
        <v>884</v>
      </c>
      <c r="H53" s="32" t="s">
        <v>885</v>
      </c>
      <c r="I53" s="32">
        <v>12.0</v>
      </c>
      <c r="J53" s="32" t="s">
        <v>42</v>
      </c>
      <c r="K53" s="32">
        <v>26.7</v>
      </c>
      <c r="L53" s="32" t="s">
        <v>42</v>
      </c>
      <c r="M53" s="32">
        <v>2900.0</v>
      </c>
      <c r="N53" s="32" t="s">
        <v>42</v>
      </c>
      <c r="P53" s="32" t="s">
        <v>818</v>
      </c>
      <c r="Q53" s="32">
        <v>5.3</v>
      </c>
      <c r="R53" s="32" t="s">
        <v>792</v>
      </c>
      <c r="U53" s="35">
        <f t="shared" ref="U53:U54" si="10">Q53/2.9</f>
        <v>1.827586207</v>
      </c>
      <c r="V53" s="32" t="s">
        <v>792</v>
      </c>
      <c r="W53" s="48" t="str">
        <f t="shared" ref="W53:W54" si="11">CONCATENATE(A53,"-1.jpg; ",A53,"-2.jpg; ",A53, "-3.jpg; ",A53, "-4.jpg; ",A53, "-5.jpg; ",A53, "-6.jpg; ",A53, "-7.jpg")</f>
        <v>24992-1.jpg; 24992-2.jpg; 24992-3.jpg; 24992-4.jpg; 24992-5.jpg; 24992-6.jpg; 24992-7.jpg</v>
      </c>
      <c r="AB53" s="43" t="str">
        <f>IFERROR(__xludf.DUMMYFUNCTION("AI(""Completa un valor adecuado para esta celda en función del contexto de la tabla"")"),"Este accesorio de terminación para interior de la marca Max Core, línea Angulo Derecho, está fabricado en EPS (poliestireno expandido) [cite: 1]. Es un componente ideal para resolver encuentros y esquinas en proyectos de revestimientos internos, disponibl"&amp;"e en una variedad de acabados que combinan con los paneles [cite: 1]. Cada unidad tiene un espesor de 12 mm, un ancho de 26.7 mm y un largo de 2900 mm [cite: 1].")</f>
        <v>Este accesorio de terminación para interior de la marca Max Core, línea Angulo Derecho, está fabricado en EPS (poliestireno expandido) [cite: 1]. Es un componente ideal para resolver encuentros y esquinas en proyectos de revestimientos internos, disponible en una variedad de acabados que combinan con los paneles [cite: 1]. Cada unidad tiene un espesor de 12 mm, un ancho de 26.7 mm y un largo de 2900 mm [cite: 1].</v>
      </c>
    </row>
    <row r="54" ht="15.75" customHeight="1">
      <c r="A54" s="55">
        <v>24984.0</v>
      </c>
      <c r="B54" s="5" t="s">
        <v>33</v>
      </c>
      <c r="C54" s="32" t="s">
        <v>815</v>
      </c>
      <c r="D54" s="32" t="s">
        <v>883</v>
      </c>
      <c r="E54" s="32" t="s">
        <v>828</v>
      </c>
      <c r="F54" s="32" t="s">
        <v>789</v>
      </c>
      <c r="G54" s="32" t="s">
        <v>886</v>
      </c>
      <c r="H54" s="32" t="s">
        <v>885</v>
      </c>
      <c r="I54" s="32">
        <v>12.0</v>
      </c>
      <c r="J54" s="32" t="s">
        <v>42</v>
      </c>
      <c r="K54" s="32">
        <v>42.0</v>
      </c>
      <c r="L54" s="32" t="s">
        <v>42</v>
      </c>
      <c r="M54" s="32">
        <v>2900.0</v>
      </c>
      <c r="N54" s="32" t="s">
        <v>42</v>
      </c>
      <c r="P54" s="32" t="s">
        <v>818</v>
      </c>
      <c r="Q54" s="32">
        <v>5.3</v>
      </c>
      <c r="R54" s="32" t="s">
        <v>792</v>
      </c>
      <c r="U54" s="35">
        <f t="shared" si="10"/>
        <v>1.827586207</v>
      </c>
      <c r="V54" s="32" t="s">
        <v>792</v>
      </c>
      <c r="W54" s="48" t="str">
        <f t="shared" si="11"/>
        <v>24984-1.jpg; 24984-2.jpg; 24984-3.jpg; 24984-4.jpg; 24984-5.jpg; 24984-6.jpg; 24984-7.jpg</v>
      </c>
      <c r="AB54" s="43" t="str">
        <f>IFERROR(__xludf.DUMMYFUNCTION("AI(""Completa un valor adecuado para esta celda en función del contexto de la tabla"")"),"Este accesorio de terminación interior de la marca Max Core, línea Angulo Izquierdo, está fabricado en EPS (poliestireno expandido de alta densidad). Es un componente diseñado para brindar un acabado estético y prolijo en las uniones de revestimientos int"&amp;"eriores, siendo compatible con una amplia gama de colores de la línea Elite. Cada unidad cuenta con un espesor de 12 mm, un ancho de 42 mm y un largo de 2900 mm.")</f>
        <v>Este accesorio de terminación interior de la marca Max Core, línea Angulo Izquierdo, está fabricado en EPS (poliestireno expandido de alta densidad). Es un componente diseñado para brindar un acabado estético y prolijo en las uniones de revestimientos interiores, siendo compatible con una amplia gama de colores de la línea Elite. Cada unidad cuenta con un espesor de 12 mm, un ancho de 42 mm y un largo de 2900 mm.</v>
      </c>
    </row>
    <row r="55" ht="15.75" customHeight="1">
      <c r="A55" s="55">
        <v>25324.0</v>
      </c>
      <c r="B55" s="5" t="s">
        <v>33</v>
      </c>
      <c r="C55" s="32" t="s">
        <v>815</v>
      </c>
      <c r="D55" s="32" t="s">
        <v>883</v>
      </c>
      <c r="E55" s="32" t="s">
        <v>887</v>
      </c>
      <c r="F55" s="32" t="s">
        <v>789</v>
      </c>
      <c r="G55" s="32" t="s">
        <v>888</v>
      </c>
      <c r="H55" s="32" t="s">
        <v>889</v>
      </c>
      <c r="I55" s="32" t="s">
        <v>527</v>
      </c>
      <c r="J55" s="32" t="s">
        <v>42</v>
      </c>
      <c r="K55" s="32" t="s">
        <v>527</v>
      </c>
      <c r="L55" s="32" t="s">
        <v>42</v>
      </c>
      <c r="M55" s="32">
        <v>2440.0</v>
      </c>
      <c r="N55" s="32" t="s">
        <v>42</v>
      </c>
      <c r="P55" s="32" t="s">
        <v>818</v>
      </c>
      <c r="Q55" s="32">
        <v>2.75</v>
      </c>
      <c r="R55" s="32" t="s">
        <v>792</v>
      </c>
      <c r="U55" s="35">
        <f t="shared" ref="U55:U56" si="12">Q55/2.44</f>
        <v>1.12704918</v>
      </c>
      <c r="V55" s="32" t="s">
        <v>792</v>
      </c>
      <c r="W55" s="43" t="str">
        <f t="shared" ref="W55:W56" si="13">CONCATENATE(A55,"-1.jpg")</f>
        <v>25324-1.jpg</v>
      </c>
      <c r="AB55" s="43" t="str">
        <f>IFERROR(__xludf.DUMMYFUNCTION("AI(""Completa un valor adecuado para esta celda en función del contexto de la tabla"")"),"Este perfil de unión de la marca Max Core, línea Perfil Union - Slimstone en color Plata, está fabricado en Metal. Es un accesorio de terminación diseñado para uso interior, ideal para lograr un acabado prolijo y estético en proyectos que utilizan revesti"&amp;"mientos Slimstone. Cada unidad cuenta con un largo de 2440 mm.")</f>
        <v>Este perfil de unión de la marca Max Core, línea Perfil Union - Slimstone en color Plata, está fabricado en Metal. Es un accesorio de terminación diseñado para uso interior, ideal para lograr un acabado prolijo y estético en proyectos que utilizan revestimientos Slimstone. Cada unidad cuenta con un largo de 2440 mm.</v>
      </c>
    </row>
    <row r="56" ht="15.75" customHeight="1">
      <c r="A56" s="55">
        <v>25412.0</v>
      </c>
      <c r="B56" s="5" t="s">
        <v>33</v>
      </c>
      <c r="C56" s="32" t="s">
        <v>815</v>
      </c>
      <c r="D56" s="32" t="s">
        <v>883</v>
      </c>
      <c r="E56" s="32" t="s">
        <v>887</v>
      </c>
      <c r="F56" s="32" t="s">
        <v>789</v>
      </c>
      <c r="G56" s="32" t="s">
        <v>890</v>
      </c>
      <c r="H56" s="32" t="s">
        <v>889</v>
      </c>
      <c r="I56" s="32" t="s">
        <v>527</v>
      </c>
      <c r="J56" s="32" t="s">
        <v>42</v>
      </c>
      <c r="K56" s="32" t="s">
        <v>527</v>
      </c>
      <c r="L56" s="32" t="s">
        <v>42</v>
      </c>
      <c r="M56" s="32">
        <v>2440.0</v>
      </c>
      <c r="N56" s="32" t="s">
        <v>42</v>
      </c>
      <c r="P56" s="48" t="s">
        <v>818</v>
      </c>
      <c r="Q56" s="57">
        <v>2.75</v>
      </c>
      <c r="R56" s="48" t="s">
        <v>792</v>
      </c>
      <c r="U56" s="35">
        <f t="shared" si="12"/>
        <v>1.12704918</v>
      </c>
      <c r="V56" s="32" t="s">
        <v>792</v>
      </c>
      <c r="W56" s="43" t="str">
        <f t="shared" si="13"/>
        <v>25412-1.jpg</v>
      </c>
      <c r="AB56" s="43" t="str">
        <f>IFERROR(__xludf.DUMMYFUNCTION("AI(""Completa un valor adecuado para esta celda en función del contexto de la tabla"")"),"Este perfil de inicio/fin para interior de la marca Max Core, línea Perfil Inicio/Fin - Slimstone en color Plata, está fabricado en Metal. Es un accesorio diseñado para brindar una excelente terminación y transición en la instalación de revestimientos Sli"&amp;"mstone. Cada unidad tiene un largo de 2440 mm.")</f>
        <v>Este perfil de inicio/fin para interior de la marca Max Core, línea Perfil Inicio/Fin - Slimstone en color Plata, está fabricado en Metal. Es un accesorio diseñado para brindar una excelente terminación y transición en la instalación de revestimientos Slimstone. Cada unidad tiene un largo de 2440 mm.</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sheetData>
  <autoFilter ref="$A$1:$AB$56"/>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57"/>
    <col customWidth="1" min="2" max="2" width="17.29"/>
    <col customWidth="1" min="3" max="3" width="22.0"/>
    <col customWidth="1" min="4" max="4" width="20.86"/>
    <col customWidth="1" min="5" max="5" width="13.86"/>
    <col customWidth="1" min="6" max="6" width="19.29"/>
    <col customWidth="1" min="7" max="8" width="15.43"/>
    <col customWidth="1" min="9" max="9" width="22.0"/>
    <col customWidth="1" min="10" max="10" width="19.86"/>
    <col customWidth="1" min="11" max="11" width="15.14"/>
    <col customWidth="1" min="12" max="12" width="16.57"/>
    <col customWidth="1" min="13" max="13" width="17.43"/>
    <col customWidth="1" min="14" max="14" width="17.86"/>
    <col customWidth="1" min="15" max="15" width="4.43"/>
    <col customWidth="1" min="16" max="16" width="21.57"/>
    <col customWidth="1" min="17" max="17" width="4.43"/>
    <col customWidth="1" min="18" max="19" width="17.71"/>
    <col customWidth="1" min="20" max="20" width="11.86"/>
    <col customWidth="1" min="21" max="21" width="10.71"/>
    <col customWidth="1" min="22" max="22" width="4.43"/>
    <col customWidth="1" min="23" max="23" width="10.71"/>
    <col customWidth="1" min="24" max="24" width="4.43"/>
    <col customWidth="1" min="25" max="25" width="10.71"/>
    <col customWidth="1" min="26" max="26" width="4.71"/>
    <col customWidth="1" min="27" max="27" width="10.71"/>
    <col customWidth="1" min="28" max="28" width="11.0"/>
    <col customWidth="1" min="29" max="29" width="8.29"/>
    <col customWidth="1" min="30" max="30" width="11.86"/>
    <col customWidth="1" min="31" max="31" width="14.43"/>
    <col customWidth="1" min="32" max="32" width="14.71"/>
    <col customWidth="1" min="33" max="33" width="16.43"/>
    <col customWidth="1" min="34" max="35" width="10.71"/>
    <col customWidth="1" min="36" max="36" width="17.57"/>
    <col customWidth="1" min="37" max="39" width="10.71"/>
    <col customWidth="1" min="40" max="40" width="439.29"/>
  </cols>
  <sheetData>
    <row r="1">
      <c r="A1" s="36" t="s">
        <v>0</v>
      </c>
      <c r="B1" s="37" t="s">
        <v>891</v>
      </c>
      <c r="C1" s="37" t="s">
        <v>1</v>
      </c>
      <c r="D1" s="37" t="s">
        <v>2</v>
      </c>
      <c r="E1" s="36" t="s">
        <v>3</v>
      </c>
      <c r="F1" s="37" t="s">
        <v>4</v>
      </c>
      <c r="G1" s="37" t="s">
        <v>777</v>
      </c>
      <c r="H1" s="36" t="s">
        <v>5</v>
      </c>
      <c r="I1" s="36" t="s">
        <v>6</v>
      </c>
      <c r="J1" s="36" t="s">
        <v>7</v>
      </c>
      <c r="K1" s="36" t="s">
        <v>8</v>
      </c>
      <c r="L1" s="36" t="s">
        <v>9</v>
      </c>
      <c r="M1" s="36" t="s">
        <v>10</v>
      </c>
      <c r="N1" s="37" t="s">
        <v>892</v>
      </c>
      <c r="O1" s="37" t="s">
        <v>893</v>
      </c>
      <c r="P1" s="37" t="s">
        <v>894</v>
      </c>
      <c r="Q1" s="37" t="s">
        <v>893</v>
      </c>
      <c r="R1" s="36" t="s">
        <v>895</v>
      </c>
      <c r="S1" s="36" t="s">
        <v>14</v>
      </c>
      <c r="T1" s="37" t="s">
        <v>19</v>
      </c>
      <c r="U1" s="36" t="s">
        <v>16</v>
      </c>
      <c r="V1" s="37" t="s">
        <v>893</v>
      </c>
      <c r="W1" s="37" t="s">
        <v>17</v>
      </c>
      <c r="X1" s="37" t="s">
        <v>893</v>
      </c>
      <c r="Y1" s="36" t="s">
        <v>18</v>
      </c>
      <c r="Z1" s="37" t="s">
        <v>12</v>
      </c>
      <c r="AA1" s="36" t="s">
        <v>15</v>
      </c>
      <c r="AB1" s="37" t="s">
        <v>20</v>
      </c>
      <c r="AC1" s="37" t="s">
        <v>21</v>
      </c>
      <c r="AD1" s="36" t="s">
        <v>22</v>
      </c>
      <c r="AE1" s="37" t="s">
        <v>896</v>
      </c>
      <c r="AF1" s="37" t="s">
        <v>897</v>
      </c>
      <c r="AG1" s="37" t="s">
        <v>898</v>
      </c>
      <c r="AH1" s="38" t="s">
        <v>26</v>
      </c>
      <c r="AI1" s="38" t="s">
        <v>27</v>
      </c>
      <c r="AJ1" s="38" t="s">
        <v>28</v>
      </c>
      <c r="AK1" s="38" t="s">
        <v>29</v>
      </c>
      <c r="AL1" s="38" t="s">
        <v>30</v>
      </c>
      <c r="AM1" s="38" t="s">
        <v>31</v>
      </c>
      <c r="AN1" s="38" t="s">
        <v>32</v>
      </c>
    </row>
    <row r="2" ht="16.5" customHeight="1">
      <c r="A2" s="58">
        <v>25063.0</v>
      </c>
      <c r="B2" s="40">
        <v>2.0</v>
      </c>
      <c r="C2" s="32" t="s">
        <v>33</v>
      </c>
      <c r="D2" s="32" t="s">
        <v>34</v>
      </c>
      <c r="E2" s="43" t="s">
        <v>899</v>
      </c>
      <c r="F2" s="40" t="s">
        <v>900</v>
      </c>
      <c r="G2" s="40" t="s">
        <v>901</v>
      </c>
      <c r="H2" s="40" t="s">
        <v>50</v>
      </c>
      <c r="I2" s="40" t="s">
        <v>902</v>
      </c>
      <c r="J2" s="59">
        <v>77830.0</v>
      </c>
      <c r="K2" s="5" t="s">
        <v>903</v>
      </c>
      <c r="L2" s="40" t="s">
        <v>60</v>
      </c>
      <c r="M2" s="40" t="s">
        <v>169</v>
      </c>
      <c r="N2" s="40">
        <v>5.0</v>
      </c>
      <c r="O2" s="40" t="s">
        <v>42</v>
      </c>
      <c r="P2" s="40" t="s">
        <v>904</v>
      </c>
      <c r="Q2" s="32" t="s">
        <v>42</v>
      </c>
      <c r="R2" s="40" t="s">
        <v>905</v>
      </c>
      <c r="S2" s="40" t="s">
        <v>45</v>
      </c>
      <c r="T2" s="40">
        <v>10.0</v>
      </c>
      <c r="U2" s="40">
        <v>230.0</v>
      </c>
      <c r="V2" s="40" t="s">
        <v>42</v>
      </c>
      <c r="W2" s="40">
        <v>1540.0</v>
      </c>
      <c r="X2" s="40" t="s">
        <v>42</v>
      </c>
      <c r="Y2" s="32">
        <v>3.54</v>
      </c>
      <c r="Z2" s="32" t="s">
        <v>46</v>
      </c>
      <c r="AA2" s="40" t="s">
        <v>44</v>
      </c>
      <c r="AB2" s="32">
        <v>14.8</v>
      </c>
      <c r="AC2" s="60" t="s">
        <v>61</v>
      </c>
      <c r="AD2" s="35">
        <f t="shared" ref="AD2:AD187" si="1">AB2*Y2</f>
        <v>52.392</v>
      </c>
      <c r="AE2" s="32">
        <v>44.0</v>
      </c>
      <c r="AF2" s="32">
        <v>30.0</v>
      </c>
      <c r="AG2" s="43">
        <f t="shared" ref="AG2:AG52" si="2">AF2*AE2</f>
        <v>1320</v>
      </c>
      <c r="AH2" s="32">
        <v>1182.36</v>
      </c>
      <c r="AN2" s="61" t="str">
        <f>IFERROR(__xludf.DUMMYFUNCTION("AI(""Hacer un resumen en 3 lineas de las caracteristicas de este piso"")"),"Este piso vinílico tipo SPC cuenta con un espesor total de 5 mm y una capa de uso de 0,3 mm, ideal para uso residencial.
Presenta un sistema de colocación Click que facilita su instalación, además de incluir un manto incorporado para mayor confort.
Fabric"&amp;"ado en China bajo la línea de oferta, cada caja rinde 3,54 m2 y contiene 10 tablas de 230 mm por 1540 mm.")</f>
        <v>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cada caja rinde 3,54 m2 y contiene 10 tablas de 230 mm por 1540 mm.</v>
      </c>
    </row>
    <row r="3" ht="13.5" customHeight="1">
      <c r="A3" s="58">
        <v>25064.0</v>
      </c>
      <c r="B3" s="40">
        <v>2.0</v>
      </c>
      <c r="C3" s="32" t="s">
        <v>33</v>
      </c>
      <c r="D3" s="32" t="s">
        <v>34</v>
      </c>
      <c r="E3" s="43" t="s">
        <v>899</v>
      </c>
      <c r="F3" s="40" t="s">
        <v>900</v>
      </c>
      <c r="G3" s="40" t="s">
        <v>901</v>
      </c>
      <c r="H3" s="40" t="s">
        <v>50</v>
      </c>
      <c r="I3" s="40" t="s">
        <v>906</v>
      </c>
      <c r="J3" s="40" t="s">
        <v>906</v>
      </c>
      <c r="K3" s="5" t="s">
        <v>903</v>
      </c>
      <c r="L3" s="40" t="s">
        <v>60</v>
      </c>
      <c r="M3" s="40" t="s">
        <v>169</v>
      </c>
      <c r="N3" s="40">
        <v>5.0</v>
      </c>
      <c r="O3" s="40" t="s">
        <v>42</v>
      </c>
      <c r="P3" s="40" t="s">
        <v>904</v>
      </c>
      <c r="Q3" s="32" t="s">
        <v>42</v>
      </c>
      <c r="R3" s="40" t="s">
        <v>905</v>
      </c>
      <c r="S3" s="40" t="s">
        <v>45</v>
      </c>
      <c r="T3" s="40">
        <v>10.0</v>
      </c>
      <c r="U3" s="40">
        <v>230.0</v>
      </c>
      <c r="V3" s="40" t="s">
        <v>42</v>
      </c>
      <c r="W3" s="40">
        <v>1540.0</v>
      </c>
      <c r="X3" s="40" t="s">
        <v>42</v>
      </c>
      <c r="Y3" s="32">
        <v>3.54</v>
      </c>
      <c r="Z3" s="32" t="s">
        <v>46</v>
      </c>
      <c r="AA3" s="40" t="s">
        <v>44</v>
      </c>
      <c r="AB3" s="32">
        <v>14.8</v>
      </c>
      <c r="AC3" s="60" t="s">
        <v>61</v>
      </c>
      <c r="AD3" s="35">
        <f t="shared" si="1"/>
        <v>52.392</v>
      </c>
      <c r="AE3" s="32">
        <v>44.0</v>
      </c>
      <c r="AF3" s="32">
        <v>30.0</v>
      </c>
      <c r="AG3" s="43">
        <f t="shared" si="2"/>
        <v>1320</v>
      </c>
      <c r="AH3" s="32">
        <v>1316.88</v>
      </c>
      <c r="AN3" s="61" t="str">
        <f>IFERROR(__xludf.DUMMYFUNCTION("AI(""Hacer un resumen en 3 lineas de las caracteristicas de este piso"")"),"Este piso vinílico tipo SPC cuenta con un espesor total de 5 mm y una capa de uso de 0,3 mm, ideal para uso residencial.
Presenta un sistema de colocación Click que facilita su instalación, además de incluir un manto incorporado para mayor confort.
Fabric"&amp;"ado en China bajo la línea de oferta, cada caja rinde 3,54 m2 y contiene 10 tablas de 230 mm por 1540 mm.")</f>
        <v>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cada caja rinde 3,54 m2 y contiene 10 tablas de 230 mm por 1540 mm.</v>
      </c>
    </row>
    <row r="4">
      <c r="A4" s="58">
        <v>25358.0</v>
      </c>
      <c r="B4" s="40">
        <v>2.0</v>
      </c>
      <c r="C4" s="32" t="s">
        <v>33</v>
      </c>
      <c r="D4" s="32" t="s">
        <v>34</v>
      </c>
      <c r="E4" s="43" t="s">
        <v>899</v>
      </c>
      <c r="F4" s="40" t="s">
        <v>900</v>
      </c>
      <c r="G4" s="40" t="s">
        <v>901</v>
      </c>
      <c r="H4" s="40" t="s">
        <v>50</v>
      </c>
      <c r="I4" s="40" t="s">
        <v>907</v>
      </c>
      <c r="J4" s="40" t="s">
        <v>907</v>
      </c>
      <c r="K4" s="5" t="s">
        <v>903</v>
      </c>
      <c r="L4" s="40" t="s">
        <v>60</v>
      </c>
      <c r="M4" s="40" t="s">
        <v>54</v>
      </c>
      <c r="N4" s="40">
        <v>5.0</v>
      </c>
      <c r="O4" s="40" t="s">
        <v>42</v>
      </c>
      <c r="P4" s="40" t="s">
        <v>904</v>
      </c>
      <c r="Q4" s="32" t="s">
        <v>42</v>
      </c>
      <c r="R4" s="40" t="s">
        <v>908</v>
      </c>
      <c r="S4" s="40" t="s">
        <v>45</v>
      </c>
      <c r="T4" s="40">
        <v>10.0</v>
      </c>
      <c r="U4" s="40">
        <v>180.0</v>
      </c>
      <c r="V4" s="40" t="s">
        <v>42</v>
      </c>
      <c r="W4" s="40">
        <v>1220.0</v>
      </c>
      <c r="X4" s="40" t="s">
        <v>42</v>
      </c>
      <c r="Y4" s="32">
        <v>2.19</v>
      </c>
      <c r="Z4" s="32" t="s">
        <v>46</v>
      </c>
      <c r="AA4" s="40" t="s">
        <v>45</v>
      </c>
      <c r="AB4" s="32">
        <v>15.8</v>
      </c>
      <c r="AC4" s="60" t="s">
        <v>61</v>
      </c>
      <c r="AD4" s="35">
        <f t="shared" si="1"/>
        <v>34.602</v>
      </c>
      <c r="AE4" s="32">
        <v>55.0</v>
      </c>
      <c r="AF4" s="32">
        <v>22.0</v>
      </c>
      <c r="AG4" s="43">
        <f t="shared" si="2"/>
        <v>1210</v>
      </c>
      <c r="AH4" s="32">
        <v>2982.78</v>
      </c>
      <c r="AN4" s="61"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de oferta, cada caja rinde 2,19 m2 y contiene 10 tablas de 180 mm por 1220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de oferta, cada caja rinde 2,19 m2 y contiene 10 tablas de 180 mm por 1220 mm.</v>
      </c>
    </row>
    <row r="5">
      <c r="A5" s="58">
        <v>25274.0</v>
      </c>
      <c r="B5" s="40">
        <v>2.0</v>
      </c>
      <c r="C5" s="32" t="s">
        <v>33</v>
      </c>
      <c r="D5" s="32" t="s">
        <v>34</v>
      </c>
      <c r="E5" s="43" t="s">
        <v>899</v>
      </c>
      <c r="F5" s="40" t="s">
        <v>900</v>
      </c>
      <c r="G5" s="40" t="s">
        <v>901</v>
      </c>
      <c r="H5" s="40" t="s">
        <v>50</v>
      </c>
      <c r="I5" s="40" t="s">
        <v>909</v>
      </c>
      <c r="J5" s="40">
        <v>5001.0</v>
      </c>
      <c r="K5" s="5" t="s">
        <v>903</v>
      </c>
      <c r="L5" s="40" t="s">
        <v>60</v>
      </c>
      <c r="M5" s="40" t="s">
        <v>54</v>
      </c>
      <c r="N5" s="40">
        <v>5.0</v>
      </c>
      <c r="O5" s="40" t="s">
        <v>42</v>
      </c>
      <c r="P5" s="40" t="s">
        <v>904</v>
      </c>
      <c r="Q5" s="32" t="s">
        <v>42</v>
      </c>
      <c r="R5" s="40" t="s">
        <v>908</v>
      </c>
      <c r="S5" s="40" t="s">
        <v>45</v>
      </c>
      <c r="T5" s="40">
        <v>12.0</v>
      </c>
      <c r="U5" s="40">
        <v>182.0</v>
      </c>
      <c r="V5" s="40" t="s">
        <v>42</v>
      </c>
      <c r="W5" s="40">
        <v>1220.0</v>
      </c>
      <c r="X5" s="40" t="s">
        <v>42</v>
      </c>
      <c r="Y5" s="32">
        <v>2.66</v>
      </c>
      <c r="Z5" s="32" t="s">
        <v>46</v>
      </c>
      <c r="AA5" s="40" t="s">
        <v>45</v>
      </c>
      <c r="AB5" s="32">
        <v>15.8</v>
      </c>
      <c r="AC5" s="60" t="s">
        <v>61</v>
      </c>
      <c r="AD5" s="35">
        <f t="shared" si="1"/>
        <v>42.028</v>
      </c>
      <c r="AE5" s="32">
        <v>60.0</v>
      </c>
      <c r="AF5" s="32">
        <v>22.0</v>
      </c>
      <c r="AG5" s="43">
        <f t="shared" si="2"/>
        <v>1320</v>
      </c>
      <c r="AH5" s="32">
        <v>449.53</v>
      </c>
      <c r="AN5" s="61"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de oferta, cada caja rinde 2,66 m2 y contiene 12 tablas de 182 mm por 1220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de oferta, cada caja rinde 2,66 m2 y contiene 12 tablas de 182 mm por 1220 mm.</v>
      </c>
    </row>
    <row r="6">
      <c r="A6" s="58">
        <v>25273.0</v>
      </c>
      <c r="B6" s="40">
        <v>2.0</v>
      </c>
      <c r="C6" s="32" t="s">
        <v>33</v>
      </c>
      <c r="D6" s="32" t="s">
        <v>34</v>
      </c>
      <c r="E6" s="43" t="s">
        <v>899</v>
      </c>
      <c r="F6" s="40" t="s">
        <v>900</v>
      </c>
      <c r="G6" s="40" t="s">
        <v>901</v>
      </c>
      <c r="H6" s="40" t="s">
        <v>50</v>
      </c>
      <c r="I6" s="40" t="s">
        <v>910</v>
      </c>
      <c r="J6" s="40">
        <v>5002.0</v>
      </c>
      <c r="K6" s="5" t="s">
        <v>903</v>
      </c>
      <c r="L6" s="40" t="s">
        <v>60</v>
      </c>
      <c r="M6" s="40" t="s">
        <v>54</v>
      </c>
      <c r="N6" s="40">
        <v>5.0</v>
      </c>
      <c r="O6" s="40" t="s">
        <v>42</v>
      </c>
      <c r="P6" s="40" t="s">
        <v>904</v>
      </c>
      <c r="Q6" s="32" t="s">
        <v>42</v>
      </c>
      <c r="R6" s="40" t="s">
        <v>908</v>
      </c>
      <c r="S6" s="40" t="s">
        <v>45</v>
      </c>
      <c r="T6" s="40">
        <v>12.0</v>
      </c>
      <c r="U6" s="40">
        <v>182.0</v>
      </c>
      <c r="V6" s="40" t="s">
        <v>42</v>
      </c>
      <c r="W6" s="40">
        <v>1220.0</v>
      </c>
      <c r="X6" s="40" t="s">
        <v>42</v>
      </c>
      <c r="Y6" s="32">
        <v>2.66</v>
      </c>
      <c r="Z6" s="32" t="s">
        <v>46</v>
      </c>
      <c r="AA6" s="40" t="s">
        <v>45</v>
      </c>
      <c r="AB6" s="32">
        <v>15.8</v>
      </c>
      <c r="AC6" s="60" t="s">
        <v>61</v>
      </c>
      <c r="AD6" s="35">
        <f t="shared" si="1"/>
        <v>42.028</v>
      </c>
      <c r="AE6" s="32">
        <v>60.0</v>
      </c>
      <c r="AF6" s="32">
        <v>22.0</v>
      </c>
      <c r="AG6" s="43">
        <f t="shared" si="2"/>
        <v>1320</v>
      </c>
      <c r="AH6" s="32">
        <v>90.44</v>
      </c>
      <c r="AN6" s="61"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de oferta, cada caja rinde 2,66 m2 y contiene 12 tablas de 182 mm por 1220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de oferta, cada caja rinde 2,66 m2 y contiene 12 tablas de 182 mm por 1220 mm.</v>
      </c>
    </row>
    <row r="7">
      <c r="A7" s="58">
        <v>25314.0</v>
      </c>
      <c r="B7" s="40">
        <v>2.0</v>
      </c>
      <c r="C7" s="32" t="s">
        <v>33</v>
      </c>
      <c r="D7" s="32" t="s">
        <v>34</v>
      </c>
      <c r="E7" s="32" t="s">
        <v>899</v>
      </c>
      <c r="F7" s="40" t="s">
        <v>900</v>
      </c>
      <c r="G7" s="40" t="s">
        <v>901</v>
      </c>
      <c r="H7" s="40" t="s">
        <v>50</v>
      </c>
      <c r="I7" s="40" t="s">
        <v>911</v>
      </c>
      <c r="J7" s="40" t="s">
        <v>911</v>
      </c>
      <c r="K7" s="5" t="s">
        <v>903</v>
      </c>
      <c r="L7" s="40" t="s">
        <v>60</v>
      </c>
      <c r="M7" s="40" t="s">
        <v>54</v>
      </c>
      <c r="N7" s="40">
        <v>6.0</v>
      </c>
      <c r="O7" s="40" t="s">
        <v>42</v>
      </c>
      <c r="P7" s="40" t="s">
        <v>912</v>
      </c>
      <c r="Q7" s="32" t="s">
        <v>42</v>
      </c>
      <c r="R7" s="40" t="s">
        <v>913</v>
      </c>
      <c r="S7" s="40" t="s">
        <v>45</v>
      </c>
      <c r="T7" s="40">
        <v>6.0</v>
      </c>
      <c r="U7" s="40">
        <v>228.0</v>
      </c>
      <c r="V7" s="40" t="s">
        <v>42</v>
      </c>
      <c r="W7" s="40">
        <v>1524.0</v>
      </c>
      <c r="X7" s="40" t="s">
        <v>42</v>
      </c>
      <c r="Y7" s="32">
        <v>2.09</v>
      </c>
      <c r="Z7" s="32" t="s">
        <v>46</v>
      </c>
      <c r="AA7" s="8"/>
      <c r="AB7" s="32">
        <v>16.0</v>
      </c>
      <c r="AC7" s="60" t="s">
        <v>61</v>
      </c>
      <c r="AD7" s="43">
        <f t="shared" si="1"/>
        <v>33.44</v>
      </c>
      <c r="AE7" s="62"/>
      <c r="AF7" s="32">
        <v>22.0</v>
      </c>
      <c r="AG7" s="43">
        <f t="shared" si="2"/>
        <v>0</v>
      </c>
      <c r="AN7" s="61" t="str">
        <f>IFERROR(__xludf.DUMMYFUNCTION("AI(""Completa un valor adecuado para esta celda en función del contexto de la tabla"")"),"Este piso vinílico tipo SPC cuenta con un espesor total de 6 mm y una capa de uso de 0,55 mm, ideal para uso comercial. Presenta un sistema de colocación Click que facilita su instalación, además de incluir un manto incorporado para mayor confort. Fabrica"&amp;"do en China bajo la línea de oferta, cada caja rinde 2,09 m2 y contiene 6 tablas de 228 mm por 1524 mm.")</f>
        <v>Este piso vinílico tipo SPC cuenta con un espesor total de 6 mm y una capa de uso de 0,55 mm, ideal para uso comercial. Presenta un sistema de colocación Click que facilita su instalación, además de incluir un manto incorporado para mayor confort. Fabricado en China bajo la línea de oferta, cada caja rinde 2,09 m2 y contiene 6 tablas de 228 mm por 1524 mm.</v>
      </c>
    </row>
    <row r="8">
      <c r="A8" s="58">
        <v>25315.0</v>
      </c>
      <c r="B8" s="40">
        <v>1.0</v>
      </c>
      <c r="C8" s="32" t="s">
        <v>33</v>
      </c>
      <c r="D8" s="32" t="s">
        <v>34</v>
      </c>
      <c r="E8" s="32" t="s">
        <v>899</v>
      </c>
      <c r="F8" s="40" t="s">
        <v>900</v>
      </c>
      <c r="G8" s="40" t="s">
        <v>901</v>
      </c>
      <c r="H8" s="40" t="s">
        <v>50</v>
      </c>
      <c r="I8" s="40" t="s">
        <v>914</v>
      </c>
      <c r="J8" s="40" t="s">
        <v>914</v>
      </c>
      <c r="K8" s="5" t="s">
        <v>903</v>
      </c>
      <c r="L8" s="40" t="s">
        <v>60</v>
      </c>
      <c r="M8" s="40" t="s">
        <v>54</v>
      </c>
      <c r="N8" s="40">
        <v>5.5</v>
      </c>
      <c r="O8" s="40" t="s">
        <v>42</v>
      </c>
      <c r="P8" s="40" t="s">
        <v>915</v>
      </c>
      <c r="Q8" s="32" t="s">
        <v>42</v>
      </c>
      <c r="R8" s="40" t="s">
        <v>908</v>
      </c>
      <c r="S8" s="40" t="s">
        <v>45</v>
      </c>
      <c r="T8" s="40">
        <v>10.0</v>
      </c>
      <c r="U8" s="40">
        <v>180.0</v>
      </c>
      <c r="V8" s="40" t="s">
        <v>42</v>
      </c>
      <c r="W8" s="40">
        <v>1524.0</v>
      </c>
      <c r="X8" s="40" t="s">
        <v>42</v>
      </c>
      <c r="Y8" s="32">
        <v>2.74</v>
      </c>
      <c r="Z8" s="32" t="s">
        <v>46</v>
      </c>
      <c r="AA8" s="8"/>
      <c r="AB8" s="32">
        <v>16.0</v>
      </c>
      <c r="AC8" s="60" t="s">
        <v>61</v>
      </c>
      <c r="AD8" s="43">
        <f t="shared" si="1"/>
        <v>43.84</v>
      </c>
      <c r="AE8" s="62"/>
      <c r="AF8" s="32">
        <v>22.0</v>
      </c>
      <c r="AG8" s="43">
        <f t="shared" si="2"/>
        <v>0</v>
      </c>
      <c r="AN8" s="61" t="str">
        <f>IFERROR(__xludf.DUMMYFUNCTION("AI(""Completa un valor adecuado para esta celda en función del contexto de la tabla"")"),"Este piso vinílico tipo SPC cuenta con un espesor total de 5,5 mm (4 mm de núcleo + 1,5 mm de manto) y una capa de uso de 0,5 mm, lo que lo hace apto para un uso comercial de alto tránsito. Presenta un sistema de colocación Click que facilita su instalaci"&amp;"ón y cuenta con un manto incorporado para mayor confort acústico. Fabricado en China bajo la línea de oferta, cada caja rinde 2,74 m2 y contiene 10 tablas de 180 mm por 1524 mm.")</f>
        <v>Este piso vinílico tipo SPC cuenta con un espesor total de 5,5 mm (4 mm de núcleo + 1,5 mm de manto) y una capa de uso de 0,5 mm, lo que lo hace apto para un uso comercial de alto tránsito. Presenta un sistema de colocación Click que facilita su instalación y cuenta con un manto incorporado para mayor confort acústico. Fabricado en China bajo la línea de oferta, cada caja rinde 2,74 m2 y contiene 10 tablas de 180 mm por 1524 mm.</v>
      </c>
    </row>
    <row r="9">
      <c r="A9" s="58">
        <v>25316.0</v>
      </c>
      <c r="B9" s="40">
        <v>2.0</v>
      </c>
      <c r="C9" s="32" t="s">
        <v>33</v>
      </c>
      <c r="D9" s="32" t="s">
        <v>34</v>
      </c>
      <c r="E9" s="32" t="s">
        <v>899</v>
      </c>
      <c r="F9" s="40" t="s">
        <v>900</v>
      </c>
      <c r="G9" s="40" t="s">
        <v>901</v>
      </c>
      <c r="H9" s="40" t="s">
        <v>50</v>
      </c>
      <c r="I9" s="59" t="s">
        <v>916</v>
      </c>
      <c r="J9" s="59" t="s">
        <v>916</v>
      </c>
      <c r="K9" s="5" t="s">
        <v>903</v>
      </c>
      <c r="L9" s="40" t="s">
        <v>60</v>
      </c>
      <c r="M9" s="40" t="s">
        <v>54</v>
      </c>
      <c r="N9" s="40">
        <v>5.0</v>
      </c>
      <c r="O9" s="40" t="s">
        <v>42</v>
      </c>
      <c r="P9" s="40" t="s">
        <v>904</v>
      </c>
      <c r="Q9" s="32" t="s">
        <v>42</v>
      </c>
      <c r="R9" s="40" t="s">
        <v>908</v>
      </c>
      <c r="S9" s="40" t="s">
        <v>45</v>
      </c>
      <c r="T9" s="40">
        <v>6.0</v>
      </c>
      <c r="U9" s="40">
        <v>228.0</v>
      </c>
      <c r="V9" s="40" t="s">
        <v>42</v>
      </c>
      <c r="W9" s="40">
        <v>1524.0</v>
      </c>
      <c r="X9" s="40" t="s">
        <v>42</v>
      </c>
      <c r="Y9" s="32">
        <v>2.0</v>
      </c>
      <c r="Z9" s="32" t="s">
        <v>46</v>
      </c>
      <c r="AA9" s="8"/>
      <c r="AB9" s="32">
        <v>15.0</v>
      </c>
      <c r="AC9" s="60" t="s">
        <v>61</v>
      </c>
      <c r="AD9" s="43">
        <f t="shared" si="1"/>
        <v>30</v>
      </c>
      <c r="AE9" s="62"/>
      <c r="AF9" s="32">
        <v>22.0</v>
      </c>
      <c r="AG9" s="43">
        <f t="shared" si="2"/>
        <v>0</v>
      </c>
      <c r="AN9" s="61"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de oferta, cada caja rinde 2 m2 y contiene 6 tablas de 228 mm por 1524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de oferta, cada caja rinde 2 m2 y contiene 6 tablas de 228 mm por 1524 mm.</v>
      </c>
    </row>
    <row r="10">
      <c r="A10" s="58">
        <v>25317.0</v>
      </c>
      <c r="B10" s="40">
        <v>1.0</v>
      </c>
      <c r="C10" s="32" t="s">
        <v>33</v>
      </c>
      <c r="D10" s="32" t="s">
        <v>34</v>
      </c>
      <c r="E10" s="32" t="s">
        <v>899</v>
      </c>
      <c r="F10" s="40" t="s">
        <v>900</v>
      </c>
      <c r="G10" s="40" t="s">
        <v>901</v>
      </c>
      <c r="H10" s="40" t="s">
        <v>50</v>
      </c>
      <c r="I10" s="40" t="s">
        <v>917</v>
      </c>
      <c r="J10" s="40" t="s">
        <v>917</v>
      </c>
      <c r="K10" s="5" t="s">
        <v>903</v>
      </c>
      <c r="L10" s="40" t="s">
        <v>60</v>
      </c>
      <c r="M10" s="40" t="s">
        <v>54</v>
      </c>
      <c r="N10" s="40">
        <v>5.0</v>
      </c>
      <c r="O10" s="40" t="s">
        <v>42</v>
      </c>
      <c r="P10" s="40">
        <v>5.0</v>
      </c>
      <c r="Q10" s="32" t="s">
        <v>42</v>
      </c>
      <c r="R10" s="40" t="s">
        <v>908</v>
      </c>
      <c r="S10" s="40" t="s">
        <v>44</v>
      </c>
      <c r="T10" s="40">
        <v>8.0</v>
      </c>
      <c r="U10" s="40">
        <v>230.0</v>
      </c>
      <c r="V10" s="40" t="s">
        <v>42</v>
      </c>
      <c r="W10" s="40">
        <v>1540.0</v>
      </c>
      <c r="X10" s="40" t="s">
        <v>42</v>
      </c>
      <c r="Y10" s="32">
        <v>2.84</v>
      </c>
      <c r="Z10" s="32" t="s">
        <v>46</v>
      </c>
      <c r="AA10" s="8"/>
      <c r="AB10" s="32">
        <v>15.0</v>
      </c>
      <c r="AC10" s="60" t="s">
        <v>61</v>
      </c>
      <c r="AD10" s="43">
        <f t="shared" si="1"/>
        <v>42.6</v>
      </c>
      <c r="AE10" s="62"/>
      <c r="AF10" s="32">
        <v>22.0</v>
      </c>
      <c r="AG10" s="43">
        <f t="shared" si="2"/>
        <v>0</v>
      </c>
      <c r="AN10" s="61"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y no incluye manto incorporado. Fabricado en China bajo la línea de "&amp;"oferta, cada caja rinde 2,84 m2 y contiene 8 tablas de 230 mm por 1540 mm.")</f>
        <v>Este piso vinílico tipo SPC cuenta con un espesor total de 5 mm y una capa de uso de 0,5 mm, ideal para uso comercial. Presenta un sistema de colocación Click que facilita su instalación y no incluye manto incorporado. Fabricado en China bajo la línea de oferta, cada caja rinde 2,84 m2 y contiene 8 tablas de 230 mm por 1540 mm.</v>
      </c>
    </row>
    <row r="11">
      <c r="A11" s="58">
        <v>25318.0</v>
      </c>
      <c r="B11" s="40">
        <v>1.0</v>
      </c>
      <c r="C11" s="32" t="s">
        <v>33</v>
      </c>
      <c r="D11" s="32" t="s">
        <v>34</v>
      </c>
      <c r="E11" s="32" t="s">
        <v>899</v>
      </c>
      <c r="F11" s="40" t="s">
        <v>900</v>
      </c>
      <c r="G11" s="40" t="s">
        <v>901</v>
      </c>
      <c r="H11" s="40" t="s">
        <v>50</v>
      </c>
      <c r="I11" s="40" t="s">
        <v>918</v>
      </c>
      <c r="J11" s="40" t="s">
        <v>918</v>
      </c>
      <c r="K11" s="5" t="s">
        <v>903</v>
      </c>
      <c r="L11" s="40" t="s">
        <v>60</v>
      </c>
      <c r="M11" s="40" t="s">
        <v>54</v>
      </c>
      <c r="N11" s="40">
        <v>7.0</v>
      </c>
      <c r="O11" s="40" t="s">
        <v>42</v>
      </c>
      <c r="P11" s="40">
        <v>7.0</v>
      </c>
      <c r="Q11" s="32" t="s">
        <v>42</v>
      </c>
      <c r="R11" s="40" t="s">
        <v>908</v>
      </c>
      <c r="S11" s="40" t="s">
        <v>44</v>
      </c>
      <c r="T11" s="40">
        <v>6.0</v>
      </c>
      <c r="U11" s="40">
        <v>228.0</v>
      </c>
      <c r="V11" s="40" t="s">
        <v>42</v>
      </c>
      <c r="W11" s="40">
        <v>1524.0</v>
      </c>
      <c r="X11" s="40" t="s">
        <v>42</v>
      </c>
      <c r="Y11" s="32">
        <v>2.08</v>
      </c>
      <c r="Z11" s="32" t="s">
        <v>46</v>
      </c>
      <c r="AA11" s="8"/>
      <c r="AB11" s="32">
        <v>18.0</v>
      </c>
      <c r="AC11" s="60" t="s">
        <v>61</v>
      </c>
      <c r="AD11" s="43">
        <f t="shared" si="1"/>
        <v>37.44</v>
      </c>
      <c r="AE11" s="62"/>
      <c r="AF11" s="32">
        <v>22.0</v>
      </c>
      <c r="AG11" s="43">
        <f t="shared" si="2"/>
        <v>0</v>
      </c>
      <c r="AN11" s="61" t="str">
        <f>IFERROR(__xludf.DUMMYFUNCTION("AI(""Completa un valor adecuado para esta celda en función del contexto de la tabla"")"),"Este piso vinílico tipo SPC tiene un espesor total de 7 mm y una capa de uso de 0,5 mm, diseñado para uso comercial de alto tránsito. Su sistema de colocación Click permite una instalación rápida y sin adhesivos, aunque no incluye manto incorporado. Fabri"&amp;"cado en China bajo la línea de oferta, cada caja rinde 2,08 m2 y contiene 6 tablas de 228 mm por 1524 mm.")</f>
        <v>Este piso vinílico tipo SPC tiene un espesor total de 7 mm y una capa de uso de 0,5 mm, diseñado para uso comercial de alto tránsito. Su sistema de colocación Click permite una instalación rápida y sin adhesivos, aunque no incluye manto incorporado. Fabricado en China bajo la línea de oferta, cada caja rinde 2,08 m2 y contiene 6 tablas de 228 mm por 1524 mm.</v>
      </c>
    </row>
    <row r="12">
      <c r="A12" s="58">
        <v>25319.0</v>
      </c>
      <c r="B12" s="40">
        <v>1.0</v>
      </c>
      <c r="C12" s="32" t="s">
        <v>33</v>
      </c>
      <c r="D12" s="32" t="s">
        <v>34</v>
      </c>
      <c r="E12" s="32" t="s">
        <v>899</v>
      </c>
      <c r="F12" s="40" t="s">
        <v>900</v>
      </c>
      <c r="G12" s="40" t="s">
        <v>901</v>
      </c>
      <c r="H12" s="40" t="s">
        <v>50</v>
      </c>
      <c r="I12" s="40">
        <v>8060.0</v>
      </c>
      <c r="J12" s="40">
        <v>8060.0</v>
      </c>
      <c r="K12" s="5" t="s">
        <v>903</v>
      </c>
      <c r="L12" s="40" t="s">
        <v>60</v>
      </c>
      <c r="M12" s="40" t="s">
        <v>54</v>
      </c>
      <c r="N12" s="40">
        <v>5.2</v>
      </c>
      <c r="O12" s="40" t="s">
        <v>42</v>
      </c>
      <c r="P12" s="40" t="s">
        <v>919</v>
      </c>
      <c r="Q12" s="32" t="s">
        <v>42</v>
      </c>
      <c r="R12" s="40" t="s">
        <v>913</v>
      </c>
      <c r="S12" s="40" t="s">
        <v>45</v>
      </c>
      <c r="T12" s="40">
        <v>6.0</v>
      </c>
      <c r="U12" s="40">
        <v>225.0</v>
      </c>
      <c r="V12" s="40" t="s">
        <v>42</v>
      </c>
      <c r="W12" s="40">
        <v>1522.0</v>
      </c>
      <c r="X12" s="40" t="s">
        <v>42</v>
      </c>
      <c r="Y12" s="32">
        <v>2.05</v>
      </c>
      <c r="Z12" s="32" t="s">
        <v>46</v>
      </c>
      <c r="AA12" s="8"/>
      <c r="AB12" s="32">
        <v>15.0</v>
      </c>
      <c r="AC12" s="60" t="s">
        <v>61</v>
      </c>
      <c r="AD12" s="43">
        <f t="shared" si="1"/>
        <v>30.75</v>
      </c>
      <c r="AE12" s="62"/>
      <c r="AF12" s="32">
        <v>22.0</v>
      </c>
      <c r="AG12" s="43">
        <f t="shared" si="2"/>
        <v>0</v>
      </c>
      <c r="AN12" s="61" t="str">
        <f>IFERROR(__xludf.DUMMYFUNCTION("AI(""Completa un valor adecuado para esta celda en función del contexto de la tabla"")"),"Este piso vinílico tipo SPC cuenta con un espesor total de 5,2 mm y una capa de uso de 0,55 mm, ideal para uso comercial. Presenta un sistema de colocación Click que facilita su instalación, además de incluir un manto incorporado para mayor confort. Fabri"&amp;"cado en China bajo la línea de oferta, cada caja rinde 2,05 m2 y contiene 6 tablas de 225 mm por 1522 mm.")</f>
        <v>Este piso vinílico tipo SPC cuenta con un espesor total de 5,2 mm y una capa de uso de 0,55 mm, ideal para uso comercial. Presenta un sistema de colocación Click que facilita su instalación, además de incluir un manto incorporado para mayor confort. Fabricado en China bajo la línea de oferta, cada caja rinde 2,05 m2 y contiene 6 tablas de 225 mm por 1522 mm.</v>
      </c>
    </row>
    <row r="13">
      <c r="A13" s="58">
        <v>25320.0</v>
      </c>
      <c r="B13" s="40">
        <v>1.0</v>
      </c>
      <c r="C13" s="32" t="s">
        <v>33</v>
      </c>
      <c r="D13" s="32" t="s">
        <v>34</v>
      </c>
      <c r="E13" s="32" t="s">
        <v>899</v>
      </c>
      <c r="F13" s="40" t="s">
        <v>900</v>
      </c>
      <c r="G13" s="40" t="s">
        <v>901</v>
      </c>
      <c r="H13" s="40" t="s">
        <v>50</v>
      </c>
      <c r="I13" s="40">
        <v>8061.0</v>
      </c>
      <c r="J13" s="40">
        <v>8061.0</v>
      </c>
      <c r="K13" s="5" t="s">
        <v>903</v>
      </c>
      <c r="L13" s="40" t="s">
        <v>60</v>
      </c>
      <c r="M13" s="40" t="s">
        <v>54</v>
      </c>
      <c r="N13" s="40">
        <v>5.2</v>
      </c>
      <c r="O13" s="40" t="s">
        <v>42</v>
      </c>
      <c r="P13" s="40" t="s">
        <v>919</v>
      </c>
      <c r="Q13" s="32" t="s">
        <v>42</v>
      </c>
      <c r="R13" s="40" t="s">
        <v>913</v>
      </c>
      <c r="S13" s="40" t="s">
        <v>45</v>
      </c>
      <c r="T13" s="40">
        <v>6.0</v>
      </c>
      <c r="U13" s="40">
        <v>225.0</v>
      </c>
      <c r="V13" s="40" t="s">
        <v>42</v>
      </c>
      <c r="W13" s="40">
        <v>1522.0</v>
      </c>
      <c r="X13" s="40" t="s">
        <v>42</v>
      </c>
      <c r="Y13" s="32">
        <v>2.05</v>
      </c>
      <c r="Z13" s="32" t="s">
        <v>46</v>
      </c>
      <c r="AA13" s="8"/>
      <c r="AB13" s="32">
        <v>15.0</v>
      </c>
      <c r="AC13" s="60" t="s">
        <v>61</v>
      </c>
      <c r="AD13" s="43">
        <f t="shared" si="1"/>
        <v>30.75</v>
      </c>
      <c r="AE13" s="62"/>
      <c r="AF13" s="32">
        <v>22.0</v>
      </c>
      <c r="AG13" s="43">
        <f t="shared" si="2"/>
        <v>0</v>
      </c>
      <c r="AN13" s="61" t="str">
        <f>IFERROR(__xludf.DUMMYFUNCTION("AI(""Completa un valor adecuado para esta celda en función del contexto de la tabla"")"),"Este piso vinílico tipo SPC cuenta con un espesor total de 5,2 mm y una capa de uso de 0,55 mm, lo que lo hace apto para uso comercial. Presenta un sistema de colocación Click que facilita su instalación, además de incluir un manto incorporado para mayor "&amp;"confort. Fabricado en China bajo la línea de oferta, cada caja rinde 2,05 m2 y contiene 6 tablas de 225 mm por 1522 mm.")</f>
        <v>Este piso vinílico tipo SPC cuenta con un espesor total de 5,2 mm y una capa de uso de 0,55 mm, lo que lo hace apto para uso comercial. Presenta un sistema de colocación Click que facilita su instalación, además de incluir un manto incorporado para mayor confort. Fabricado en China bajo la línea de oferta, cada caja rinde 2,05 m2 y contiene 6 tablas de 225 mm por 1522 mm.</v>
      </c>
    </row>
    <row r="14">
      <c r="A14" s="58">
        <v>25321.0</v>
      </c>
      <c r="B14" s="40">
        <v>1.0</v>
      </c>
      <c r="C14" s="32" t="s">
        <v>33</v>
      </c>
      <c r="D14" s="32" t="s">
        <v>34</v>
      </c>
      <c r="E14" s="32" t="s">
        <v>899</v>
      </c>
      <c r="F14" s="40" t="s">
        <v>900</v>
      </c>
      <c r="G14" s="40" t="s">
        <v>901</v>
      </c>
      <c r="H14" s="40" t="s">
        <v>50</v>
      </c>
      <c r="I14" s="40">
        <v>8068.0</v>
      </c>
      <c r="J14" s="40">
        <v>8068.0</v>
      </c>
      <c r="K14" s="5" t="s">
        <v>903</v>
      </c>
      <c r="L14" s="40" t="s">
        <v>60</v>
      </c>
      <c r="M14" s="40" t="s">
        <v>169</v>
      </c>
      <c r="N14" s="40">
        <v>5.0</v>
      </c>
      <c r="O14" s="40" t="s">
        <v>42</v>
      </c>
      <c r="P14" s="40" t="s">
        <v>904</v>
      </c>
      <c r="Q14" s="32" t="s">
        <v>42</v>
      </c>
      <c r="R14" s="40" t="s">
        <v>905</v>
      </c>
      <c r="S14" s="40" t="s">
        <v>45</v>
      </c>
      <c r="T14" s="40">
        <v>8.0</v>
      </c>
      <c r="U14" s="40">
        <v>180.0</v>
      </c>
      <c r="V14" s="40" t="s">
        <v>42</v>
      </c>
      <c r="W14" s="40">
        <v>1220.0</v>
      </c>
      <c r="X14" s="40" t="s">
        <v>42</v>
      </c>
      <c r="Y14" s="32">
        <v>1.75</v>
      </c>
      <c r="Z14" s="32" t="s">
        <v>46</v>
      </c>
      <c r="AA14" s="8"/>
      <c r="AB14" s="32">
        <v>14.0</v>
      </c>
      <c r="AC14" s="60" t="s">
        <v>61</v>
      </c>
      <c r="AD14" s="43">
        <f t="shared" si="1"/>
        <v>24.5</v>
      </c>
      <c r="AE14" s="62"/>
      <c r="AF14" s="32">
        <v>22.0</v>
      </c>
      <c r="AG14" s="43">
        <f t="shared" si="2"/>
        <v>0</v>
      </c>
      <c r="AN14" s="43" t="str">
        <f>IFERROR(__xludf.DUMMYFUNCTION("AI(""Completa un valor adecuado para esta celda en función del contexto de la tabla"")"),"Este piso vinílico tipo SPC cuenta con un espesor total de 5 mm y una capa de uso de 0,3 mm, ideal para uso residencial. Presenta un sistema de colocación Click que facilita su instalación, además de incluir un manto incorporado para mayor confort. Fabric"&amp;"ado en China bajo la línea de oferta, cada caja rinde 1,75 m2 y contiene 8 tablas de 180 mm por 1220 mm.")</f>
        <v>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cada caja rinde 1,75 m2 y contiene 8 tablas de 180 mm por 1220 mm.</v>
      </c>
    </row>
    <row r="15">
      <c r="A15" s="58">
        <v>22605.0</v>
      </c>
      <c r="B15" s="40">
        <v>2.0</v>
      </c>
      <c r="C15" s="32" t="s">
        <v>33</v>
      </c>
      <c r="D15" s="32" t="s">
        <v>34</v>
      </c>
      <c r="E15" s="32" t="s">
        <v>899</v>
      </c>
      <c r="F15" s="40" t="s">
        <v>900</v>
      </c>
      <c r="G15" s="40" t="s">
        <v>920</v>
      </c>
      <c r="H15" s="40" t="s">
        <v>50</v>
      </c>
      <c r="I15" s="40" t="s">
        <v>921</v>
      </c>
      <c r="J15" s="40" t="s">
        <v>922</v>
      </c>
      <c r="K15" s="5" t="s">
        <v>903</v>
      </c>
      <c r="L15" s="40" t="s">
        <v>60</v>
      </c>
      <c r="M15" s="40" t="s">
        <v>169</v>
      </c>
      <c r="N15" s="40">
        <v>3.2</v>
      </c>
      <c r="O15" s="40" t="s">
        <v>42</v>
      </c>
      <c r="P15" s="40">
        <v>3.2</v>
      </c>
      <c r="Q15" s="32" t="s">
        <v>42</v>
      </c>
      <c r="R15" s="40">
        <v>0.3</v>
      </c>
      <c r="S15" s="40" t="s">
        <v>44</v>
      </c>
      <c r="T15" s="40">
        <v>12.0</v>
      </c>
      <c r="U15" s="40">
        <v>180.0</v>
      </c>
      <c r="V15" s="40" t="s">
        <v>42</v>
      </c>
      <c r="W15" s="40">
        <v>1220.0</v>
      </c>
      <c r="X15" s="40" t="s">
        <v>42</v>
      </c>
      <c r="Y15" s="32">
        <v>2.6</v>
      </c>
      <c r="Z15" s="32" t="s">
        <v>46</v>
      </c>
      <c r="AA15" s="8"/>
      <c r="AB15" s="32">
        <v>12.0</v>
      </c>
      <c r="AC15" s="40" t="s">
        <v>61</v>
      </c>
      <c r="AD15" s="43">
        <f t="shared" si="1"/>
        <v>31.2</v>
      </c>
      <c r="AE15" s="62"/>
      <c r="AF15" s="32">
        <v>22.0</v>
      </c>
      <c r="AG15" s="43">
        <f t="shared" si="2"/>
        <v>0</v>
      </c>
      <c r="AH15" s="32">
        <v>135.2</v>
      </c>
      <c r="AN15" s="43" t="str">
        <f>IFERROR(__xludf.DUMMYFUNCTION("AI(""Completa un valor adecuado para esta celda en función del contexto de la tabla"")"),"Este piso vinílico tipo LVT cuenta con un espesor total de 3,2 mm y una capa de uso de 0,3 mm, ideal para uso residencial. Presenta un sistema de colocación Click que facilita su instalación. Fabricado en China bajo la línea de oferta, cada caja rinde 2,6"&amp;" m2 y contiene 12 tablas de 180 mm por 1220 mm.")</f>
        <v>Este piso vinílico tipo LVT cuenta con un espesor total de 3,2 mm y una capa de uso de 0,3 mm, ideal para uso residencial. Presenta un sistema de colocación Click que facilita su instalación. Fabricado en China bajo la línea de oferta, cada caja rinde 2,6 m2 y contiene 12 tablas de 180 mm por 1220 mm.</v>
      </c>
    </row>
    <row r="16">
      <c r="A16" s="58">
        <v>25322.0</v>
      </c>
      <c r="B16" s="40">
        <v>1.0</v>
      </c>
      <c r="C16" s="32" t="s">
        <v>33</v>
      </c>
      <c r="D16" s="32" t="s">
        <v>34</v>
      </c>
      <c r="E16" s="32" t="s">
        <v>899</v>
      </c>
      <c r="F16" s="40" t="s">
        <v>900</v>
      </c>
      <c r="G16" s="40" t="s">
        <v>901</v>
      </c>
      <c r="H16" s="40" t="s">
        <v>50</v>
      </c>
      <c r="I16" s="40">
        <v>8074.0</v>
      </c>
      <c r="J16" s="40">
        <v>8074.0</v>
      </c>
      <c r="K16" s="5" t="s">
        <v>903</v>
      </c>
      <c r="L16" s="40" t="s">
        <v>60</v>
      </c>
      <c r="M16" s="40" t="s">
        <v>169</v>
      </c>
      <c r="N16" s="40">
        <v>5.0</v>
      </c>
      <c r="O16" s="40" t="s">
        <v>42</v>
      </c>
      <c r="P16" s="40" t="s">
        <v>904</v>
      </c>
      <c r="Q16" s="32" t="s">
        <v>42</v>
      </c>
      <c r="R16" s="40" t="s">
        <v>905</v>
      </c>
      <c r="S16" s="40" t="s">
        <v>45</v>
      </c>
      <c r="T16" s="40">
        <v>8.0</v>
      </c>
      <c r="U16" s="40">
        <v>180.0</v>
      </c>
      <c r="V16" s="40" t="s">
        <v>42</v>
      </c>
      <c r="W16" s="40">
        <v>1220.0</v>
      </c>
      <c r="X16" s="40" t="s">
        <v>42</v>
      </c>
      <c r="Y16" s="32">
        <v>1.75</v>
      </c>
      <c r="Z16" s="32" t="s">
        <v>46</v>
      </c>
      <c r="AA16" s="8"/>
      <c r="AB16" s="32">
        <v>14.0</v>
      </c>
      <c r="AC16" s="60" t="s">
        <v>61</v>
      </c>
      <c r="AD16" s="43">
        <f t="shared" si="1"/>
        <v>24.5</v>
      </c>
      <c r="AE16" s="62"/>
      <c r="AF16" s="32">
        <v>22.0</v>
      </c>
      <c r="AG16" s="43">
        <f t="shared" si="2"/>
        <v>0</v>
      </c>
      <c r="AN16" s="43" t="str">
        <f>IFERROR(__xludf.DUMMYFUNCTION("AI(""Completa un valor adecuado para esta celda en función del contexto de la tabla"")"),"Este piso vinílico tipo SPC cuenta con un espesor total de 5 mm y una capa de uso de 0,3 mm, ideal para uso residencial. Presenta un sistema de colocación Click que facilita su instalación, además de incluir un manto incorporado para mayor confort. Fabric"&amp;"ado en China bajo la línea de oferta, cada caja rinde 1,75 m2 y contiene 8 tablas de 180 mm por 1220 mm.")</f>
        <v>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cada caja rinde 1,75 m2 y contiene 8 tablas de 180 mm por 1220 mm.</v>
      </c>
    </row>
    <row r="17">
      <c r="A17" s="58">
        <v>25270.0</v>
      </c>
      <c r="B17" s="40">
        <v>1.0</v>
      </c>
      <c r="C17" s="32" t="s">
        <v>33</v>
      </c>
      <c r="D17" s="32" t="s">
        <v>34</v>
      </c>
      <c r="E17" s="32" t="s">
        <v>899</v>
      </c>
      <c r="F17" s="40" t="s">
        <v>900</v>
      </c>
      <c r="G17" s="40" t="s">
        <v>901</v>
      </c>
      <c r="H17" s="40" t="s">
        <v>50</v>
      </c>
      <c r="I17" s="40" t="s">
        <v>923</v>
      </c>
      <c r="J17" s="40">
        <v>5012.0</v>
      </c>
      <c r="K17" s="5" t="s">
        <v>903</v>
      </c>
      <c r="L17" s="40" t="s">
        <v>60</v>
      </c>
      <c r="M17" s="40" t="s">
        <v>54</v>
      </c>
      <c r="N17" s="40">
        <v>5.0</v>
      </c>
      <c r="O17" s="40" t="s">
        <v>42</v>
      </c>
      <c r="P17" s="40" t="s">
        <v>904</v>
      </c>
      <c r="Q17" s="32" t="s">
        <v>42</v>
      </c>
      <c r="R17" s="40" t="s">
        <v>908</v>
      </c>
      <c r="S17" s="40" t="s">
        <v>45</v>
      </c>
      <c r="T17" s="40">
        <v>12.0</v>
      </c>
      <c r="U17" s="40">
        <v>182.0</v>
      </c>
      <c r="V17" s="40" t="s">
        <v>42</v>
      </c>
      <c r="W17" s="40">
        <v>1220.0</v>
      </c>
      <c r="X17" s="40" t="s">
        <v>42</v>
      </c>
      <c r="Y17" s="32">
        <v>2.66</v>
      </c>
      <c r="Z17" s="32" t="s">
        <v>46</v>
      </c>
      <c r="AA17" s="8"/>
      <c r="AB17" s="32">
        <v>15.8</v>
      </c>
      <c r="AC17" s="60" t="s">
        <v>61</v>
      </c>
      <c r="AD17" s="43">
        <f t="shared" si="1"/>
        <v>42.028</v>
      </c>
      <c r="AE17" s="62"/>
      <c r="AF17" s="32">
        <v>22.0</v>
      </c>
      <c r="AG17" s="43">
        <f t="shared" si="2"/>
        <v>0</v>
      </c>
      <c r="AN17" s="43"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de oferta, cada caja rinde 2,66 m2 y contiene 12 tablas de 182 mm por 1220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de oferta, cada caja rinde 2,66 m2 y contiene 12 tablas de 182 mm por 1220 mm.</v>
      </c>
    </row>
    <row r="18">
      <c r="A18" s="58">
        <v>25271.0</v>
      </c>
      <c r="B18" s="40">
        <v>1.0</v>
      </c>
      <c r="C18" s="32" t="s">
        <v>33</v>
      </c>
      <c r="D18" s="32" t="s">
        <v>34</v>
      </c>
      <c r="E18" s="32" t="s">
        <v>899</v>
      </c>
      <c r="F18" s="40" t="s">
        <v>900</v>
      </c>
      <c r="G18" s="40" t="s">
        <v>901</v>
      </c>
      <c r="H18" s="40" t="s">
        <v>50</v>
      </c>
      <c r="I18" s="40" t="s">
        <v>924</v>
      </c>
      <c r="J18" s="40">
        <v>5020.0</v>
      </c>
      <c r="K18" s="5" t="s">
        <v>903</v>
      </c>
      <c r="L18" s="40" t="s">
        <v>60</v>
      </c>
      <c r="M18" s="40" t="s">
        <v>54</v>
      </c>
      <c r="N18" s="40">
        <v>5.0</v>
      </c>
      <c r="O18" s="40" t="s">
        <v>42</v>
      </c>
      <c r="P18" s="40" t="s">
        <v>904</v>
      </c>
      <c r="Q18" s="32" t="s">
        <v>42</v>
      </c>
      <c r="R18" s="40" t="s">
        <v>908</v>
      </c>
      <c r="S18" s="40" t="s">
        <v>45</v>
      </c>
      <c r="T18" s="40">
        <v>12.0</v>
      </c>
      <c r="U18" s="40">
        <v>182.0</v>
      </c>
      <c r="V18" s="40" t="s">
        <v>42</v>
      </c>
      <c r="W18" s="40">
        <v>1220.0</v>
      </c>
      <c r="X18" s="40" t="s">
        <v>42</v>
      </c>
      <c r="Y18" s="32">
        <v>2.66</v>
      </c>
      <c r="Z18" s="32" t="s">
        <v>46</v>
      </c>
      <c r="AA18" s="8"/>
      <c r="AB18" s="32">
        <v>15.8</v>
      </c>
      <c r="AC18" s="60" t="s">
        <v>61</v>
      </c>
      <c r="AD18" s="43">
        <f t="shared" si="1"/>
        <v>42.028</v>
      </c>
      <c r="AE18" s="62"/>
      <c r="AF18" s="32">
        <v>22.0</v>
      </c>
      <c r="AG18" s="43">
        <f t="shared" si="2"/>
        <v>0</v>
      </c>
      <c r="AN18" s="43"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de oferta, cada caja rinde 2,66 m2 y contiene 12 tablas de 182 mm por 1220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de oferta, cada caja rinde 2,66 m2 y contiene 12 tablas de 182 mm por 1220 mm.</v>
      </c>
    </row>
    <row r="19">
      <c r="A19" s="58">
        <v>25276.0</v>
      </c>
      <c r="B19" s="40">
        <v>1.0</v>
      </c>
      <c r="C19" s="32" t="s">
        <v>33</v>
      </c>
      <c r="D19" s="32" t="s">
        <v>34</v>
      </c>
      <c r="E19" s="32" t="s">
        <v>899</v>
      </c>
      <c r="F19" s="40" t="s">
        <v>900</v>
      </c>
      <c r="G19" s="40" t="s">
        <v>901</v>
      </c>
      <c r="H19" s="40" t="s">
        <v>50</v>
      </c>
      <c r="I19" s="40" t="s">
        <v>925</v>
      </c>
      <c r="J19" s="40">
        <v>5021.0</v>
      </c>
      <c r="K19" s="5" t="s">
        <v>903</v>
      </c>
      <c r="L19" s="40" t="s">
        <v>60</v>
      </c>
      <c r="M19" s="40" t="s">
        <v>54</v>
      </c>
      <c r="N19" s="40">
        <v>5.0</v>
      </c>
      <c r="O19" s="40" t="s">
        <v>42</v>
      </c>
      <c r="P19" s="40" t="s">
        <v>904</v>
      </c>
      <c r="Q19" s="32" t="s">
        <v>42</v>
      </c>
      <c r="R19" s="40" t="s">
        <v>908</v>
      </c>
      <c r="S19" s="40" t="s">
        <v>45</v>
      </c>
      <c r="T19" s="40">
        <v>12.0</v>
      </c>
      <c r="U19" s="40">
        <v>182.0</v>
      </c>
      <c r="V19" s="40" t="s">
        <v>42</v>
      </c>
      <c r="W19" s="40">
        <v>1220.0</v>
      </c>
      <c r="X19" s="40" t="s">
        <v>42</v>
      </c>
      <c r="Y19" s="32">
        <v>2.66</v>
      </c>
      <c r="Z19" s="32" t="s">
        <v>46</v>
      </c>
      <c r="AA19" s="8"/>
      <c r="AB19" s="32">
        <v>15.8</v>
      </c>
      <c r="AC19" s="60" t="s">
        <v>61</v>
      </c>
      <c r="AD19" s="43">
        <f t="shared" si="1"/>
        <v>42.028</v>
      </c>
      <c r="AE19" s="62"/>
      <c r="AF19" s="32">
        <v>22.0</v>
      </c>
      <c r="AG19" s="43">
        <f t="shared" si="2"/>
        <v>0</v>
      </c>
      <c r="AN19" s="43"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de oferta, cada caja rinde 2,66 m2 y contiene 12 tablas de 182 mm por 1220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de oferta, cada caja rinde 2,66 m2 y contiene 12 tablas de 182 mm por 1220 mm.</v>
      </c>
    </row>
    <row r="20" ht="15.75" customHeight="1">
      <c r="A20" s="58">
        <v>25272.0</v>
      </c>
      <c r="B20" s="40">
        <v>1.0</v>
      </c>
      <c r="C20" s="32" t="s">
        <v>33</v>
      </c>
      <c r="D20" s="32" t="s">
        <v>34</v>
      </c>
      <c r="E20" s="32" t="s">
        <v>899</v>
      </c>
      <c r="F20" s="40" t="s">
        <v>900</v>
      </c>
      <c r="G20" s="40" t="s">
        <v>901</v>
      </c>
      <c r="H20" s="40" t="s">
        <v>50</v>
      </c>
      <c r="I20" s="40" t="s">
        <v>926</v>
      </c>
      <c r="J20" s="40">
        <v>5023.0</v>
      </c>
      <c r="K20" s="5" t="s">
        <v>903</v>
      </c>
      <c r="L20" s="40" t="s">
        <v>60</v>
      </c>
      <c r="M20" s="40" t="s">
        <v>54</v>
      </c>
      <c r="N20" s="40">
        <v>5.0</v>
      </c>
      <c r="O20" s="40" t="s">
        <v>42</v>
      </c>
      <c r="P20" s="40" t="s">
        <v>904</v>
      </c>
      <c r="Q20" s="32" t="s">
        <v>42</v>
      </c>
      <c r="R20" s="40" t="s">
        <v>908</v>
      </c>
      <c r="S20" s="40" t="s">
        <v>45</v>
      </c>
      <c r="T20" s="40">
        <v>12.0</v>
      </c>
      <c r="U20" s="40">
        <v>182.0</v>
      </c>
      <c r="V20" s="40" t="s">
        <v>42</v>
      </c>
      <c r="W20" s="40">
        <v>1220.0</v>
      </c>
      <c r="X20" s="40" t="s">
        <v>42</v>
      </c>
      <c r="Y20" s="32">
        <v>2.66</v>
      </c>
      <c r="Z20" s="32" t="s">
        <v>46</v>
      </c>
      <c r="AA20" s="8"/>
      <c r="AB20" s="32">
        <v>15.8</v>
      </c>
      <c r="AC20" s="60" t="s">
        <v>61</v>
      </c>
      <c r="AD20" s="43">
        <f t="shared" si="1"/>
        <v>42.028</v>
      </c>
      <c r="AE20" s="62"/>
      <c r="AF20" s="32">
        <v>22.0</v>
      </c>
      <c r="AG20" s="43">
        <f t="shared" si="2"/>
        <v>0</v>
      </c>
      <c r="AN20" s="43"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de oferta, cada caja rinde 2,66 m2 y contiene 12 tablas de 182 mm por 1220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de oferta, cada caja rinde 2,66 m2 y contiene 12 tablas de 182 mm por 1220 mm.</v>
      </c>
    </row>
    <row r="21" ht="15.75" customHeight="1">
      <c r="A21" s="58">
        <v>25304.0</v>
      </c>
      <c r="B21" s="40">
        <v>2.0</v>
      </c>
      <c r="C21" s="32" t="s">
        <v>33</v>
      </c>
      <c r="D21" s="32" t="s">
        <v>34</v>
      </c>
      <c r="E21" s="32" t="s">
        <v>899</v>
      </c>
      <c r="F21" s="40" t="s">
        <v>900</v>
      </c>
      <c r="G21" s="40" t="s">
        <v>901</v>
      </c>
      <c r="H21" s="40" t="s">
        <v>50</v>
      </c>
      <c r="I21" s="40" t="s">
        <v>927</v>
      </c>
      <c r="J21" s="40" t="s">
        <v>928</v>
      </c>
      <c r="K21" s="5" t="s">
        <v>903</v>
      </c>
      <c r="L21" s="40" t="s">
        <v>60</v>
      </c>
      <c r="M21" s="40" t="s">
        <v>54</v>
      </c>
      <c r="N21" s="40">
        <v>6.5</v>
      </c>
      <c r="O21" s="40" t="s">
        <v>42</v>
      </c>
      <c r="P21" s="40" t="s">
        <v>929</v>
      </c>
      <c r="Q21" s="32" t="s">
        <v>42</v>
      </c>
      <c r="R21" s="40" t="s">
        <v>908</v>
      </c>
      <c r="S21" s="40" t="s">
        <v>45</v>
      </c>
      <c r="T21" s="40">
        <v>10.0</v>
      </c>
      <c r="U21" s="40">
        <v>182.0</v>
      </c>
      <c r="V21" s="40" t="s">
        <v>42</v>
      </c>
      <c r="W21" s="40">
        <v>1220.0</v>
      </c>
      <c r="X21" s="40" t="s">
        <v>42</v>
      </c>
      <c r="Y21" s="32">
        <v>2.22</v>
      </c>
      <c r="Z21" s="32" t="s">
        <v>46</v>
      </c>
      <c r="AA21" s="8"/>
      <c r="AB21" s="32">
        <v>18.0</v>
      </c>
      <c r="AC21" s="60" t="s">
        <v>61</v>
      </c>
      <c r="AD21" s="43">
        <f t="shared" si="1"/>
        <v>39.96</v>
      </c>
      <c r="AE21" s="62"/>
      <c r="AF21" s="32">
        <v>22.0</v>
      </c>
      <c r="AG21" s="43">
        <f t="shared" si="2"/>
        <v>0</v>
      </c>
      <c r="AN21" s="43" t="str">
        <f>IFERROR(__xludf.DUMMYFUNCTION("AI(""Completa un valor adecuado para esta celda en función del contexto de la tabla"")"),"Este piso vinílico tipo SPC cuenta con un espesor total de 6,5 mm (5 mm + 1,5 mm de manto) y una capa de uso de 0,5 mm, lo que lo hace apto para uso comercial. Posee un sistema de colocación Click que facilita su instalación e incluye un manto incorporado"&amp;" para mayor confort. Fabricado en China bajo la línea de oferta, cada caja rinde 2,22 m2 y contiene 10 tablas de 182 mm por 1220 mm.")</f>
        <v>Este piso vinílico tipo SPC cuenta con un espesor total de 6,5 mm (5 mm + 1,5 mm de manto) y una capa de uso de 0,5 mm, lo que lo hace apto para uso comercial. Posee un sistema de colocación Click que facilita su instalación e incluye un manto incorporado para mayor confort. Fabricado en China bajo la línea de oferta, cada caja rinde 2,22 m2 y contiene 10 tablas de 182 mm por 1220 mm.</v>
      </c>
    </row>
    <row r="22" ht="15.75" customHeight="1">
      <c r="A22" s="58">
        <v>25311.0</v>
      </c>
      <c r="B22" s="40">
        <v>1.0</v>
      </c>
      <c r="C22" s="32" t="s">
        <v>33</v>
      </c>
      <c r="D22" s="32" t="s">
        <v>34</v>
      </c>
      <c r="E22" s="32" t="s">
        <v>899</v>
      </c>
      <c r="F22" s="40" t="s">
        <v>900</v>
      </c>
      <c r="G22" s="40" t="s">
        <v>901</v>
      </c>
      <c r="H22" s="40" t="s">
        <v>50</v>
      </c>
      <c r="I22" s="40" t="s">
        <v>930</v>
      </c>
      <c r="J22" s="40" t="s">
        <v>931</v>
      </c>
      <c r="K22" s="5" t="s">
        <v>903</v>
      </c>
      <c r="L22" s="40" t="s">
        <v>60</v>
      </c>
      <c r="M22" s="40" t="s">
        <v>54</v>
      </c>
      <c r="N22" s="40">
        <v>6.5</v>
      </c>
      <c r="O22" s="40" t="s">
        <v>42</v>
      </c>
      <c r="P22" s="40" t="s">
        <v>929</v>
      </c>
      <c r="Q22" s="32" t="s">
        <v>42</v>
      </c>
      <c r="R22" s="40" t="s">
        <v>908</v>
      </c>
      <c r="S22" s="40" t="s">
        <v>45</v>
      </c>
      <c r="T22" s="40">
        <v>10.0</v>
      </c>
      <c r="U22" s="40">
        <v>182.0</v>
      </c>
      <c r="V22" s="40" t="s">
        <v>42</v>
      </c>
      <c r="W22" s="40">
        <v>1220.0</v>
      </c>
      <c r="X22" s="40" t="s">
        <v>42</v>
      </c>
      <c r="Y22" s="32">
        <v>2.22</v>
      </c>
      <c r="Z22" s="32" t="s">
        <v>46</v>
      </c>
      <c r="AA22" s="8"/>
      <c r="AB22" s="32">
        <v>18.0</v>
      </c>
      <c r="AC22" s="60" t="s">
        <v>61</v>
      </c>
      <c r="AD22" s="43">
        <f t="shared" si="1"/>
        <v>39.96</v>
      </c>
      <c r="AE22" s="62"/>
      <c r="AF22" s="32">
        <v>22.0</v>
      </c>
      <c r="AG22" s="43">
        <f t="shared" si="2"/>
        <v>0</v>
      </c>
      <c r="AN22" s="43" t="str">
        <f>IFERROR(__xludf.DUMMYFUNCTION("AI(""Completa un valor adecuado para esta celda en función del contexto de la tabla"")"),"Este piso vinílico tipo SPC cuenta con un espesor total de 6,5 mm y una capa de uso de 0,5 mm, lo que lo hace ideal para uso comercial de alto tránsito. Presenta un sistema de colocación Click que facilita su instalación e incluye un manto incorporado par"&amp;"a mayor confort. Fabricado en China bajo la línea de oferta de la marca Discontinuo, cada caja rinde 2,22 m2 y contiene 10 tablas de 182 mm por 1220 mm.")</f>
        <v>Este piso vinílico tipo SPC cuenta con un espesor total de 6,5 mm y una capa de uso de 0,5 mm, lo que lo hace ideal para uso comercial de alto tránsito. Presenta un sistema de colocación Click que facilita su instalación e incluye un manto incorporado para mayor confort. Fabricado en China bajo la línea de oferta de la marca Discontinuo, cada caja rinde 2,22 m2 y contiene 10 tablas de 182 mm por 1220 mm.</v>
      </c>
    </row>
    <row r="23" ht="15.75" customHeight="1">
      <c r="A23" s="58">
        <v>25300.0</v>
      </c>
      <c r="B23" s="40">
        <v>2.0</v>
      </c>
      <c r="C23" s="32" t="s">
        <v>33</v>
      </c>
      <c r="D23" s="32" t="s">
        <v>34</v>
      </c>
      <c r="E23" s="32" t="s">
        <v>899</v>
      </c>
      <c r="F23" s="40" t="s">
        <v>900</v>
      </c>
      <c r="G23" s="40" t="s">
        <v>901</v>
      </c>
      <c r="H23" s="40" t="s">
        <v>50</v>
      </c>
      <c r="I23" s="40" t="s">
        <v>932</v>
      </c>
      <c r="J23" s="40" t="s">
        <v>933</v>
      </c>
      <c r="K23" s="5" t="s">
        <v>903</v>
      </c>
      <c r="L23" s="40" t="s">
        <v>60</v>
      </c>
      <c r="M23" s="40" t="s">
        <v>54</v>
      </c>
      <c r="N23" s="40">
        <v>6.5</v>
      </c>
      <c r="O23" s="40" t="s">
        <v>42</v>
      </c>
      <c r="P23" s="40" t="s">
        <v>929</v>
      </c>
      <c r="Q23" s="32" t="s">
        <v>42</v>
      </c>
      <c r="R23" s="40" t="s">
        <v>908</v>
      </c>
      <c r="S23" s="40" t="s">
        <v>45</v>
      </c>
      <c r="T23" s="40">
        <v>10.0</v>
      </c>
      <c r="U23" s="40">
        <v>182.0</v>
      </c>
      <c r="V23" s="40" t="s">
        <v>42</v>
      </c>
      <c r="W23" s="40">
        <v>1220.0</v>
      </c>
      <c r="X23" s="40" t="s">
        <v>42</v>
      </c>
      <c r="Y23" s="32">
        <v>2.22</v>
      </c>
      <c r="Z23" s="32" t="s">
        <v>46</v>
      </c>
      <c r="AA23" s="8"/>
      <c r="AB23" s="32">
        <v>18.0</v>
      </c>
      <c r="AC23" s="60" t="s">
        <v>61</v>
      </c>
      <c r="AD23" s="43">
        <f t="shared" si="1"/>
        <v>39.96</v>
      </c>
      <c r="AE23" s="62"/>
      <c r="AF23" s="32">
        <v>22.0</v>
      </c>
      <c r="AG23" s="43">
        <f t="shared" si="2"/>
        <v>0</v>
      </c>
      <c r="AN23" s="43" t="str">
        <f>IFERROR(__xludf.DUMMYFUNCTION("AI(""Completa un valor adecuado para esta celda en función del contexto de la tabla"")"),"Este piso vinílico tipo SPC cuenta con un espesor total de 6.5 mm y una capa de uso de 0,5 mm, ideal para uso comercial. Presenta un sistema de colocación Click que facilita su instalación, además de incluir un manto incorporado para mayor confort. Fabric"&amp;"ado en China bajo la línea de oferta, cada caja rinde 2,22 m2 y contiene 10 tablas de 182 mm por 1220 mm.")</f>
        <v>Este piso vinílico tipo SPC cuenta con un espesor total de 6.5 mm y una capa de uso de 0,5 mm, ideal para uso comercial. Presenta un sistema de colocación Click que facilita su instalación, además de incluir un manto incorporado para mayor confort. Fabricado en China bajo la línea de oferta, cada caja rinde 2,22 m2 y contiene 10 tablas de 182 mm por 1220 mm.</v>
      </c>
    </row>
    <row r="24" ht="15.75" customHeight="1">
      <c r="A24" s="58">
        <v>25310.0</v>
      </c>
      <c r="B24" s="40">
        <v>1.0</v>
      </c>
      <c r="C24" s="32" t="s">
        <v>33</v>
      </c>
      <c r="D24" s="32" t="s">
        <v>34</v>
      </c>
      <c r="E24" s="32" t="s">
        <v>899</v>
      </c>
      <c r="F24" s="40" t="s">
        <v>900</v>
      </c>
      <c r="G24" s="40" t="s">
        <v>901</v>
      </c>
      <c r="H24" s="40" t="s">
        <v>50</v>
      </c>
      <c r="I24" s="40" t="s">
        <v>934</v>
      </c>
      <c r="J24" s="40" t="s">
        <v>935</v>
      </c>
      <c r="K24" s="5" t="s">
        <v>903</v>
      </c>
      <c r="L24" s="40" t="s">
        <v>60</v>
      </c>
      <c r="M24" s="40" t="s">
        <v>54</v>
      </c>
      <c r="N24" s="40">
        <v>6.5</v>
      </c>
      <c r="O24" s="40" t="s">
        <v>42</v>
      </c>
      <c r="P24" s="40" t="s">
        <v>929</v>
      </c>
      <c r="Q24" s="32" t="s">
        <v>42</v>
      </c>
      <c r="R24" s="40" t="s">
        <v>908</v>
      </c>
      <c r="S24" s="40" t="s">
        <v>45</v>
      </c>
      <c r="T24" s="40">
        <v>10.0</v>
      </c>
      <c r="U24" s="40">
        <v>182.0</v>
      </c>
      <c r="V24" s="40" t="s">
        <v>42</v>
      </c>
      <c r="W24" s="40">
        <v>1220.0</v>
      </c>
      <c r="X24" s="40" t="s">
        <v>42</v>
      </c>
      <c r="Y24" s="32">
        <v>2.22</v>
      </c>
      <c r="Z24" s="32" t="s">
        <v>46</v>
      </c>
      <c r="AA24" s="8"/>
      <c r="AB24" s="32">
        <v>18.0</v>
      </c>
      <c r="AC24" s="60" t="s">
        <v>61</v>
      </c>
      <c r="AD24" s="43">
        <f t="shared" si="1"/>
        <v>39.96</v>
      </c>
      <c r="AE24" s="62"/>
      <c r="AF24" s="32">
        <v>22.0</v>
      </c>
      <c r="AG24" s="43">
        <f t="shared" si="2"/>
        <v>0</v>
      </c>
      <c r="AN24" s="43" t="str">
        <f>IFERROR(__xludf.DUMMYFUNCTION("AI(""Completa un valor adecuado para esta celda en función del contexto de la tabla"")"),"Este piso vinílico tipo SPC cuenta con un espesor total de 6,5 mm y una capa de uso de 0,5 mm, ideal para uso comercial. Presenta un sistema de colocación Click que facilita su instalación, además de incluir un manto incorporado para mayor confort. Fabric"&amp;"ado en China bajo la línea de oferta, cada caja rinde 2,22 m2 y contiene 10 tablas de 182 mm por 1220 mm.")</f>
        <v>Este piso vinílico tipo SPC cuenta con un espesor total de 6,5 mm y una capa de uso de 0,5 mm, ideal para uso comercial. Presenta un sistema de colocación Click que facilita su instalación, además de incluir un manto incorporado para mayor confort. Fabricado en China bajo la línea de oferta, cada caja rinde 2,22 m2 y contiene 10 tablas de 182 mm por 1220 mm.</v>
      </c>
    </row>
    <row r="25" ht="15.75" customHeight="1">
      <c r="A25" s="58">
        <v>25302.0</v>
      </c>
      <c r="B25" s="40">
        <v>2.0</v>
      </c>
      <c r="C25" s="32" t="s">
        <v>33</v>
      </c>
      <c r="D25" s="32" t="s">
        <v>34</v>
      </c>
      <c r="E25" s="32" t="s">
        <v>899</v>
      </c>
      <c r="F25" s="40" t="s">
        <v>900</v>
      </c>
      <c r="G25" s="40" t="s">
        <v>901</v>
      </c>
      <c r="H25" s="40" t="s">
        <v>50</v>
      </c>
      <c r="I25" s="40" t="s">
        <v>936</v>
      </c>
      <c r="J25" s="40" t="s">
        <v>937</v>
      </c>
      <c r="K25" s="5" t="s">
        <v>903</v>
      </c>
      <c r="L25" s="40" t="s">
        <v>60</v>
      </c>
      <c r="M25" s="40" t="s">
        <v>54</v>
      </c>
      <c r="N25" s="40">
        <v>6.5</v>
      </c>
      <c r="O25" s="40" t="s">
        <v>42</v>
      </c>
      <c r="P25" s="40" t="s">
        <v>929</v>
      </c>
      <c r="Q25" s="32" t="s">
        <v>42</v>
      </c>
      <c r="R25" s="40" t="s">
        <v>908</v>
      </c>
      <c r="S25" s="40" t="s">
        <v>45</v>
      </c>
      <c r="T25" s="40">
        <v>10.0</v>
      </c>
      <c r="U25" s="40">
        <v>182.0</v>
      </c>
      <c r="V25" s="40" t="s">
        <v>42</v>
      </c>
      <c r="W25" s="40">
        <v>1220.0</v>
      </c>
      <c r="X25" s="40" t="s">
        <v>42</v>
      </c>
      <c r="Y25" s="32">
        <v>2.22</v>
      </c>
      <c r="Z25" s="32" t="s">
        <v>46</v>
      </c>
      <c r="AA25" s="8"/>
      <c r="AB25" s="32">
        <v>18.0</v>
      </c>
      <c r="AC25" s="60" t="s">
        <v>61</v>
      </c>
      <c r="AD25" s="43">
        <f t="shared" si="1"/>
        <v>39.96</v>
      </c>
      <c r="AE25" s="62"/>
      <c r="AF25" s="32">
        <v>22.0</v>
      </c>
      <c r="AG25" s="43">
        <f t="shared" si="2"/>
        <v>0</v>
      </c>
      <c r="AN25" s="43" t="str">
        <f>IFERROR(__xludf.DUMMYFUNCTION("AI(""Completa un valor adecuado para esta celda en función del contexto de la tabla"")"),"Este piso vinílico tipo SPC cuenta con un espesor total de 6,5 mm y una capa de uso de 0,5 mm, ideal para uso comercial. Presenta un sistema de colocación Click que facilita su instalación, además de incluir un manto incorporado para mayor confort. Fabric"&amp;"ado en China bajo la línea de oferta, cada caja rinde 2,22 m2 y contiene 10 tablas de 182 mm por 1220 mm.")</f>
        <v>Este piso vinílico tipo SPC cuenta con un espesor total de 6,5 mm y una capa de uso de 0,5 mm, ideal para uso comercial. Presenta un sistema de colocación Click que facilita su instalación, además de incluir un manto incorporado para mayor confort. Fabricado en China bajo la línea de oferta, cada caja rinde 2,22 m2 y contiene 10 tablas de 182 mm por 1220 mm.</v>
      </c>
    </row>
    <row r="26" ht="15.75" customHeight="1">
      <c r="A26" s="58">
        <v>25301.0</v>
      </c>
      <c r="B26" s="40">
        <v>2.0</v>
      </c>
      <c r="C26" s="32" t="s">
        <v>33</v>
      </c>
      <c r="D26" s="32" t="s">
        <v>34</v>
      </c>
      <c r="E26" s="32" t="s">
        <v>899</v>
      </c>
      <c r="F26" s="40" t="s">
        <v>900</v>
      </c>
      <c r="G26" s="40" t="s">
        <v>901</v>
      </c>
      <c r="H26" s="40" t="s">
        <v>50</v>
      </c>
      <c r="I26" s="40" t="s">
        <v>938</v>
      </c>
      <c r="J26" s="40" t="s">
        <v>939</v>
      </c>
      <c r="K26" s="5" t="s">
        <v>903</v>
      </c>
      <c r="L26" s="40" t="s">
        <v>60</v>
      </c>
      <c r="M26" s="40" t="s">
        <v>54</v>
      </c>
      <c r="N26" s="40">
        <v>6.5</v>
      </c>
      <c r="O26" s="40" t="s">
        <v>42</v>
      </c>
      <c r="P26" s="40" t="s">
        <v>929</v>
      </c>
      <c r="Q26" s="32" t="s">
        <v>42</v>
      </c>
      <c r="R26" s="40" t="s">
        <v>908</v>
      </c>
      <c r="S26" s="40" t="s">
        <v>45</v>
      </c>
      <c r="T26" s="40">
        <v>10.0</v>
      </c>
      <c r="U26" s="40">
        <v>182.0</v>
      </c>
      <c r="V26" s="40" t="s">
        <v>42</v>
      </c>
      <c r="W26" s="40">
        <v>1220.0</v>
      </c>
      <c r="X26" s="40" t="s">
        <v>42</v>
      </c>
      <c r="Y26" s="32">
        <v>2.22</v>
      </c>
      <c r="Z26" s="32" t="s">
        <v>46</v>
      </c>
      <c r="AA26" s="8"/>
      <c r="AB26" s="32">
        <v>18.0</v>
      </c>
      <c r="AC26" s="60" t="s">
        <v>61</v>
      </c>
      <c r="AD26" s="43">
        <f t="shared" si="1"/>
        <v>39.96</v>
      </c>
      <c r="AE26" s="62"/>
      <c r="AF26" s="32">
        <v>22.0</v>
      </c>
      <c r="AG26" s="43">
        <f t="shared" si="2"/>
        <v>0</v>
      </c>
      <c r="AN26" s="43" t="str">
        <f>IFERROR(__xludf.DUMMYFUNCTION("AI(""Completa un valor adecuado para esta celda en función del contexto de la tabla"")"),"Este piso vinílico tipo SPC cuenta con un espesor total de 6,5 mm y una capa de uso de 0,5 mm, ideal para uso comercial. Presenta un sistema de colocación Click que facilita su instalación, además de incluir un manto incorporado para mayor confort. Fabric"&amp;"ado en China bajo la línea de oferta, cada caja rinde 2,22 m2 y contiene 10 tablas de 182 mm por 1220 mm.")</f>
        <v>Este piso vinílico tipo SPC cuenta con un espesor total de 6,5 mm y una capa de uso de 0,5 mm, ideal para uso comercial. Presenta un sistema de colocación Click que facilita su instalación, además de incluir un manto incorporado para mayor confort. Fabricado en China bajo la línea de oferta, cada caja rinde 2,22 m2 y contiene 10 tablas de 182 mm por 1220 mm.</v>
      </c>
    </row>
    <row r="27" ht="15.75" customHeight="1">
      <c r="A27" s="58">
        <v>25305.0</v>
      </c>
      <c r="B27" s="40">
        <v>2.0</v>
      </c>
      <c r="C27" s="32" t="s">
        <v>33</v>
      </c>
      <c r="D27" s="32" t="s">
        <v>34</v>
      </c>
      <c r="E27" s="32" t="s">
        <v>899</v>
      </c>
      <c r="F27" s="40" t="s">
        <v>900</v>
      </c>
      <c r="G27" s="40" t="s">
        <v>901</v>
      </c>
      <c r="H27" s="40" t="s">
        <v>50</v>
      </c>
      <c r="I27" s="40" t="s">
        <v>940</v>
      </c>
      <c r="J27" s="40" t="s">
        <v>941</v>
      </c>
      <c r="K27" s="5" t="s">
        <v>903</v>
      </c>
      <c r="L27" s="40" t="s">
        <v>60</v>
      </c>
      <c r="M27" s="40" t="s">
        <v>54</v>
      </c>
      <c r="N27" s="40">
        <v>6.5</v>
      </c>
      <c r="O27" s="40" t="s">
        <v>42</v>
      </c>
      <c r="P27" s="40" t="s">
        <v>929</v>
      </c>
      <c r="Q27" s="32" t="s">
        <v>42</v>
      </c>
      <c r="R27" s="40" t="s">
        <v>908</v>
      </c>
      <c r="S27" s="40" t="s">
        <v>45</v>
      </c>
      <c r="T27" s="40">
        <v>10.0</v>
      </c>
      <c r="U27" s="40">
        <v>182.0</v>
      </c>
      <c r="V27" s="40" t="s">
        <v>42</v>
      </c>
      <c r="W27" s="40">
        <v>1220.0</v>
      </c>
      <c r="X27" s="40" t="s">
        <v>42</v>
      </c>
      <c r="Y27" s="32">
        <v>2.22</v>
      </c>
      <c r="Z27" s="32" t="s">
        <v>46</v>
      </c>
      <c r="AA27" s="8"/>
      <c r="AB27" s="32">
        <v>18.0</v>
      </c>
      <c r="AC27" s="60" t="s">
        <v>61</v>
      </c>
      <c r="AD27" s="43">
        <f t="shared" si="1"/>
        <v>39.96</v>
      </c>
      <c r="AE27" s="62"/>
      <c r="AF27" s="32">
        <v>22.0</v>
      </c>
      <c r="AG27" s="43">
        <f t="shared" si="2"/>
        <v>0</v>
      </c>
      <c r="AN27" s="43" t="str">
        <f>IFERROR(__xludf.DUMMYFUNCTION("AI(""Completa un valor adecuado para esta celda en función del contexto de la tabla"")"),"Este piso vinílico tipo SPC cuenta con un espesor total de 6.5 mm y una capa de uso de 0,5 mm, ideal para uso comercial. Presenta un sistema de colocación Click que facilita su instalación, además de incluir un manto incorporado para mayor confort. Fabric"&amp;"ado en China bajo la línea de oferta, cada caja rinde 2,22 m2 y contiene 10 tablas de 182 mm por 1220 mm.")</f>
        <v>Este piso vinílico tipo SPC cuenta con un espesor total de 6.5 mm y una capa de uso de 0,5 mm, ideal para uso comercial. Presenta un sistema de colocación Click que facilita su instalación, además de incluir un manto incorporado para mayor confort. Fabricado en China bajo la línea de oferta, cada caja rinde 2,22 m2 y contiene 10 tablas de 182 mm por 1220 mm.</v>
      </c>
    </row>
    <row r="28" ht="15.75" customHeight="1">
      <c r="A28" s="58">
        <v>25306.0</v>
      </c>
      <c r="B28" s="40">
        <v>2.0</v>
      </c>
      <c r="C28" s="32" t="s">
        <v>33</v>
      </c>
      <c r="D28" s="32" t="s">
        <v>34</v>
      </c>
      <c r="E28" s="32" t="s">
        <v>899</v>
      </c>
      <c r="F28" s="40" t="s">
        <v>900</v>
      </c>
      <c r="G28" s="40" t="s">
        <v>901</v>
      </c>
      <c r="H28" s="40" t="s">
        <v>50</v>
      </c>
      <c r="I28" s="40" t="s">
        <v>942</v>
      </c>
      <c r="J28" s="40" t="s">
        <v>943</v>
      </c>
      <c r="K28" s="5" t="s">
        <v>903</v>
      </c>
      <c r="L28" s="40" t="s">
        <v>60</v>
      </c>
      <c r="M28" s="40" t="s">
        <v>54</v>
      </c>
      <c r="N28" s="40">
        <v>6.5</v>
      </c>
      <c r="O28" s="40" t="s">
        <v>42</v>
      </c>
      <c r="P28" s="40" t="s">
        <v>929</v>
      </c>
      <c r="Q28" s="32" t="s">
        <v>42</v>
      </c>
      <c r="R28" s="40" t="s">
        <v>908</v>
      </c>
      <c r="S28" s="40" t="s">
        <v>45</v>
      </c>
      <c r="T28" s="40">
        <v>10.0</v>
      </c>
      <c r="U28" s="40">
        <v>182.0</v>
      </c>
      <c r="V28" s="40" t="s">
        <v>42</v>
      </c>
      <c r="W28" s="40">
        <v>1220.0</v>
      </c>
      <c r="X28" s="40" t="s">
        <v>42</v>
      </c>
      <c r="Y28" s="32">
        <v>2.22</v>
      </c>
      <c r="Z28" s="32" t="s">
        <v>46</v>
      </c>
      <c r="AA28" s="8"/>
      <c r="AB28" s="32">
        <v>18.0</v>
      </c>
      <c r="AC28" s="60" t="s">
        <v>61</v>
      </c>
      <c r="AD28" s="43">
        <f t="shared" si="1"/>
        <v>39.96</v>
      </c>
      <c r="AE28" s="62"/>
      <c r="AF28" s="32">
        <v>22.0</v>
      </c>
      <c r="AG28" s="43">
        <f t="shared" si="2"/>
        <v>0</v>
      </c>
      <c r="AN28" s="43" t="str">
        <f>IFERROR(__xludf.DUMMYFUNCTION("AI(""Completa un valor adecuado para esta celda en función del contexto de la tabla"")"),"Este piso vinílico tipo SPC cuenta con un espesor total de 6.5 mm y una capa de uso de 0,5 mm, ideal para uso comercial. Presenta un sistema de colocación Click que facilita su instalación, además de incluir un manto incorporado para mayor confort. Fabric"&amp;"ado en China bajo la línea de oferta, cada caja rinde 2.22 m2 y contiene 10 tablas de 182 mm por 1220 mm.")</f>
        <v>Este piso vinílico tipo SPC cuenta con un espesor total de 6.5 mm y una capa de uso de 0,5 mm, ideal para uso comercial. Presenta un sistema de colocación Click que facilita su instalación, además de incluir un manto incorporado para mayor confort. Fabricado en China bajo la línea de oferta, cada caja rinde 2.22 m2 y contiene 10 tablas de 182 mm por 1220 mm.</v>
      </c>
    </row>
    <row r="29" ht="15.75" customHeight="1">
      <c r="A29" s="58">
        <v>25307.0</v>
      </c>
      <c r="B29" s="40">
        <v>2.0</v>
      </c>
      <c r="C29" s="32" t="s">
        <v>33</v>
      </c>
      <c r="D29" s="32" t="s">
        <v>34</v>
      </c>
      <c r="E29" s="32" t="s">
        <v>899</v>
      </c>
      <c r="F29" s="40" t="s">
        <v>900</v>
      </c>
      <c r="G29" s="40" t="s">
        <v>901</v>
      </c>
      <c r="H29" s="40" t="s">
        <v>50</v>
      </c>
      <c r="I29" s="40" t="s">
        <v>944</v>
      </c>
      <c r="J29" s="40" t="s">
        <v>945</v>
      </c>
      <c r="K29" s="5" t="s">
        <v>903</v>
      </c>
      <c r="L29" s="40" t="s">
        <v>60</v>
      </c>
      <c r="M29" s="40" t="s">
        <v>54</v>
      </c>
      <c r="N29" s="40">
        <v>6.5</v>
      </c>
      <c r="O29" s="40" t="s">
        <v>42</v>
      </c>
      <c r="P29" s="40" t="s">
        <v>929</v>
      </c>
      <c r="Q29" s="32" t="s">
        <v>42</v>
      </c>
      <c r="R29" s="40" t="s">
        <v>908</v>
      </c>
      <c r="S29" s="40" t="s">
        <v>45</v>
      </c>
      <c r="T29" s="40">
        <v>10.0</v>
      </c>
      <c r="U29" s="40">
        <v>182.0</v>
      </c>
      <c r="V29" s="40" t="s">
        <v>42</v>
      </c>
      <c r="W29" s="40">
        <v>1220.0</v>
      </c>
      <c r="X29" s="40" t="s">
        <v>42</v>
      </c>
      <c r="Y29" s="32">
        <v>2.22</v>
      </c>
      <c r="Z29" s="32" t="s">
        <v>46</v>
      </c>
      <c r="AA29" s="8"/>
      <c r="AB29" s="32">
        <v>18.0</v>
      </c>
      <c r="AC29" s="60" t="s">
        <v>61</v>
      </c>
      <c r="AD29" s="43">
        <f t="shared" si="1"/>
        <v>39.96</v>
      </c>
      <c r="AE29" s="62"/>
      <c r="AF29" s="32">
        <v>22.0</v>
      </c>
      <c r="AG29" s="43">
        <f t="shared" si="2"/>
        <v>0</v>
      </c>
      <c r="AN29" s="43" t="str">
        <f>IFERROR(__xludf.DUMMYFUNCTION("AI(""Completa un valor adecuado para esta celda en función del contexto de la tabla"")"),"Este piso vinílico tipo SPC cuenta con un espesor total de 6.5 mm y una capa de uso de 0,5 mm, ideal para uso comercial. Presenta un sistema de colocación Click que facilita su instalación, además de incluir un manto incorporado para mayor confort. Fabric"&amp;"ado en China bajo la línea de oferta, cada caja rinde 2,22 m2 y contiene 10 tablas de 182 mm por 1220 mm.")</f>
        <v>Este piso vinílico tipo SPC cuenta con un espesor total de 6.5 mm y una capa de uso de 0,5 mm, ideal para uso comercial. Presenta un sistema de colocación Click que facilita su instalación, además de incluir un manto incorporado para mayor confort. Fabricado en China bajo la línea de oferta, cada caja rinde 2,22 m2 y contiene 10 tablas de 182 mm por 1220 mm.</v>
      </c>
    </row>
    <row r="30" ht="15.75" customHeight="1">
      <c r="A30" s="58">
        <v>25308.0</v>
      </c>
      <c r="B30" s="40">
        <v>2.0</v>
      </c>
      <c r="C30" s="32" t="s">
        <v>33</v>
      </c>
      <c r="D30" s="32" t="s">
        <v>34</v>
      </c>
      <c r="E30" s="32" t="s">
        <v>899</v>
      </c>
      <c r="F30" s="40" t="s">
        <v>900</v>
      </c>
      <c r="G30" s="40" t="s">
        <v>901</v>
      </c>
      <c r="H30" s="40" t="s">
        <v>50</v>
      </c>
      <c r="I30" s="40" t="s">
        <v>946</v>
      </c>
      <c r="J30" s="40" t="s">
        <v>947</v>
      </c>
      <c r="K30" s="5" t="s">
        <v>903</v>
      </c>
      <c r="L30" s="40" t="s">
        <v>60</v>
      </c>
      <c r="M30" s="40" t="s">
        <v>54</v>
      </c>
      <c r="N30" s="40">
        <v>6.5</v>
      </c>
      <c r="O30" s="40" t="s">
        <v>42</v>
      </c>
      <c r="P30" s="40" t="s">
        <v>929</v>
      </c>
      <c r="Q30" s="32" t="s">
        <v>42</v>
      </c>
      <c r="R30" s="40" t="s">
        <v>908</v>
      </c>
      <c r="S30" s="40" t="s">
        <v>45</v>
      </c>
      <c r="T30" s="40">
        <v>10.0</v>
      </c>
      <c r="U30" s="40">
        <v>182.0</v>
      </c>
      <c r="V30" s="40" t="s">
        <v>42</v>
      </c>
      <c r="W30" s="40">
        <v>1220.0</v>
      </c>
      <c r="X30" s="40" t="s">
        <v>42</v>
      </c>
      <c r="Y30" s="32">
        <v>2.22</v>
      </c>
      <c r="Z30" s="32" t="s">
        <v>46</v>
      </c>
      <c r="AA30" s="8"/>
      <c r="AB30" s="32">
        <v>18.0</v>
      </c>
      <c r="AC30" s="60" t="s">
        <v>61</v>
      </c>
      <c r="AD30" s="43">
        <f t="shared" si="1"/>
        <v>39.96</v>
      </c>
      <c r="AE30" s="62"/>
      <c r="AF30" s="32">
        <v>22.0</v>
      </c>
      <c r="AG30" s="43">
        <f t="shared" si="2"/>
        <v>0</v>
      </c>
      <c r="AN30" s="43" t="str">
        <f>IFERROR(__xludf.DUMMYFUNCTION("AI(""Completa un valor adecuado para esta celda en función del contexto de la tabla"")"),"Este piso vinílico tipo SPC cuenta con un espesor total de 6,5 mm y una capa de uso de 0,5 mm, ideal para uso comercial. Presenta un sistema de colocación Click que facilita su instalación, además de incluir un manto incorporado para mayor confort. Fabric"&amp;"ado en China bajo la línea de oferta, cada caja rinde 2,22 m2 y contiene 10 tablas de 182 mm por 1220 mm.")</f>
        <v>Este piso vinílico tipo SPC cuenta con un espesor total de 6,5 mm y una capa de uso de 0,5 mm, ideal para uso comercial. Presenta un sistema de colocación Click que facilita su instalación, además de incluir un manto incorporado para mayor confort. Fabricado en China bajo la línea de oferta, cada caja rinde 2,22 m2 y contiene 10 tablas de 182 mm por 1220 mm.</v>
      </c>
    </row>
    <row r="31" ht="15.75" customHeight="1">
      <c r="A31" s="58">
        <v>25309.0</v>
      </c>
      <c r="B31" s="40">
        <v>2.0</v>
      </c>
      <c r="C31" s="32" t="s">
        <v>33</v>
      </c>
      <c r="D31" s="32" t="s">
        <v>34</v>
      </c>
      <c r="E31" s="32" t="s">
        <v>899</v>
      </c>
      <c r="F31" s="40" t="s">
        <v>900</v>
      </c>
      <c r="G31" s="40" t="s">
        <v>901</v>
      </c>
      <c r="H31" s="40" t="s">
        <v>50</v>
      </c>
      <c r="I31" s="40" t="s">
        <v>948</v>
      </c>
      <c r="J31" s="40" t="s">
        <v>949</v>
      </c>
      <c r="K31" s="5" t="s">
        <v>903</v>
      </c>
      <c r="L31" s="40" t="s">
        <v>60</v>
      </c>
      <c r="M31" s="40" t="s">
        <v>54</v>
      </c>
      <c r="N31" s="40">
        <v>6.5</v>
      </c>
      <c r="O31" s="40" t="s">
        <v>42</v>
      </c>
      <c r="P31" s="40" t="s">
        <v>929</v>
      </c>
      <c r="Q31" s="32" t="s">
        <v>42</v>
      </c>
      <c r="R31" s="40" t="s">
        <v>908</v>
      </c>
      <c r="S31" s="40" t="s">
        <v>45</v>
      </c>
      <c r="T31" s="40">
        <v>10.0</v>
      </c>
      <c r="U31" s="40">
        <v>182.0</v>
      </c>
      <c r="V31" s="40" t="s">
        <v>42</v>
      </c>
      <c r="W31" s="40">
        <v>1220.0</v>
      </c>
      <c r="X31" s="40" t="s">
        <v>42</v>
      </c>
      <c r="Y31" s="32">
        <v>2.22</v>
      </c>
      <c r="Z31" s="32" t="s">
        <v>46</v>
      </c>
      <c r="AA31" s="8"/>
      <c r="AB31" s="32">
        <v>18.0</v>
      </c>
      <c r="AC31" s="60" t="s">
        <v>61</v>
      </c>
      <c r="AD31" s="43">
        <f t="shared" si="1"/>
        <v>39.96</v>
      </c>
      <c r="AE31" s="62"/>
      <c r="AF31" s="32">
        <v>22.0</v>
      </c>
      <c r="AG31" s="43">
        <f t="shared" si="2"/>
        <v>0</v>
      </c>
      <c r="AN31" s="43" t="str">
        <f>IFERROR(__xludf.DUMMYFUNCTION("AI(""Completa un valor adecuado para esta celda en función del contexto de la tabla"")"),"Este piso vinílico tipo SPC cuenta con un espesor total de 6,5 mm y una capa de uso de 0,5 mm, lo que lo hace apto para uso comercial. Presenta un sistema de colocación Click que facilita su instalación e incluye un manto incorporado para mayor confort. F"&amp;"abricado en China bajo la línea de oferta, cada caja rinde 2,22 m2 y contiene 10 tablas de 182 mm por 1220 mm.")</f>
        <v>Este piso vinílico tipo SPC cuenta con un espesor total de 6,5 mm y una capa de uso de 0,5 mm, lo que lo hace apto para uso comercial. Presenta un sistema de colocación Click que facilita su instalación e incluye un manto incorporado para mayor confort. Fabricado en China bajo la línea de oferta, cada caja rinde 2,22 m2 y contiene 10 tablas de 182 mm por 1220 mm.</v>
      </c>
    </row>
    <row r="32" ht="15.75" customHeight="1">
      <c r="A32" s="58">
        <v>20294.0</v>
      </c>
      <c r="B32" s="40">
        <v>3.0</v>
      </c>
      <c r="C32" s="32" t="s">
        <v>33</v>
      </c>
      <c r="D32" s="32" t="s">
        <v>34</v>
      </c>
      <c r="E32" s="32" t="s">
        <v>899</v>
      </c>
      <c r="F32" s="40" t="s">
        <v>950</v>
      </c>
      <c r="G32" s="40" t="s">
        <v>920</v>
      </c>
      <c r="H32" s="40" t="s">
        <v>50</v>
      </c>
      <c r="I32" s="40">
        <v>9902.0</v>
      </c>
      <c r="J32" s="40">
        <v>9902.0</v>
      </c>
      <c r="K32" s="5" t="s">
        <v>903</v>
      </c>
      <c r="L32" s="40" t="s">
        <v>9</v>
      </c>
      <c r="M32" s="40" t="s">
        <v>169</v>
      </c>
      <c r="N32" s="40">
        <v>1.2</v>
      </c>
      <c r="O32" s="40" t="s">
        <v>42</v>
      </c>
      <c r="P32" s="40">
        <v>1.2</v>
      </c>
      <c r="Q32" s="32" t="s">
        <v>42</v>
      </c>
      <c r="R32" s="40">
        <v>0.15</v>
      </c>
      <c r="S32" s="40" t="s">
        <v>44</v>
      </c>
      <c r="T32" s="40">
        <v>0.0</v>
      </c>
      <c r="U32" s="40">
        <v>2000.0</v>
      </c>
      <c r="V32" s="40" t="s">
        <v>42</v>
      </c>
      <c r="W32" s="40">
        <v>25000.0</v>
      </c>
      <c r="X32" s="40" t="s">
        <v>42</v>
      </c>
      <c r="Y32" s="32">
        <v>50.0</v>
      </c>
      <c r="Z32" s="32" t="s">
        <v>46</v>
      </c>
      <c r="AA32" s="40" t="s">
        <v>44</v>
      </c>
      <c r="AB32" s="32">
        <v>5.0</v>
      </c>
      <c r="AC32" s="60" t="s">
        <v>61</v>
      </c>
      <c r="AD32" s="43">
        <f t="shared" si="1"/>
        <v>250</v>
      </c>
      <c r="AF32" s="32">
        <v>80.0</v>
      </c>
      <c r="AG32" s="43">
        <f t="shared" si="2"/>
        <v>0</v>
      </c>
      <c r="AN32" s="43" t="str">
        <f>IFERROR(__xludf.DUMMYFUNCTION("AI(""Completa un valor adecuado para esta celda en función del contexto de la tabla"")"),"Este piso vinílico en rollo tipo LVT presenta un espesor de 1,2 mm y una capa de uso de 0,15 mm, siendo una opción económica ideal para uso residencial. Fabricado en China bajo la línea clásica, se caracteriza por su instalación mediante pegado y su forma"&amp;"to de gran tamaño con un ancho de 2000 mm y un largo de 25000 mm. Cada rollo rinde 50 m2, ofreciendo una solución práctica y eficiente para renovar superficies sin necesidad de sistemas de encastre.")</f>
        <v>Este piso vinílico en rollo tipo LVT presenta un espesor de 1,2 mm y una capa de uso de 0,15 mm, siendo una opción económica ideal para uso residencial. Fabricado en China bajo la línea clásica, se caracteriza por su instalación mediante pegado y su formato de gran tamaño con un ancho de 2000 mm y un largo de 25000 mm. Cada rollo rinde 50 m2, ofreciendo una solución práctica y eficiente para renovar superficies sin necesidad de sistemas de encastre.</v>
      </c>
    </row>
    <row r="33" ht="15.75" customHeight="1">
      <c r="A33" s="58">
        <v>20295.0</v>
      </c>
      <c r="B33" s="40">
        <v>3.0</v>
      </c>
      <c r="C33" s="32" t="s">
        <v>33</v>
      </c>
      <c r="D33" s="32" t="s">
        <v>34</v>
      </c>
      <c r="E33" s="32" t="s">
        <v>899</v>
      </c>
      <c r="F33" s="40" t="s">
        <v>950</v>
      </c>
      <c r="G33" s="40" t="s">
        <v>920</v>
      </c>
      <c r="H33" s="40" t="s">
        <v>50</v>
      </c>
      <c r="I33" s="40">
        <v>2205.0</v>
      </c>
      <c r="J33" s="40">
        <v>2205.0</v>
      </c>
      <c r="K33" s="5" t="s">
        <v>903</v>
      </c>
      <c r="L33" s="40" t="s">
        <v>9</v>
      </c>
      <c r="M33" s="40" t="s">
        <v>169</v>
      </c>
      <c r="N33" s="40">
        <v>1.2</v>
      </c>
      <c r="O33" s="40" t="s">
        <v>42</v>
      </c>
      <c r="P33" s="40">
        <v>1.2</v>
      </c>
      <c r="Q33" s="32" t="s">
        <v>42</v>
      </c>
      <c r="R33" s="40">
        <v>0.15</v>
      </c>
      <c r="S33" s="40" t="s">
        <v>44</v>
      </c>
      <c r="T33" s="40">
        <v>0.0</v>
      </c>
      <c r="U33" s="40">
        <v>2000.0</v>
      </c>
      <c r="V33" s="40" t="s">
        <v>42</v>
      </c>
      <c r="W33" s="40">
        <v>25000.0</v>
      </c>
      <c r="X33" s="40" t="s">
        <v>42</v>
      </c>
      <c r="Y33" s="32">
        <v>50.0</v>
      </c>
      <c r="Z33" s="32" t="s">
        <v>46</v>
      </c>
      <c r="AA33" s="40" t="s">
        <v>44</v>
      </c>
      <c r="AB33" s="32">
        <v>5.0</v>
      </c>
      <c r="AC33" s="60" t="s">
        <v>61</v>
      </c>
      <c r="AD33" s="43">
        <f t="shared" si="1"/>
        <v>250</v>
      </c>
      <c r="AF33" s="32">
        <v>80.0</v>
      </c>
      <c r="AG33" s="43">
        <f t="shared" si="2"/>
        <v>0</v>
      </c>
      <c r="AN33" s="43" t="str">
        <f>IFERROR(__xludf.DUMMYFUNCTION("AI(""Completa un valor adecuado para esta celda en función del contexto de la tabla"")"),"Este piso vinílico tipo LVT en rollo cuenta con un espesor total de 1,2 mm y una capa de uso de 0,15 mm, ideal para uso residencial. Presenta un sistema de colocación para pegar que facilita su instalación en grandes áreas, sin manto incorporado ni bisel."&amp;" Fabricado en China bajo la línea convencional, cada rollo rinde 50 m2 y tiene dimensiones de 2000 mm de ancho por 25000 mm de largo.")</f>
        <v>Este piso vinílico tipo LVT en rollo cuenta con un espesor total de 1,2 mm y una capa de uso de 0,15 mm, ideal para uso residencial. Presenta un sistema de colocación para pegar que facilita su instalación en grandes áreas, sin manto incorporado ni bisel. Fabricado en China bajo la línea convencional, cada rollo rinde 50 m2 y tiene dimensiones de 2000 mm de ancho por 25000 mm de largo.</v>
      </c>
    </row>
    <row r="34" ht="15.75" customHeight="1">
      <c r="A34" s="58">
        <v>20296.0</v>
      </c>
      <c r="B34" s="40">
        <v>3.0</v>
      </c>
      <c r="C34" s="32" t="s">
        <v>33</v>
      </c>
      <c r="D34" s="32" t="s">
        <v>34</v>
      </c>
      <c r="E34" s="32" t="s">
        <v>899</v>
      </c>
      <c r="F34" s="40" t="s">
        <v>950</v>
      </c>
      <c r="G34" s="40" t="s">
        <v>920</v>
      </c>
      <c r="H34" s="40" t="s">
        <v>50</v>
      </c>
      <c r="I34" s="40">
        <v>1622.0</v>
      </c>
      <c r="J34" s="40">
        <v>1622.0</v>
      </c>
      <c r="K34" s="5" t="s">
        <v>903</v>
      </c>
      <c r="L34" s="40" t="s">
        <v>9</v>
      </c>
      <c r="M34" s="40" t="s">
        <v>169</v>
      </c>
      <c r="N34" s="40">
        <v>1.2</v>
      </c>
      <c r="O34" s="40" t="s">
        <v>42</v>
      </c>
      <c r="P34" s="40">
        <v>1.2</v>
      </c>
      <c r="Q34" s="32" t="s">
        <v>42</v>
      </c>
      <c r="R34" s="40">
        <v>0.15</v>
      </c>
      <c r="S34" s="40" t="s">
        <v>44</v>
      </c>
      <c r="T34" s="40">
        <v>0.0</v>
      </c>
      <c r="U34" s="40">
        <v>2000.0</v>
      </c>
      <c r="V34" s="40" t="s">
        <v>42</v>
      </c>
      <c r="W34" s="40">
        <v>25000.0</v>
      </c>
      <c r="X34" s="40" t="s">
        <v>42</v>
      </c>
      <c r="Y34" s="32">
        <v>50.0</v>
      </c>
      <c r="Z34" s="32" t="s">
        <v>46</v>
      </c>
      <c r="AA34" s="40" t="s">
        <v>44</v>
      </c>
      <c r="AB34" s="32">
        <v>5.0</v>
      </c>
      <c r="AC34" s="60" t="s">
        <v>61</v>
      </c>
      <c r="AD34" s="43">
        <f t="shared" si="1"/>
        <v>250</v>
      </c>
      <c r="AF34" s="32">
        <v>80.0</v>
      </c>
      <c r="AG34" s="43">
        <f t="shared" si="2"/>
        <v>0</v>
      </c>
      <c r="AN34" s="43" t="str">
        <f>IFERROR(__xludf.DUMMYFUNCTION("AI(""Completa un valor adecuado para esta celda en función del contexto de la tabla"")"),"Este piso vinílico tipo LVT en rollo presenta un espesor total de 1,2 mm y una capa de uso de 0,15 mm, diseñado para uso residencial. Cuenta con un sistema de instalación para pegar, no incluye manto incorporado y no posee bisel. Fabricado en China bajo l"&amp;"a línea estándar, se comercializa en rollos que rinden 50 m2, con dimensiones de 2000 mm de ancho por 25000 mm de largo.")</f>
        <v>Este piso vinílico tipo LVT en rollo presenta un espesor total de 1,2 mm y una capa de uso de 0,15 mm, diseñado para uso residencial. Cuenta con un sistema de instalación para pegar, no incluye manto incorporado y no posee bisel. Fabricado en China bajo la línea estándar, se comercializa en rollos que rinden 50 m2, con dimensiones de 2000 mm de ancho por 25000 mm de largo.</v>
      </c>
    </row>
    <row r="35" ht="15.75" customHeight="1">
      <c r="A35" s="58">
        <v>21526.0</v>
      </c>
      <c r="B35" s="40">
        <v>3.0</v>
      </c>
      <c r="C35" s="32" t="s">
        <v>33</v>
      </c>
      <c r="D35" s="32" t="s">
        <v>34</v>
      </c>
      <c r="E35" s="32" t="s">
        <v>899</v>
      </c>
      <c r="F35" s="40" t="s">
        <v>950</v>
      </c>
      <c r="G35" s="40" t="s">
        <v>920</v>
      </c>
      <c r="H35" s="40" t="s">
        <v>50</v>
      </c>
      <c r="I35" s="40" t="s">
        <v>951</v>
      </c>
      <c r="J35" s="40" t="s">
        <v>951</v>
      </c>
      <c r="K35" s="5" t="s">
        <v>903</v>
      </c>
      <c r="L35" s="40" t="s">
        <v>9</v>
      </c>
      <c r="M35" s="40" t="s">
        <v>169</v>
      </c>
      <c r="N35" s="40">
        <v>1.2</v>
      </c>
      <c r="O35" s="40" t="s">
        <v>42</v>
      </c>
      <c r="P35" s="40">
        <v>1.2</v>
      </c>
      <c r="Q35" s="32" t="s">
        <v>42</v>
      </c>
      <c r="R35" s="40">
        <v>0.15</v>
      </c>
      <c r="S35" s="40" t="s">
        <v>44</v>
      </c>
      <c r="T35" s="40">
        <v>0.0</v>
      </c>
      <c r="U35" s="40">
        <v>2000.0</v>
      </c>
      <c r="V35" s="40" t="s">
        <v>42</v>
      </c>
      <c r="W35" s="40">
        <v>25000.0</v>
      </c>
      <c r="X35" s="40" t="s">
        <v>42</v>
      </c>
      <c r="Y35" s="32">
        <v>50.0</v>
      </c>
      <c r="Z35" s="32" t="s">
        <v>46</v>
      </c>
      <c r="AA35" s="40" t="s">
        <v>44</v>
      </c>
      <c r="AB35" s="32">
        <v>5.0</v>
      </c>
      <c r="AC35" s="60" t="s">
        <v>61</v>
      </c>
      <c r="AD35" s="43">
        <f t="shared" si="1"/>
        <v>250</v>
      </c>
      <c r="AF35" s="32">
        <v>80.0</v>
      </c>
      <c r="AG35" s="43">
        <f t="shared" si="2"/>
        <v>0</v>
      </c>
      <c r="AH35" s="32">
        <v>0.0</v>
      </c>
      <c r="AN35" s="43" t="str">
        <f>IFERROR(__xludf.DUMMYFUNCTION("AI(""Completa un valor adecuado para esta celda en función del contexto de la tabla"")"),"Este piso vinílico tipo LVT en rollo cuenta con un espesor total de 1,2 mm y una capa de uso de 0,15 mm, ideal para uso residencial. Presenta un sistema de colocación para pegar que permite cubrir grandes superficies de forma continua y sin bisel. Fabrica"&amp;"do en China, cada rollo rinde 50 m2 con dimensiones de 2000 mm de ancho por 25000 mm de largo.")</f>
        <v>Este piso vinílico tipo LVT en rollo cuenta con un espesor total de 1,2 mm y una capa de uso de 0,15 mm, ideal para uso residencial. Presenta un sistema de colocación para pegar que permite cubrir grandes superficies de forma continua y sin bisel. Fabricado en China, cada rollo rinde 50 m2 con dimensiones de 2000 mm de ancho por 25000 mm de largo.</v>
      </c>
    </row>
    <row r="36" ht="15.75" customHeight="1">
      <c r="A36" s="58">
        <v>21527.0</v>
      </c>
      <c r="B36" s="40">
        <v>3.0</v>
      </c>
      <c r="C36" s="32" t="s">
        <v>33</v>
      </c>
      <c r="D36" s="32" t="s">
        <v>34</v>
      </c>
      <c r="E36" s="32" t="s">
        <v>899</v>
      </c>
      <c r="F36" s="40" t="s">
        <v>950</v>
      </c>
      <c r="G36" s="40" t="s">
        <v>920</v>
      </c>
      <c r="H36" s="40" t="s">
        <v>50</v>
      </c>
      <c r="I36" s="40" t="s">
        <v>952</v>
      </c>
      <c r="J36" s="40" t="s">
        <v>952</v>
      </c>
      <c r="K36" s="5" t="s">
        <v>903</v>
      </c>
      <c r="L36" s="40" t="s">
        <v>9</v>
      </c>
      <c r="M36" s="40" t="s">
        <v>169</v>
      </c>
      <c r="N36" s="40">
        <v>1.2</v>
      </c>
      <c r="O36" s="40" t="s">
        <v>42</v>
      </c>
      <c r="P36" s="40">
        <v>1.2</v>
      </c>
      <c r="Q36" s="32" t="s">
        <v>42</v>
      </c>
      <c r="R36" s="40">
        <v>0.15</v>
      </c>
      <c r="S36" s="40" t="s">
        <v>44</v>
      </c>
      <c r="T36" s="40">
        <v>0.0</v>
      </c>
      <c r="U36" s="40">
        <v>2000.0</v>
      </c>
      <c r="V36" s="40" t="s">
        <v>42</v>
      </c>
      <c r="W36" s="40">
        <v>25000.0</v>
      </c>
      <c r="X36" s="40" t="s">
        <v>42</v>
      </c>
      <c r="Y36" s="32">
        <v>50.0</v>
      </c>
      <c r="Z36" s="32" t="s">
        <v>46</v>
      </c>
      <c r="AA36" s="40" t="s">
        <v>44</v>
      </c>
      <c r="AB36" s="32">
        <v>5.0</v>
      </c>
      <c r="AC36" s="60" t="s">
        <v>61</v>
      </c>
      <c r="AD36" s="43">
        <f t="shared" si="1"/>
        <v>250</v>
      </c>
      <c r="AF36" s="32">
        <v>80.0</v>
      </c>
      <c r="AG36" s="43">
        <f t="shared" si="2"/>
        <v>0</v>
      </c>
      <c r="AN36" s="43" t="str">
        <f>IFERROR(__xludf.DUMMYFUNCTION("AI(""Completa un valor adecuado para esta celda en función del contexto de la tabla"")"),"Este piso vinílico tipo LVT se presenta en formato de rollo con un espesor total de 1,2 mm y una capa de uso de 0,15 mm, diseñado para uso residencial. Su método de instalación es para pegar y no incluye manto incorporado. Fabricado en China bajo la denom"&amp;"inación 264-14, cada unidad cubre 50 m2 con dimensiones de 2000 mm de ancho por 25000 mm de largo.")</f>
        <v>Este piso vinílico tipo LVT se presenta en formato de rollo con un espesor total de 1,2 mm y una capa de uso de 0,15 mm, diseñado para uso residencial. Su método de instalación es para pegar y no incluye manto incorporado. Fabricado en China bajo la denominación 264-14, cada unidad cubre 50 m2 con dimensiones de 2000 mm de ancho por 25000 mm de largo.</v>
      </c>
    </row>
    <row r="37" ht="15.75" customHeight="1">
      <c r="A37" s="58">
        <v>20297.0</v>
      </c>
      <c r="B37" s="40">
        <v>3.0</v>
      </c>
      <c r="C37" s="32" t="s">
        <v>33</v>
      </c>
      <c r="D37" s="32" t="s">
        <v>34</v>
      </c>
      <c r="E37" s="32" t="s">
        <v>899</v>
      </c>
      <c r="F37" s="40" t="s">
        <v>950</v>
      </c>
      <c r="G37" s="40" t="s">
        <v>920</v>
      </c>
      <c r="H37" s="40" t="s">
        <v>50</v>
      </c>
      <c r="I37" s="40" t="s">
        <v>953</v>
      </c>
      <c r="J37" s="40" t="s">
        <v>953</v>
      </c>
      <c r="K37" s="5" t="s">
        <v>903</v>
      </c>
      <c r="L37" s="40" t="s">
        <v>9</v>
      </c>
      <c r="M37" s="40" t="s">
        <v>169</v>
      </c>
      <c r="N37" s="40">
        <v>1.2</v>
      </c>
      <c r="O37" s="40" t="s">
        <v>42</v>
      </c>
      <c r="P37" s="40">
        <v>1.2</v>
      </c>
      <c r="Q37" s="32" t="s">
        <v>42</v>
      </c>
      <c r="R37" s="40">
        <v>0.15</v>
      </c>
      <c r="S37" s="40" t="s">
        <v>44</v>
      </c>
      <c r="T37" s="40">
        <v>0.0</v>
      </c>
      <c r="U37" s="40">
        <v>2000.0</v>
      </c>
      <c r="V37" s="40" t="s">
        <v>42</v>
      </c>
      <c r="W37" s="40">
        <v>25000.0</v>
      </c>
      <c r="X37" s="40" t="s">
        <v>42</v>
      </c>
      <c r="Y37" s="32">
        <v>50.0</v>
      </c>
      <c r="Z37" s="32" t="s">
        <v>46</v>
      </c>
      <c r="AA37" s="40" t="s">
        <v>44</v>
      </c>
      <c r="AB37" s="32">
        <v>5.0</v>
      </c>
      <c r="AC37" s="60" t="s">
        <v>61</v>
      </c>
      <c r="AD37" s="43">
        <f t="shared" si="1"/>
        <v>250</v>
      </c>
      <c r="AF37" s="32">
        <v>80.0</v>
      </c>
      <c r="AG37" s="43">
        <f t="shared" si="2"/>
        <v>0</v>
      </c>
      <c r="AN37" s="43" t="str">
        <f>IFERROR(__xludf.DUMMYFUNCTION("AI(""Completa un valor adecuado para esta celda en función del contexto de la tabla"")"),"Este piso vinílico tipo LVT en rollo presenta un espesor total de 1,2 mm y una capa de uso de 0,15 mm, diseñado especialmente para uso residencial. Con un formato de 2000 mm de ancho por 25000 mm de largo, cada unidad rinde 50 m2 y se instala mediante peg"&amp;"ado. Fabricado en China bajo la línea continua, ofrece una solución práctica y económica con un diseño que no incluye bisel.")</f>
        <v>Este piso vinílico tipo LVT en rollo presenta un espesor total de 1,2 mm y una capa de uso de 0,15 mm, diseñado especialmente para uso residencial. Con un formato de 2000 mm de ancho por 25000 mm de largo, cada unidad rinde 50 m2 y se instala mediante pegado. Fabricado en China bajo la línea continua, ofrece una solución práctica y económica con un diseño que no incluye bisel.</v>
      </c>
    </row>
    <row r="38" ht="15.75" customHeight="1">
      <c r="A38" s="58">
        <v>21528.0</v>
      </c>
      <c r="B38" s="40">
        <v>3.0</v>
      </c>
      <c r="C38" s="32" t="s">
        <v>33</v>
      </c>
      <c r="D38" s="32" t="s">
        <v>34</v>
      </c>
      <c r="E38" s="32" t="s">
        <v>899</v>
      </c>
      <c r="F38" s="40" t="s">
        <v>950</v>
      </c>
      <c r="G38" s="40" t="s">
        <v>920</v>
      </c>
      <c r="H38" s="40" t="s">
        <v>50</v>
      </c>
      <c r="I38" s="40">
        <v>9904.0</v>
      </c>
      <c r="J38" s="40">
        <v>9904.0</v>
      </c>
      <c r="K38" s="5" t="s">
        <v>903</v>
      </c>
      <c r="L38" s="40" t="s">
        <v>9</v>
      </c>
      <c r="M38" s="40" t="s">
        <v>169</v>
      </c>
      <c r="N38" s="40">
        <v>1.2</v>
      </c>
      <c r="O38" s="40" t="s">
        <v>42</v>
      </c>
      <c r="P38" s="40">
        <v>1.2</v>
      </c>
      <c r="Q38" s="32" t="s">
        <v>42</v>
      </c>
      <c r="R38" s="40">
        <v>0.15</v>
      </c>
      <c r="S38" s="40" t="s">
        <v>44</v>
      </c>
      <c r="T38" s="40">
        <v>0.0</v>
      </c>
      <c r="U38" s="40">
        <v>2000.0</v>
      </c>
      <c r="V38" s="40" t="s">
        <v>42</v>
      </c>
      <c r="W38" s="40">
        <v>25000.0</v>
      </c>
      <c r="X38" s="40" t="s">
        <v>42</v>
      </c>
      <c r="Y38" s="32">
        <v>50.0</v>
      </c>
      <c r="Z38" s="32" t="s">
        <v>46</v>
      </c>
      <c r="AA38" s="40" t="s">
        <v>44</v>
      </c>
      <c r="AB38" s="32">
        <v>5.0</v>
      </c>
      <c r="AC38" s="60" t="s">
        <v>61</v>
      </c>
      <c r="AD38" s="43">
        <f t="shared" si="1"/>
        <v>250</v>
      </c>
      <c r="AF38" s="32">
        <v>80.0</v>
      </c>
      <c r="AG38" s="43">
        <f t="shared" si="2"/>
        <v>0</v>
      </c>
      <c r="AN38" s="43" t="str">
        <f>IFERROR(__xludf.DUMMYFUNCTION("AI(""Completa un valor adecuado para esta celda en función del contexto de la tabla"")"),"Este piso vinílico tipo LVT cuenta con un espesor total de 1,2 mm y una capa de uso de 0,15 mm, ideal para uso residencial. Presenta un sistema de colocación Pegar / Rollo, sin manto incorporado. Fabricado en China bajo la línea Linea, cada unidad rinde 5"&amp;"0 m2 y consiste en un rollo de 2000 mm por 25000 mm.")</f>
        <v>Este piso vinílico tipo LVT cuenta con un espesor total de 1,2 mm y una capa de uso de 0,15 mm, ideal para uso residencial. Presenta un sistema de colocación Pegar / Rollo, sin manto incorporado. Fabricado en China bajo la línea Linea, cada unidad rinde 50 m2 y consiste en un rollo de 2000 mm por 25000 mm.</v>
      </c>
    </row>
    <row r="39" ht="15.75" customHeight="1">
      <c r="A39" s="58">
        <v>21525.0</v>
      </c>
      <c r="B39" s="40">
        <v>3.0</v>
      </c>
      <c r="C39" s="32" t="s">
        <v>33</v>
      </c>
      <c r="D39" s="32" t="s">
        <v>34</v>
      </c>
      <c r="E39" s="32" t="s">
        <v>899</v>
      </c>
      <c r="F39" s="40" t="s">
        <v>950</v>
      </c>
      <c r="G39" s="40" t="s">
        <v>920</v>
      </c>
      <c r="H39" s="40" t="s">
        <v>50</v>
      </c>
      <c r="I39" s="40">
        <v>9908.0</v>
      </c>
      <c r="J39" s="40">
        <v>9908.0</v>
      </c>
      <c r="K39" s="5" t="s">
        <v>903</v>
      </c>
      <c r="L39" s="40" t="s">
        <v>9</v>
      </c>
      <c r="M39" s="40" t="s">
        <v>169</v>
      </c>
      <c r="N39" s="40">
        <v>1.2</v>
      </c>
      <c r="O39" s="40" t="s">
        <v>42</v>
      </c>
      <c r="P39" s="40">
        <v>1.2</v>
      </c>
      <c r="Q39" s="32" t="s">
        <v>42</v>
      </c>
      <c r="R39" s="40">
        <v>0.15</v>
      </c>
      <c r="S39" s="40" t="s">
        <v>44</v>
      </c>
      <c r="T39" s="40">
        <v>0.0</v>
      </c>
      <c r="U39" s="40">
        <v>2000.0</v>
      </c>
      <c r="V39" s="40" t="s">
        <v>42</v>
      </c>
      <c r="W39" s="40">
        <v>25000.0</v>
      </c>
      <c r="X39" s="40" t="s">
        <v>42</v>
      </c>
      <c r="Y39" s="32">
        <v>50.0</v>
      </c>
      <c r="Z39" s="32" t="s">
        <v>46</v>
      </c>
      <c r="AA39" s="40" t="s">
        <v>44</v>
      </c>
      <c r="AB39" s="32">
        <v>5.0</v>
      </c>
      <c r="AC39" s="60" t="s">
        <v>61</v>
      </c>
      <c r="AD39" s="43">
        <f t="shared" si="1"/>
        <v>250</v>
      </c>
      <c r="AF39" s="32">
        <v>80.0</v>
      </c>
      <c r="AG39" s="43">
        <f t="shared" si="2"/>
        <v>0</v>
      </c>
      <c r="AN39" s="43" t="str">
        <f>IFERROR(__xludf.DUMMYFUNCTION("AI(""Completa un valor adecuado para esta celda en función del contexto de la tabla"")"),"Este piso vinílico tipo LVT se presenta en formato de rollo, con un espesor total de 1,2 mm y una capa de uso de 0,15 mm, diseñado específicamente para uso residencial. Fabricado en China bajo la línea de productos estándar, cada rollo rinde 50 m2 y cuent"&amp;"a con dimensiones de 2000 mm de ancho por 25000 mm de largo. Su instalación mediante pegado asegura una fijación estable, ofreciendo una solución práctica y económica para renovar ambientes del hogar.")</f>
        <v>Este piso vinílico tipo LVT se presenta en formato de rollo, con un espesor total de 1,2 mm y una capa de uso de 0,15 mm, diseñado específicamente para uso residencial. Fabricado en China bajo la línea de productos estándar, cada rollo rinde 50 m2 y cuenta con dimensiones de 2000 mm de ancho por 25000 mm de largo. Su instalación mediante pegado asegura una fijación estable, ofreciendo una solución práctica y económica para renovar ambientes del hogar.</v>
      </c>
    </row>
    <row r="40" ht="15.75" customHeight="1">
      <c r="A40" s="58">
        <v>23586.0</v>
      </c>
      <c r="B40" s="40">
        <v>3.0</v>
      </c>
      <c r="C40" s="32" t="s">
        <v>33</v>
      </c>
      <c r="D40" s="32" t="s">
        <v>34</v>
      </c>
      <c r="E40" s="32" t="s">
        <v>899</v>
      </c>
      <c r="F40" s="40" t="s">
        <v>950</v>
      </c>
      <c r="G40" s="40" t="s">
        <v>920</v>
      </c>
      <c r="H40" s="40" t="s">
        <v>50</v>
      </c>
      <c r="I40" s="40" t="s">
        <v>954</v>
      </c>
      <c r="J40" s="40" t="s">
        <v>954</v>
      </c>
      <c r="K40" s="5" t="s">
        <v>903</v>
      </c>
      <c r="L40" s="40" t="s">
        <v>9</v>
      </c>
      <c r="M40" s="40" t="s">
        <v>169</v>
      </c>
      <c r="N40" s="40">
        <v>1.2</v>
      </c>
      <c r="O40" s="40" t="s">
        <v>42</v>
      </c>
      <c r="P40" s="40">
        <v>1.6</v>
      </c>
      <c r="Q40" s="32" t="s">
        <v>42</v>
      </c>
      <c r="R40" s="40">
        <v>0.15</v>
      </c>
      <c r="S40" s="40" t="s">
        <v>44</v>
      </c>
      <c r="T40" s="40">
        <v>0.0</v>
      </c>
      <c r="U40" s="40">
        <v>2000.0</v>
      </c>
      <c r="V40" s="40" t="s">
        <v>42</v>
      </c>
      <c r="W40" s="40">
        <v>20000.0</v>
      </c>
      <c r="X40" s="40" t="s">
        <v>42</v>
      </c>
      <c r="Y40" s="32">
        <v>40.0</v>
      </c>
      <c r="Z40" s="32" t="s">
        <v>46</v>
      </c>
      <c r="AA40" s="40" t="s">
        <v>44</v>
      </c>
      <c r="AB40" s="32">
        <v>12.2</v>
      </c>
      <c r="AC40" s="60" t="s">
        <v>61</v>
      </c>
      <c r="AD40" s="43">
        <f t="shared" si="1"/>
        <v>488</v>
      </c>
      <c r="AF40" s="32">
        <v>80.0</v>
      </c>
      <c r="AG40" s="43">
        <f t="shared" si="2"/>
        <v>0</v>
      </c>
      <c r="AN40" s="43" t="str">
        <f>IFERROR(__xludf.DUMMYFUNCTION("AI(""Completa un valor adecuado para esta celda en función del contexto de la tabla"")"),"Este piso vinílico tipo LVT en rollo cuenta con un espesor total de 1,2 mm y una capa de uso de 0,15 mm, ideal para uso residencial. Presenta un sistema de colocación para pegar que asegura su durabilidad, sin incluir manto incorporado. Fabricado en China"&amp;" bajo la línea de producto de línea, cada unidad rinde 40 m2 y consiste en un rollo de 2000 mm por 20000 mm.")</f>
        <v>Este piso vinílico tipo LVT en rollo cuenta con un espesor total de 1,2 mm y una capa de uso de 0,15 mm, ideal para uso residencial. Presenta un sistema de colocación para pegar que asegura su durabilidad, sin incluir manto incorporado. Fabricado en China bajo la línea de producto de línea, cada unidad rinde 40 m2 y consiste en un rollo de 2000 mm por 20000 mm.</v>
      </c>
    </row>
    <row r="41" ht="15.75" customHeight="1">
      <c r="A41" s="58">
        <v>23587.0</v>
      </c>
      <c r="B41" s="40">
        <v>3.0</v>
      </c>
      <c r="C41" s="32" t="s">
        <v>33</v>
      </c>
      <c r="D41" s="32" t="s">
        <v>34</v>
      </c>
      <c r="E41" s="32" t="s">
        <v>899</v>
      </c>
      <c r="F41" s="40" t="s">
        <v>950</v>
      </c>
      <c r="G41" s="40" t="s">
        <v>920</v>
      </c>
      <c r="H41" s="40" t="s">
        <v>50</v>
      </c>
      <c r="I41" s="40" t="s">
        <v>955</v>
      </c>
      <c r="J41" s="40" t="s">
        <v>955</v>
      </c>
      <c r="K41" s="5" t="s">
        <v>903</v>
      </c>
      <c r="L41" s="40" t="s">
        <v>9</v>
      </c>
      <c r="M41" s="40" t="s">
        <v>169</v>
      </c>
      <c r="N41" s="40">
        <v>1.2</v>
      </c>
      <c r="O41" s="40" t="s">
        <v>42</v>
      </c>
      <c r="P41" s="40">
        <v>1.6</v>
      </c>
      <c r="Q41" s="32" t="s">
        <v>42</v>
      </c>
      <c r="R41" s="40">
        <v>0.15</v>
      </c>
      <c r="S41" s="40" t="s">
        <v>44</v>
      </c>
      <c r="T41" s="40">
        <v>0.0</v>
      </c>
      <c r="U41" s="40">
        <v>2000.0</v>
      </c>
      <c r="V41" s="40" t="s">
        <v>42</v>
      </c>
      <c r="W41" s="40">
        <v>20000.0</v>
      </c>
      <c r="X41" s="40" t="s">
        <v>42</v>
      </c>
      <c r="Y41" s="32">
        <v>40.0</v>
      </c>
      <c r="Z41" s="32" t="s">
        <v>46</v>
      </c>
      <c r="AA41" s="40" t="s">
        <v>44</v>
      </c>
      <c r="AB41" s="32">
        <v>12.2</v>
      </c>
      <c r="AC41" s="60" t="s">
        <v>61</v>
      </c>
      <c r="AD41" s="43">
        <f t="shared" si="1"/>
        <v>488</v>
      </c>
      <c r="AF41" s="32">
        <v>80.0</v>
      </c>
      <c r="AG41" s="43">
        <f t="shared" si="2"/>
        <v>0</v>
      </c>
      <c r="AN41" s="43" t="str">
        <f>IFERROR(__xludf.DUMMYFUNCTION("AI(""Completa un valor adecuado para esta celda en función del contexto de la tabla"")"),"Este piso vinílico en rollo tipo LVT presenta un espesor total de 1,2 mm y una capa de uso de 0,15 mm, diseñado específicamente para uso residencial. Fabricado en China bajo la línea de productos discontinuos, se destaca por su formato de gran tamaño con "&amp;"un ancho de 2000 mm y un largo de 20000 mm, cubriendo una superficie de 40 m2 por unidad. Su instalación requiere pegado y ofrece una solución económica y duradera con un diseño tipo madera que se adapta a diversos espacios interiores.")</f>
        <v>Este piso vinílico en rollo tipo LVT presenta un espesor total de 1,2 mm y una capa de uso de 0,15 mm, diseñado específicamente para uso residencial. Fabricado en China bajo la línea de productos discontinuos, se destaca por su formato de gran tamaño con un ancho de 2000 mm y un largo de 20000 mm, cubriendo una superficie de 40 m2 por unidad. Su instalación requiere pegado y ofrece una solución económica y duradera con un diseño tipo madera que se adapta a diversos espacios interiores.</v>
      </c>
    </row>
    <row r="42" ht="15.75" customHeight="1">
      <c r="A42" s="58">
        <v>23583.0</v>
      </c>
      <c r="B42" s="40">
        <v>3.0</v>
      </c>
      <c r="C42" s="32" t="s">
        <v>33</v>
      </c>
      <c r="D42" s="32" t="s">
        <v>34</v>
      </c>
      <c r="E42" s="32" t="s">
        <v>899</v>
      </c>
      <c r="F42" s="40" t="s">
        <v>950</v>
      </c>
      <c r="G42" s="40" t="s">
        <v>920</v>
      </c>
      <c r="H42" s="40" t="s">
        <v>50</v>
      </c>
      <c r="I42" s="40" t="s">
        <v>956</v>
      </c>
      <c r="J42" s="40" t="s">
        <v>956</v>
      </c>
      <c r="K42" s="5" t="s">
        <v>903</v>
      </c>
      <c r="L42" s="40" t="s">
        <v>9</v>
      </c>
      <c r="M42" s="40" t="s">
        <v>169</v>
      </c>
      <c r="N42" s="40">
        <v>1.2</v>
      </c>
      <c r="O42" s="40" t="s">
        <v>42</v>
      </c>
      <c r="P42" s="40">
        <v>1.6</v>
      </c>
      <c r="Q42" s="32" t="s">
        <v>42</v>
      </c>
      <c r="R42" s="40">
        <v>0.15</v>
      </c>
      <c r="S42" s="40" t="s">
        <v>44</v>
      </c>
      <c r="T42" s="40">
        <v>0.0</v>
      </c>
      <c r="U42" s="40">
        <v>2000.0</v>
      </c>
      <c r="V42" s="40" t="s">
        <v>42</v>
      </c>
      <c r="W42" s="40">
        <v>20000.0</v>
      </c>
      <c r="X42" s="40" t="s">
        <v>42</v>
      </c>
      <c r="Y42" s="32">
        <v>40.0</v>
      </c>
      <c r="Z42" s="32" t="s">
        <v>46</v>
      </c>
      <c r="AA42" s="40" t="s">
        <v>44</v>
      </c>
      <c r="AB42" s="32">
        <v>12.2</v>
      </c>
      <c r="AC42" s="60" t="s">
        <v>61</v>
      </c>
      <c r="AD42" s="43">
        <f t="shared" si="1"/>
        <v>488</v>
      </c>
      <c r="AF42" s="32">
        <v>80.0</v>
      </c>
      <c r="AG42" s="43">
        <f t="shared" si="2"/>
        <v>0</v>
      </c>
      <c r="AN42" s="43" t="str">
        <f>IFERROR(__xludf.DUMMYFUNCTION("AI(""Completa un valor adecuado para esta celda en función del contexto de la tabla"")"),"Este piso vinílico tipo LVT cuenta con un espesor total de 1,2 mm y una capa de uso de 0,15 mm, ideal para uso residencial. Presenta un formato en rollo para pegar, facilitando su aplicación en grandes superficies. Fabricado en China bajo la línea de prod"&amp;"uctos de stock, cada rollo rinde 40 m2 y tiene dimensiones de 2000 mm de ancho por 20000 mm de largo.")</f>
        <v>Este piso vinílico tipo LVT cuenta con un espesor total de 1,2 mm y una capa de uso de 0,15 mm, ideal para uso residencial. Presenta un formato en rollo para pegar, facilitando su aplicación en grandes superficies. Fabricado en China bajo la línea de productos de stock, cada rollo rinde 40 m2 y tiene dimensiones de 2000 mm de ancho por 20000 mm de largo.</v>
      </c>
    </row>
    <row r="43" ht="15.75" customHeight="1">
      <c r="A43" s="58">
        <v>23584.0</v>
      </c>
      <c r="B43" s="40">
        <v>3.0</v>
      </c>
      <c r="C43" s="32" t="s">
        <v>33</v>
      </c>
      <c r="D43" s="32" t="s">
        <v>34</v>
      </c>
      <c r="E43" s="32" t="s">
        <v>899</v>
      </c>
      <c r="F43" s="40" t="s">
        <v>950</v>
      </c>
      <c r="G43" s="40" t="s">
        <v>920</v>
      </c>
      <c r="H43" s="40" t="s">
        <v>50</v>
      </c>
      <c r="I43" s="40" t="s">
        <v>957</v>
      </c>
      <c r="J43" s="40" t="s">
        <v>957</v>
      </c>
      <c r="K43" s="5" t="s">
        <v>903</v>
      </c>
      <c r="L43" s="40" t="s">
        <v>9</v>
      </c>
      <c r="M43" s="40" t="s">
        <v>169</v>
      </c>
      <c r="N43" s="40">
        <v>1.2</v>
      </c>
      <c r="O43" s="40" t="s">
        <v>42</v>
      </c>
      <c r="P43" s="40">
        <v>1.6</v>
      </c>
      <c r="Q43" s="32" t="s">
        <v>42</v>
      </c>
      <c r="R43" s="40">
        <v>0.15</v>
      </c>
      <c r="S43" s="40" t="s">
        <v>44</v>
      </c>
      <c r="T43" s="40">
        <v>0.0</v>
      </c>
      <c r="U43" s="40">
        <v>2000.0</v>
      </c>
      <c r="V43" s="40" t="s">
        <v>42</v>
      </c>
      <c r="W43" s="40">
        <v>20000.0</v>
      </c>
      <c r="X43" s="40" t="s">
        <v>42</v>
      </c>
      <c r="Y43" s="32">
        <v>40.0</v>
      </c>
      <c r="Z43" s="32" t="s">
        <v>46</v>
      </c>
      <c r="AA43" s="40" t="s">
        <v>44</v>
      </c>
      <c r="AB43" s="32">
        <v>12.2</v>
      </c>
      <c r="AC43" s="60" t="s">
        <v>61</v>
      </c>
      <c r="AD43" s="43">
        <f t="shared" si="1"/>
        <v>488</v>
      </c>
      <c r="AF43" s="32">
        <v>80.0</v>
      </c>
      <c r="AG43" s="43">
        <f t="shared" si="2"/>
        <v>0</v>
      </c>
      <c r="AN43" s="43" t="str">
        <f>IFERROR(__xludf.DUMMYFUNCTION("AI(""Completa un valor adecuado para esta celda en función del contexto de la tabla"")"),"Este piso vinílico tipo LVT en rollo cuenta con un espesor total de 1,2 mm y una capa de uso de 0,15 mm, ideal para uso residencial. Presenta un sistema de colocación para pegar que facilita su aplicación. Fabricado en China, cada unidad rinde 40 m2 y cue"&amp;"nta con dimensiones de 2000 mm de ancho por 20000 mm de largo.")</f>
        <v>Este piso vinílico tipo LVT en rollo cuenta con un espesor total de 1,2 mm y una capa de uso de 0,15 mm, ideal para uso residencial. Presenta un sistema de colocación para pegar que facilita su aplicación. Fabricado en China, cada unidad rinde 40 m2 y cuenta con dimensiones de 2000 mm de ancho por 20000 mm de largo.</v>
      </c>
    </row>
    <row r="44" ht="15.75" customHeight="1">
      <c r="A44" s="58">
        <v>23585.0</v>
      </c>
      <c r="B44" s="40">
        <v>3.0</v>
      </c>
      <c r="C44" s="32" t="s">
        <v>33</v>
      </c>
      <c r="D44" s="32" t="s">
        <v>34</v>
      </c>
      <c r="E44" s="32" t="s">
        <v>899</v>
      </c>
      <c r="F44" s="40" t="s">
        <v>950</v>
      </c>
      <c r="G44" s="40" t="s">
        <v>920</v>
      </c>
      <c r="H44" s="40" t="s">
        <v>50</v>
      </c>
      <c r="I44" s="40" t="s">
        <v>958</v>
      </c>
      <c r="J44" s="40" t="s">
        <v>958</v>
      </c>
      <c r="K44" s="5" t="s">
        <v>903</v>
      </c>
      <c r="L44" s="40" t="s">
        <v>9</v>
      </c>
      <c r="M44" s="40" t="s">
        <v>169</v>
      </c>
      <c r="N44" s="40">
        <v>1.2</v>
      </c>
      <c r="O44" s="40" t="s">
        <v>42</v>
      </c>
      <c r="P44" s="40">
        <v>1.6</v>
      </c>
      <c r="Q44" s="32" t="s">
        <v>42</v>
      </c>
      <c r="R44" s="40">
        <v>0.15</v>
      </c>
      <c r="S44" s="40" t="s">
        <v>44</v>
      </c>
      <c r="T44" s="40">
        <v>0.0</v>
      </c>
      <c r="U44" s="40">
        <v>2000.0</v>
      </c>
      <c r="V44" s="40" t="s">
        <v>42</v>
      </c>
      <c r="W44" s="40">
        <v>20000.0</v>
      </c>
      <c r="X44" s="40" t="s">
        <v>42</v>
      </c>
      <c r="Y44" s="32">
        <v>40.0</v>
      </c>
      <c r="Z44" s="32" t="s">
        <v>46</v>
      </c>
      <c r="AA44" s="40" t="s">
        <v>44</v>
      </c>
      <c r="AB44" s="32">
        <v>12.2</v>
      </c>
      <c r="AC44" s="60" t="s">
        <v>61</v>
      </c>
      <c r="AD44" s="43">
        <f t="shared" si="1"/>
        <v>488</v>
      </c>
      <c r="AF44" s="32">
        <v>80.0</v>
      </c>
      <c r="AG44" s="43">
        <f t="shared" si="2"/>
        <v>0</v>
      </c>
      <c r="AN44" s="43" t="str">
        <f>IFERROR(__xludf.DUMMYFUNCTION("AI(""Completa un valor adecuado para esta celda en función del contexto de la tabla"")"),"Este piso vinílico tipo LVT en rollo cuenta con un espesor total de 1,2 mm y una capa de uso de 0,15 mm, ideal para uso residencial. Presenta un sistema de colocación para pegar que asegura una fijación estable. Fabricado en China bajo la marca Discontinu"&amp;"o, cada rollo rinde 40 m2 y cuenta con un ancho de 2000 mm por un largo de 20000 mm.")</f>
        <v>Este piso vinílico tipo LVT en rollo cuenta con un espesor total de 1,2 mm y una capa de uso de 0,15 mm, ideal para uso residencial. Presenta un sistema de colocación para pegar que asegura una fijación estable. Fabricado en China bajo la marca Discontinuo, cada rollo rinde 40 m2 y cuenta con un ancho de 2000 mm por un largo de 20000 mm.</v>
      </c>
    </row>
    <row r="45" ht="15.75" customHeight="1">
      <c r="A45" s="58">
        <v>23538.0</v>
      </c>
      <c r="B45" s="40">
        <v>2.0</v>
      </c>
      <c r="C45" s="32" t="s">
        <v>33</v>
      </c>
      <c r="D45" s="32" t="s">
        <v>34</v>
      </c>
      <c r="E45" s="32" t="s">
        <v>899</v>
      </c>
      <c r="F45" s="40" t="s">
        <v>959</v>
      </c>
      <c r="G45" s="40" t="s">
        <v>920</v>
      </c>
      <c r="H45" s="40" t="s">
        <v>50</v>
      </c>
      <c r="I45" s="40" t="s">
        <v>960</v>
      </c>
      <c r="J45" s="40">
        <v>8007.0</v>
      </c>
      <c r="K45" s="32" t="s">
        <v>961</v>
      </c>
      <c r="L45" s="40" t="s">
        <v>962</v>
      </c>
      <c r="M45" s="40" t="s">
        <v>169</v>
      </c>
      <c r="N45" s="40">
        <v>2.0</v>
      </c>
      <c r="O45" s="40" t="s">
        <v>42</v>
      </c>
      <c r="P45" s="40">
        <v>2.0</v>
      </c>
      <c r="Q45" s="32" t="s">
        <v>42</v>
      </c>
      <c r="R45" s="40">
        <v>0.15</v>
      </c>
      <c r="S45" s="40" t="s">
        <v>44</v>
      </c>
      <c r="T45" s="40">
        <v>30.0</v>
      </c>
      <c r="U45" s="40">
        <v>1524.0</v>
      </c>
      <c r="V45" s="40" t="s">
        <v>42</v>
      </c>
      <c r="W45" s="40">
        <v>9144.0</v>
      </c>
      <c r="X45" s="40" t="s">
        <v>42</v>
      </c>
      <c r="Y45" s="32">
        <v>4.19</v>
      </c>
      <c r="Z45" s="32" t="s">
        <v>46</v>
      </c>
      <c r="AA45" s="40" t="s">
        <v>44</v>
      </c>
      <c r="AB45" s="32">
        <v>13.0</v>
      </c>
      <c r="AC45" s="60" t="s">
        <v>61</v>
      </c>
      <c r="AD45" s="43">
        <f t="shared" si="1"/>
        <v>54.47</v>
      </c>
      <c r="AF45" s="32">
        <v>25.0</v>
      </c>
      <c r="AG45" s="43">
        <f t="shared" si="2"/>
        <v>0</v>
      </c>
      <c r="AN45" s="43" t="str">
        <f>IFERROR(__xludf.DUMMYFUNCTION("AI(""Completa un valor adecuado para esta celda en función del contexto de la tabla"")"),"Este piso vinílico tipo LVT cuenta con un espesor total de 2 mm y una capa de uso de 0,15 mm, ideal para uso residencial. Presenta un sistema de colocación para pegar que asegura una instalación firme y duradera. Fabricado en China bajo la línea Dryback d"&amp;"e MaxCore, cada caja rinde 4,19 m2 y contiene 30 tablas de 1524 mm por 9144 mm.")</f>
        <v>Este piso vinílico tipo LVT cuenta con un espesor total de 2 mm y una capa de uso de 0,15 mm, ideal para uso residencial. Presenta un sistema de colocación para pegar que asegura una instalación firme y duradera. Fabricado en China bajo la línea Dryback de MaxCore, cada caja rinde 4,19 m2 y contiene 30 tablas de 1524 mm por 9144 mm.</v>
      </c>
    </row>
    <row r="46" ht="15.75" customHeight="1">
      <c r="A46" s="58">
        <v>23541.0</v>
      </c>
      <c r="B46" s="40">
        <v>2.0</v>
      </c>
      <c r="C46" s="32" t="s">
        <v>33</v>
      </c>
      <c r="D46" s="32" t="s">
        <v>34</v>
      </c>
      <c r="E46" s="32" t="s">
        <v>899</v>
      </c>
      <c r="F46" s="40" t="s">
        <v>959</v>
      </c>
      <c r="G46" s="40" t="s">
        <v>920</v>
      </c>
      <c r="H46" s="40" t="s">
        <v>50</v>
      </c>
      <c r="I46" s="40" t="s">
        <v>963</v>
      </c>
      <c r="J46" s="40">
        <v>8881.0</v>
      </c>
      <c r="K46" s="32" t="s">
        <v>961</v>
      </c>
      <c r="L46" s="40" t="s">
        <v>962</v>
      </c>
      <c r="M46" s="40" t="s">
        <v>169</v>
      </c>
      <c r="N46" s="40">
        <v>2.0</v>
      </c>
      <c r="O46" s="40" t="s">
        <v>42</v>
      </c>
      <c r="P46" s="40">
        <v>2.0</v>
      </c>
      <c r="Q46" s="32" t="s">
        <v>42</v>
      </c>
      <c r="R46" s="40">
        <v>0.15</v>
      </c>
      <c r="S46" s="40" t="s">
        <v>44</v>
      </c>
      <c r="T46" s="40">
        <v>30.0</v>
      </c>
      <c r="U46" s="40">
        <v>1524.0</v>
      </c>
      <c r="V46" s="40" t="s">
        <v>42</v>
      </c>
      <c r="W46" s="40">
        <v>9144.0</v>
      </c>
      <c r="X46" s="40" t="s">
        <v>42</v>
      </c>
      <c r="Y46" s="32">
        <v>4.19</v>
      </c>
      <c r="Z46" s="32" t="s">
        <v>46</v>
      </c>
      <c r="AA46" s="40" t="s">
        <v>44</v>
      </c>
      <c r="AB46" s="32">
        <v>13.0</v>
      </c>
      <c r="AC46" s="60" t="s">
        <v>61</v>
      </c>
      <c r="AD46" s="43">
        <f t="shared" si="1"/>
        <v>54.47</v>
      </c>
      <c r="AF46" s="32">
        <v>25.0</v>
      </c>
      <c r="AG46" s="43">
        <f t="shared" si="2"/>
        <v>0</v>
      </c>
      <c r="AN46" s="43" t="str">
        <f>IFERROR(__xludf.DUMMYFUNCTION("AI(""Completa un valor adecuado para esta celda en función del contexto de la tabla"")"),"Este piso vinílico tipo LVT cuenta con un espesor total de 2 mm y una capa de uso de 0,15 mm, ideal para uso residencial. Presenta un sistema de colocación para pegar y no incluye manto incorporado. Fabricado en China bajo la línea Dryback, cada caja rind"&amp;"e 4,19 m2 y contiene 30 tablas de 1524 mm por 9144 mm.")</f>
        <v>Este piso vinílico tipo LVT cuenta con un espesor total de 2 mm y una capa de uso de 0,15 mm, ideal para uso residencial. Presenta un sistema de colocación para pegar y no incluye manto incorporado. Fabricado en China bajo la línea Dryback, cada caja rinde 4,19 m2 y contiene 30 tablas de 1524 mm por 9144 mm.</v>
      </c>
    </row>
    <row r="47" ht="15.75" customHeight="1">
      <c r="A47" s="58">
        <v>23539.0</v>
      </c>
      <c r="B47" s="40">
        <v>2.0</v>
      </c>
      <c r="C47" s="32" t="s">
        <v>33</v>
      </c>
      <c r="D47" s="32" t="s">
        <v>34</v>
      </c>
      <c r="E47" s="32" t="s">
        <v>899</v>
      </c>
      <c r="F47" s="40" t="s">
        <v>959</v>
      </c>
      <c r="G47" s="40" t="s">
        <v>920</v>
      </c>
      <c r="H47" s="40" t="s">
        <v>50</v>
      </c>
      <c r="I47" s="40" t="s">
        <v>384</v>
      </c>
      <c r="J47" s="40">
        <v>8884.0</v>
      </c>
      <c r="K47" s="32" t="s">
        <v>961</v>
      </c>
      <c r="L47" s="40" t="s">
        <v>962</v>
      </c>
      <c r="M47" s="40" t="s">
        <v>169</v>
      </c>
      <c r="N47" s="40">
        <v>2.0</v>
      </c>
      <c r="O47" s="40" t="s">
        <v>42</v>
      </c>
      <c r="P47" s="40">
        <v>2.0</v>
      </c>
      <c r="Q47" s="32" t="s">
        <v>42</v>
      </c>
      <c r="R47" s="40">
        <v>0.15</v>
      </c>
      <c r="S47" s="40" t="s">
        <v>44</v>
      </c>
      <c r="T47" s="40">
        <v>30.0</v>
      </c>
      <c r="U47" s="40">
        <v>1524.0</v>
      </c>
      <c r="V47" s="40" t="s">
        <v>42</v>
      </c>
      <c r="W47" s="40">
        <v>9144.0</v>
      </c>
      <c r="X47" s="40" t="s">
        <v>42</v>
      </c>
      <c r="Y47" s="32">
        <v>4.19</v>
      </c>
      <c r="Z47" s="32" t="s">
        <v>46</v>
      </c>
      <c r="AA47" s="40" t="s">
        <v>44</v>
      </c>
      <c r="AB47" s="32">
        <v>13.0</v>
      </c>
      <c r="AC47" s="60" t="s">
        <v>61</v>
      </c>
      <c r="AD47" s="43">
        <f t="shared" si="1"/>
        <v>54.47</v>
      </c>
      <c r="AF47" s="32">
        <v>25.0</v>
      </c>
      <c r="AG47" s="43">
        <f t="shared" si="2"/>
        <v>0</v>
      </c>
      <c r="AN47" s="43" t="str">
        <f>IFERROR(__xludf.DUMMYFUNCTION("AI(""Completa un valor adecuado para esta celda en función del contexto de la tabla"")"),"Este piso vinílico tipo LVT cuenta con un espesor total de 2 mm y una capa de uso de 0,15 mm, diseñado para uso residencial. Su sistema de instalación es mediante pegado (Dryback), lo que asegura una fijación permanente. Fabricado en China bajo la marca M"&amp;"axCore, cada caja rinde 4,19 m2 y contiene 30 tablas de 1524 mm por 9144 mm, ofreciendo un acabado símil madera sin bisel.")</f>
        <v>Este piso vinílico tipo LVT cuenta con un espesor total de 2 mm y una capa de uso de 0,15 mm, diseñado para uso residencial. Su sistema de instalación es mediante pegado (Dryback), lo que asegura una fijación permanente. Fabricado en China bajo la marca MaxCore, cada caja rinde 4,19 m2 y contiene 30 tablas de 1524 mm por 9144 mm, ofreciendo un acabado símil madera sin bisel.</v>
      </c>
    </row>
    <row r="48" ht="15.75" customHeight="1">
      <c r="A48" s="58">
        <v>23540.0</v>
      </c>
      <c r="B48" s="40">
        <v>2.0</v>
      </c>
      <c r="C48" s="32" t="s">
        <v>33</v>
      </c>
      <c r="D48" s="32" t="s">
        <v>34</v>
      </c>
      <c r="E48" s="32" t="s">
        <v>899</v>
      </c>
      <c r="F48" s="40" t="s">
        <v>959</v>
      </c>
      <c r="G48" s="40" t="s">
        <v>920</v>
      </c>
      <c r="H48" s="40" t="s">
        <v>50</v>
      </c>
      <c r="I48" s="40" t="s">
        <v>835</v>
      </c>
      <c r="J48" s="40">
        <v>8889.0</v>
      </c>
      <c r="K48" s="32" t="s">
        <v>961</v>
      </c>
      <c r="L48" s="40" t="s">
        <v>962</v>
      </c>
      <c r="M48" s="40" t="s">
        <v>169</v>
      </c>
      <c r="N48" s="40">
        <v>2.0</v>
      </c>
      <c r="O48" s="40" t="s">
        <v>42</v>
      </c>
      <c r="P48" s="40">
        <v>2.0</v>
      </c>
      <c r="Q48" s="32" t="s">
        <v>42</v>
      </c>
      <c r="R48" s="40">
        <v>0.15</v>
      </c>
      <c r="S48" s="40" t="s">
        <v>44</v>
      </c>
      <c r="T48" s="40">
        <v>30.0</v>
      </c>
      <c r="U48" s="40">
        <v>1524.0</v>
      </c>
      <c r="V48" s="40" t="s">
        <v>42</v>
      </c>
      <c r="W48" s="40">
        <v>9144.0</v>
      </c>
      <c r="X48" s="40" t="s">
        <v>42</v>
      </c>
      <c r="Y48" s="32">
        <v>4.19</v>
      </c>
      <c r="Z48" s="32" t="s">
        <v>46</v>
      </c>
      <c r="AA48" s="40" t="s">
        <v>44</v>
      </c>
      <c r="AB48" s="32">
        <v>13.0</v>
      </c>
      <c r="AC48" s="60" t="s">
        <v>61</v>
      </c>
      <c r="AD48" s="43">
        <f t="shared" si="1"/>
        <v>54.47</v>
      </c>
      <c r="AF48" s="32">
        <v>25.0</v>
      </c>
      <c r="AG48" s="43">
        <f t="shared" si="2"/>
        <v>0</v>
      </c>
      <c r="AN48" s="43" t="str">
        <f>IFERROR(__xludf.DUMMYFUNCTION("AI(""Completa un valor adecuado para esta celda en función del contexto de la tabla"")"),"Este piso vinílico tipo LVT cuenta con un espesor total de 2 mm y una capa de uso de 0,15 mm, diseñado especialmente para uso residencial. Su sistema de instalación mediante pegado asegura una fijación estable y duradera sobre la superficie. Fabricado en "&amp;"China bajo la línea Dryback de la marca MaxCore, cada caja rinde 4,19 m2 y contiene 30 tablas de 1524 mm por 9144 mm, ofreciendo una solución estética y resistente para ambientes interiores.")</f>
        <v>Este piso vinílico tipo LVT cuenta con un espesor total de 2 mm y una capa de uso de 0,15 mm, diseñado especialmente para uso residencial. Su sistema de instalación mediante pegado asegura una fijación estable y duradera sobre la superficie. Fabricado en China bajo la línea Dryback de la marca MaxCore, cada caja rinde 4,19 m2 y contiene 30 tablas de 1524 mm por 9144 mm, ofreciendo una solución estética y resistente para ambientes interiores.</v>
      </c>
    </row>
    <row r="49" ht="15.75" customHeight="1">
      <c r="A49" s="58">
        <v>19347.0</v>
      </c>
      <c r="B49" s="40">
        <v>2.0</v>
      </c>
      <c r="C49" s="32" t="s">
        <v>33</v>
      </c>
      <c r="D49" s="32" t="s">
        <v>34</v>
      </c>
      <c r="E49" s="32" t="s">
        <v>899</v>
      </c>
      <c r="F49" s="40" t="s">
        <v>959</v>
      </c>
      <c r="G49" s="40" t="s">
        <v>920</v>
      </c>
      <c r="H49" s="40" t="s">
        <v>50</v>
      </c>
      <c r="I49" s="40" t="s">
        <v>964</v>
      </c>
      <c r="J49" s="40">
        <v>15002.0</v>
      </c>
      <c r="K49" s="32" t="s">
        <v>965</v>
      </c>
      <c r="L49" s="40" t="s">
        <v>966</v>
      </c>
      <c r="M49" s="40" t="s">
        <v>169</v>
      </c>
      <c r="N49" s="40">
        <v>2.0</v>
      </c>
      <c r="O49" s="40" t="s">
        <v>42</v>
      </c>
      <c r="P49" s="40">
        <v>2.0</v>
      </c>
      <c r="Q49" s="32" t="s">
        <v>42</v>
      </c>
      <c r="R49" s="40">
        <v>0.15</v>
      </c>
      <c r="S49" s="40" t="s">
        <v>44</v>
      </c>
      <c r="T49" s="40">
        <v>18.0</v>
      </c>
      <c r="U49" s="40">
        <v>1600.0</v>
      </c>
      <c r="V49" s="40" t="s">
        <v>42</v>
      </c>
      <c r="W49" s="40">
        <v>1230.0</v>
      </c>
      <c r="X49" s="40" t="s">
        <v>42</v>
      </c>
      <c r="Y49" s="32">
        <v>3.35</v>
      </c>
      <c r="Z49" s="32" t="s">
        <v>46</v>
      </c>
      <c r="AA49" s="40" t="s">
        <v>44</v>
      </c>
      <c r="AB49" s="32">
        <v>13.0</v>
      </c>
      <c r="AC49" s="60" t="s">
        <v>61</v>
      </c>
      <c r="AD49" s="43">
        <f t="shared" si="1"/>
        <v>43.55</v>
      </c>
      <c r="AF49" s="32">
        <v>25.0</v>
      </c>
      <c r="AG49" s="43">
        <f t="shared" si="2"/>
        <v>0</v>
      </c>
      <c r="AN49" s="43" t="str">
        <f>IFERROR(__xludf.DUMMYFUNCTION("AI(""Completa un valor adecuado para esta celda en función del contexto de la tabla"")"),"Este piso vinílico de tipo LVT, perteneciente a la línea Sierra de la marca One Floor, posee un espesor total de 2 mm y una capa de uso de 0,15 mm, lo que lo hace adecuado para un uso residencial. Su método de instalación es mediante pegado y no incluye m"&amp;"anto incorporado ni bisel. Fabricado en China, este modelo Fresno Colorado se comercializa en cajas que rinden 3,35 m2, conteniendo 18 tablas de 1600 mm de ancho por 1230 mm de largo.")</f>
        <v>Este piso vinílico de tipo LVT, perteneciente a la línea Sierra de la marca One Floor, posee un espesor total de 2 mm y una capa de uso de 0,15 mm, lo que lo hace adecuado para un uso residencial. Su método de instalación es mediante pegado y no incluye manto incorporado ni bisel. Fabricado en China, este modelo Fresno Colorado se comercializa en cajas que rinden 3,35 m2, conteniendo 18 tablas de 1600 mm de ancho por 1230 mm de largo.</v>
      </c>
    </row>
    <row r="50" ht="15.75" customHeight="1">
      <c r="A50" s="58">
        <v>17379.0</v>
      </c>
      <c r="B50" s="40">
        <v>2.0</v>
      </c>
      <c r="C50" s="32" t="s">
        <v>33</v>
      </c>
      <c r="D50" s="32" t="s">
        <v>34</v>
      </c>
      <c r="E50" s="32" t="s">
        <v>899</v>
      </c>
      <c r="F50" s="40" t="s">
        <v>959</v>
      </c>
      <c r="G50" s="40" t="s">
        <v>920</v>
      </c>
      <c r="H50" s="40" t="s">
        <v>50</v>
      </c>
      <c r="I50" s="40" t="s">
        <v>967</v>
      </c>
      <c r="J50" s="40">
        <v>19005.0</v>
      </c>
      <c r="K50" s="32" t="s">
        <v>965</v>
      </c>
      <c r="L50" s="40" t="s">
        <v>966</v>
      </c>
      <c r="M50" s="40" t="s">
        <v>169</v>
      </c>
      <c r="N50" s="40">
        <v>2.0</v>
      </c>
      <c r="O50" s="40" t="s">
        <v>42</v>
      </c>
      <c r="P50" s="40">
        <v>2.0</v>
      </c>
      <c r="Q50" s="32" t="s">
        <v>42</v>
      </c>
      <c r="R50" s="40">
        <v>0.15</v>
      </c>
      <c r="S50" s="40" t="s">
        <v>44</v>
      </c>
      <c r="T50" s="40">
        <v>20.0</v>
      </c>
      <c r="U50" s="40">
        <v>1600.0</v>
      </c>
      <c r="V50" s="40" t="s">
        <v>42</v>
      </c>
      <c r="W50" s="40">
        <v>1230.0</v>
      </c>
      <c r="X50" s="40" t="s">
        <v>42</v>
      </c>
      <c r="Y50" s="32">
        <v>3.94</v>
      </c>
      <c r="Z50" s="32" t="s">
        <v>46</v>
      </c>
      <c r="AA50" s="40" t="s">
        <v>44</v>
      </c>
      <c r="AB50" s="32">
        <v>13.0</v>
      </c>
      <c r="AC50" s="60" t="s">
        <v>61</v>
      </c>
      <c r="AD50" s="43">
        <f t="shared" si="1"/>
        <v>51.22</v>
      </c>
      <c r="AF50" s="32">
        <v>25.0</v>
      </c>
      <c r="AG50" s="43">
        <f t="shared" si="2"/>
        <v>0</v>
      </c>
      <c r="AN50" s="43" t="str">
        <f>IFERROR(__xludf.DUMMYFUNCTION("AI(""Completa un valor adecuado para esta celda en función del contexto de la tabla"")"),"Este piso vinílico tipo LVT cuenta con un espesor total de 2 mm y una capa de uso de 0,15 mm, ideal para uso residencial. Presenta un sistema de colocación para pegar que asegura una instalación firme y estable. Fabricado en China por One Floor bajo la lí"&amp;"nea Sierra, cada caja rinde 3,94 m2 y contiene 20 tablas de 1600 mm por 1230 mm.")</f>
        <v>Este piso vinílico tipo LVT cuenta con un espesor total de 2 mm y una capa de uso de 0,15 mm, ideal para uso residencial. Presenta un sistema de colocación para pegar que asegura una instalación firme y estable. Fabricado en China por One Floor bajo la línea Sierra, cada caja rinde 3,94 m2 y contiene 20 tablas de 1600 mm por 1230 mm.</v>
      </c>
    </row>
    <row r="51" ht="15.75" customHeight="1">
      <c r="A51" s="58">
        <v>18729.0</v>
      </c>
      <c r="B51" s="40">
        <v>2.0</v>
      </c>
      <c r="C51" s="32" t="s">
        <v>33</v>
      </c>
      <c r="D51" s="32" t="s">
        <v>34</v>
      </c>
      <c r="E51" s="32" t="s">
        <v>899</v>
      </c>
      <c r="F51" s="40" t="s">
        <v>959</v>
      </c>
      <c r="G51" s="40" t="s">
        <v>920</v>
      </c>
      <c r="H51" s="40" t="s">
        <v>50</v>
      </c>
      <c r="I51" s="40" t="s">
        <v>968</v>
      </c>
      <c r="J51" s="40">
        <v>1001.0</v>
      </c>
      <c r="K51" s="32" t="s">
        <v>965</v>
      </c>
      <c r="L51" s="40" t="s">
        <v>969</v>
      </c>
      <c r="M51" s="40" t="s">
        <v>169</v>
      </c>
      <c r="N51" s="40">
        <v>2.0</v>
      </c>
      <c r="O51" s="40" t="s">
        <v>42</v>
      </c>
      <c r="P51" s="40">
        <v>3.0</v>
      </c>
      <c r="Q51" s="32" t="s">
        <v>42</v>
      </c>
      <c r="R51" s="40">
        <v>0.2</v>
      </c>
      <c r="S51" s="40" t="s">
        <v>44</v>
      </c>
      <c r="T51" s="40">
        <v>20.0</v>
      </c>
      <c r="U51" s="40">
        <v>1600.0</v>
      </c>
      <c r="V51" s="40" t="s">
        <v>42</v>
      </c>
      <c r="W51" s="40">
        <v>1230.0</v>
      </c>
      <c r="X51" s="40" t="s">
        <v>42</v>
      </c>
      <c r="Y51" s="32">
        <v>4.5</v>
      </c>
      <c r="Z51" s="32" t="s">
        <v>46</v>
      </c>
      <c r="AA51" s="40" t="s">
        <v>44</v>
      </c>
      <c r="AB51" s="32">
        <v>14.0</v>
      </c>
      <c r="AC51" s="60" t="s">
        <v>61</v>
      </c>
      <c r="AD51" s="43">
        <f t="shared" si="1"/>
        <v>63</v>
      </c>
      <c r="AE51" s="32">
        <v>60.0</v>
      </c>
      <c r="AF51" s="32">
        <v>25.0</v>
      </c>
      <c r="AG51" s="43">
        <f t="shared" si="2"/>
        <v>1500</v>
      </c>
      <c r="AN51" s="43" t="str">
        <f>IFERROR(__xludf.DUMMYFUNCTION("AI(""Completa un valor adecuado para esta celda en función del contexto de la tabla"")"),"Este piso vinílico tipo LVT cuenta con un espesor total de 2 mm y una capa de uso de 0,2 mm, ideal para uso residencial. Presenta un sistema de colocación para pegar que asegura su durabilidad, aunque no incluye manto incorporado. Fabricado en China bajo "&amp;"la línea Oasis, cada caja rinde 4,5 m2 y contiene 20 tablas de 1600 mm por 1230 mm.")</f>
        <v>Este piso vinílico tipo LVT cuenta con un espesor total de 2 mm y una capa de uso de 0,2 mm, ideal para uso residencial. Presenta un sistema de colocación para pegar que asegura su durabilidad, aunque no incluye manto incorporado. Fabricado en China bajo la línea Oasis, cada caja rinde 4,5 m2 y contiene 20 tablas de 1600 mm por 1230 mm.</v>
      </c>
    </row>
    <row r="52" ht="15.75" customHeight="1">
      <c r="A52" s="58">
        <v>18731.0</v>
      </c>
      <c r="B52" s="40">
        <v>2.0</v>
      </c>
      <c r="C52" s="32" t="s">
        <v>33</v>
      </c>
      <c r="D52" s="32" t="s">
        <v>34</v>
      </c>
      <c r="E52" s="32" t="s">
        <v>899</v>
      </c>
      <c r="F52" s="40" t="s">
        <v>959</v>
      </c>
      <c r="G52" s="40" t="s">
        <v>920</v>
      </c>
      <c r="H52" s="40" t="s">
        <v>50</v>
      </c>
      <c r="I52" s="40" t="s">
        <v>970</v>
      </c>
      <c r="J52" s="40">
        <v>1009.0</v>
      </c>
      <c r="K52" s="32" t="s">
        <v>965</v>
      </c>
      <c r="L52" s="40" t="s">
        <v>969</v>
      </c>
      <c r="M52" s="40" t="s">
        <v>169</v>
      </c>
      <c r="N52" s="40">
        <v>2.0</v>
      </c>
      <c r="O52" s="40" t="s">
        <v>42</v>
      </c>
      <c r="P52" s="40">
        <v>3.0</v>
      </c>
      <c r="Q52" s="32" t="s">
        <v>42</v>
      </c>
      <c r="R52" s="40">
        <v>0.2</v>
      </c>
      <c r="S52" s="40" t="s">
        <v>44</v>
      </c>
      <c r="T52" s="40">
        <v>20.0</v>
      </c>
      <c r="U52" s="40">
        <v>1600.0</v>
      </c>
      <c r="V52" s="40" t="s">
        <v>42</v>
      </c>
      <c r="W52" s="40">
        <v>1230.0</v>
      </c>
      <c r="X52" s="40" t="s">
        <v>42</v>
      </c>
      <c r="Y52" s="32">
        <v>4.5</v>
      </c>
      <c r="Z52" s="32" t="s">
        <v>46</v>
      </c>
      <c r="AA52" s="40" t="s">
        <v>44</v>
      </c>
      <c r="AB52" s="32">
        <v>14.0</v>
      </c>
      <c r="AC52" s="60" t="s">
        <v>61</v>
      </c>
      <c r="AD52" s="43">
        <f t="shared" si="1"/>
        <v>63</v>
      </c>
      <c r="AF52" s="32">
        <v>25.0</v>
      </c>
      <c r="AG52" s="43">
        <f t="shared" si="2"/>
        <v>0</v>
      </c>
      <c r="AN52" s="43" t="str">
        <f>IFERROR(__xludf.DUMMYFUNCTION("AI(""Completa un valor adecuado para esta celda en función del contexto de la tabla"")"),"Este piso vinílico tipo LVT cuenta con un espesor total de 2 mm y una capa de uso de 0,2 mm, ideal para uso residencial. Presenta un sistema de colocación para pegar, no incluye manto incorporado ni bisel. Fabricado en China bajo la línea Oasis de One Flo"&amp;"or, cada caja rinde 4,5 m2 y contiene 20 tablas de 1600 mm por 1230 mm.")</f>
        <v>Este piso vinílico tipo LVT cuenta con un espesor total de 2 mm y una capa de uso de 0,2 mm, ideal para uso residencial. Presenta un sistema de colocación para pegar, no incluye manto incorporado ni bisel. Fabricado en China bajo la línea Oasis de One Floor, cada caja rinde 4,5 m2 y contiene 20 tablas de 1600 mm por 1230 mm.</v>
      </c>
    </row>
    <row r="53" ht="15.75" customHeight="1">
      <c r="A53" s="58">
        <v>20814.0</v>
      </c>
      <c r="B53" s="40">
        <v>3.0</v>
      </c>
      <c r="C53" s="32" t="s">
        <v>33</v>
      </c>
      <c r="D53" s="32" t="s">
        <v>34</v>
      </c>
      <c r="E53" s="32" t="s">
        <v>899</v>
      </c>
      <c r="F53" s="40" t="s">
        <v>900</v>
      </c>
      <c r="G53" s="40" t="s">
        <v>920</v>
      </c>
      <c r="H53" s="40" t="s">
        <v>50</v>
      </c>
      <c r="I53" s="40" t="s">
        <v>971</v>
      </c>
      <c r="J53" s="40" t="s">
        <v>971</v>
      </c>
      <c r="K53" s="5" t="s">
        <v>903</v>
      </c>
      <c r="L53" s="40" t="s">
        <v>60</v>
      </c>
      <c r="M53" s="40" t="s">
        <v>169</v>
      </c>
      <c r="N53" s="40">
        <v>5.0</v>
      </c>
      <c r="O53" s="40" t="s">
        <v>42</v>
      </c>
      <c r="P53" s="40">
        <v>5.0</v>
      </c>
      <c r="Q53" s="32" t="s">
        <v>42</v>
      </c>
      <c r="R53" s="40">
        <v>0.25</v>
      </c>
      <c r="S53" s="40" t="s">
        <v>44</v>
      </c>
      <c r="T53" s="40">
        <v>8.0</v>
      </c>
      <c r="U53" s="40">
        <v>180.0</v>
      </c>
      <c r="V53" s="40" t="s">
        <v>42</v>
      </c>
      <c r="W53" s="40">
        <v>1210.0</v>
      </c>
      <c r="X53" s="40" t="s">
        <v>42</v>
      </c>
      <c r="Y53" s="32">
        <v>1.75</v>
      </c>
      <c r="Z53" s="32" t="s">
        <v>46</v>
      </c>
      <c r="AA53" s="40" t="s">
        <v>44</v>
      </c>
      <c r="AB53" s="32">
        <v>12.0</v>
      </c>
      <c r="AC53" s="40" t="s">
        <v>61</v>
      </c>
      <c r="AD53" s="43">
        <f t="shared" si="1"/>
        <v>21</v>
      </c>
      <c r="AF53" s="32">
        <v>25.0</v>
      </c>
      <c r="AG53" s="32">
        <v>0.0</v>
      </c>
      <c r="AH53" s="32">
        <v>160.0</v>
      </c>
      <c r="AN53" s="43" t="str">
        <f>IFERROR(__xludf.DUMMYFUNCTION("AI(""Completa un valor adecuado para esta celda en función del contexto de la tabla"")"),"Este piso vinílico tipo LVT cuenta con un espesor total de 5 mm y una capa de uso de 0,25 mm, ideal para uso residencial. Presenta un sistema de colocación Click que facilita su instalación y no incluye manto incorporado. Fabricado en China bajo la línea "&amp;"de oferta, cada caja rinde 1,75 m2 y contiene 8 tablas de 180 mm por 1210 mm.")</f>
        <v>Este piso vinílico tipo LVT cuenta con un espesor total de 5 mm y una capa de uso de 0,25 mm, ideal para uso residencial. Presenta un sistema de colocación Click que facilita su instalación y no incluye manto incorporado. Fabricado en China bajo la línea de oferta, cada caja rinde 1,75 m2 y contiene 8 tablas de 180 mm por 1210 mm.</v>
      </c>
    </row>
    <row r="54" ht="15.75" customHeight="1">
      <c r="A54" s="58">
        <v>22305.0</v>
      </c>
      <c r="B54" s="40">
        <v>2.0</v>
      </c>
      <c r="C54" s="32" t="s">
        <v>33</v>
      </c>
      <c r="D54" s="32" t="s">
        <v>34</v>
      </c>
      <c r="E54" s="32" t="s">
        <v>899</v>
      </c>
      <c r="F54" s="40" t="s">
        <v>900</v>
      </c>
      <c r="G54" s="40" t="s">
        <v>972</v>
      </c>
      <c r="H54" s="40" t="s">
        <v>50</v>
      </c>
      <c r="I54" s="40">
        <v>43127.0</v>
      </c>
      <c r="J54" s="40">
        <v>43127.0</v>
      </c>
      <c r="K54" s="5" t="s">
        <v>903</v>
      </c>
      <c r="L54" s="40" t="s">
        <v>60</v>
      </c>
      <c r="M54" s="40" t="s">
        <v>169</v>
      </c>
      <c r="N54" s="40">
        <v>4.0</v>
      </c>
      <c r="O54" s="40" t="s">
        <v>42</v>
      </c>
      <c r="P54" s="40">
        <v>4.0</v>
      </c>
      <c r="Q54" s="32" t="s">
        <v>42</v>
      </c>
      <c r="R54" s="40">
        <v>0.3</v>
      </c>
      <c r="S54" s="40" t="s">
        <v>44</v>
      </c>
      <c r="T54" s="40">
        <v>20.0</v>
      </c>
      <c r="U54" s="40">
        <v>150.0</v>
      </c>
      <c r="V54" s="40" t="s">
        <v>42</v>
      </c>
      <c r="W54" s="40">
        <v>935.0</v>
      </c>
      <c r="X54" s="40" t="s">
        <v>42</v>
      </c>
      <c r="Y54" s="32">
        <v>2.91</v>
      </c>
      <c r="Z54" s="32" t="s">
        <v>46</v>
      </c>
      <c r="AA54" s="40" t="s">
        <v>44</v>
      </c>
      <c r="AB54" s="32">
        <v>12.0</v>
      </c>
      <c r="AC54" s="40" t="s">
        <v>61</v>
      </c>
      <c r="AD54" s="43">
        <f t="shared" si="1"/>
        <v>34.92</v>
      </c>
      <c r="AF54" s="32">
        <v>25.0</v>
      </c>
      <c r="AG54" s="32">
        <v>0.0</v>
      </c>
      <c r="AH54" s="32">
        <v>418.0</v>
      </c>
      <c r="AN54"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de oferta, cada caja rinde 2,91 "&amp;"m2 y contiene 20 tablas de 150 mm por 935 mm.")</f>
        <v>Este piso vinílico tipo SPC cuenta con un espesor total de 4 mm y una capa de uso de 0,3 mm, ideal para uso residencial. Presenta un sistema de colocación Click que facilita su instalación. Fabricado en China bajo la línea de oferta, cada caja rinde 2,91 m2 y contiene 20 tablas de 150 mm por 935 mm.</v>
      </c>
    </row>
    <row r="55" ht="15.75" customHeight="1">
      <c r="A55" s="58">
        <v>22382.0</v>
      </c>
      <c r="B55" s="40">
        <v>2.0</v>
      </c>
      <c r="C55" s="32" t="s">
        <v>33</v>
      </c>
      <c r="D55" s="32" t="s">
        <v>34</v>
      </c>
      <c r="E55" s="32" t="s">
        <v>899</v>
      </c>
      <c r="F55" s="40" t="s">
        <v>900</v>
      </c>
      <c r="G55" s="40" t="s">
        <v>972</v>
      </c>
      <c r="H55" s="40" t="s">
        <v>50</v>
      </c>
      <c r="I55" s="40" t="s">
        <v>973</v>
      </c>
      <c r="J55" s="40" t="s">
        <v>974</v>
      </c>
      <c r="K55" s="32" t="s">
        <v>961</v>
      </c>
      <c r="L55" s="40" t="s">
        <v>60</v>
      </c>
      <c r="M55" s="40" t="s">
        <v>54</v>
      </c>
      <c r="N55" s="40">
        <v>5.0</v>
      </c>
      <c r="O55" s="40" t="s">
        <v>42</v>
      </c>
      <c r="P55" s="40">
        <v>4.0</v>
      </c>
      <c r="Q55" s="32" t="s">
        <v>42</v>
      </c>
      <c r="R55" s="40">
        <v>0.55</v>
      </c>
      <c r="S55" s="40" t="s">
        <v>44</v>
      </c>
      <c r="T55" s="40">
        <v>10.0</v>
      </c>
      <c r="U55" s="40">
        <v>305.0</v>
      </c>
      <c r="V55" s="40" t="s">
        <v>42</v>
      </c>
      <c r="W55" s="40">
        <v>610.0</v>
      </c>
      <c r="X55" s="40" t="s">
        <v>42</v>
      </c>
      <c r="Y55" s="32">
        <v>1.86</v>
      </c>
      <c r="Z55" s="32" t="s">
        <v>46</v>
      </c>
      <c r="AA55" s="40" t="s">
        <v>44</v>
      </c>
      <c r="AB55" s="32">
        <v>12.0</v>
      </c>
      <c r="AC55" s="40" t="s">
        <v>61</v>
      </c>
      <c r="AD55" s="43">
        <f t="shared" si="1"/>
        <v>22.32</v>
      </c>
      <c r="AF55" s="32">
        <v>15.0</v>
      </c>
      <c r="AG55" s="32">
        <v>0.0</v>
      </c>
      <c r="AH55" s="32">
        <v>3667.0</v>
      </c>
      <c r="AN55" s="43" t="str">
        <f>IFERROR(__xludf.DUMMYFUNCTION("AI(""Completa un valor adecuado para esta celda en función del contexto de la tabla"")"),"Este piso vinílico tipo SPC cuenta con un espesor total de 5 mm y una capa de uso de 0,55 mm, lo que lo hace apto para un uso comercial. Presenta un sistema de colocación Click que facilita su instalación y no incluye manto incorporado. Fabricado en China"&amp;" bajo la marca MaxCore y la línea de oferta, cada caja rinde 1,86 m2 y contiene 10 tablas de 305 mm por 610 mm.")</f>
        <v>Este piso vinílico tipo SPC cuenta con un espesor total de 5 mm y una capa de uso de 0,55 mm, lo que lo hace apto para un uso comercial. Presenta un sistema de colocación Click que facilita su instalación y no incluye manto incorporado. Fabricado en China bajo la marca MaxCore y la línea de oferta, cada caja rinde 1,86 m2 y contiene 10 tablas de 305 mm por 610 mm.</v>
      </c>
    </row>
    <row r="56" ht="15.75" customHeight="1">
      <c r="A56" s="58">
        <v>18185.0</v>
      </c>
      <c r="B56" s="40">
        <v>2.0</v>
      </c>
      <c r="C56" s="32" t="s">
        <v>33</v>
      </c>
      <c r="D56" s="32" t="s">
        <v>34</v>
      </c>
      <c r="E56" s="32" t="s">
        <v>899</v>
      </c>
      <c r="F56" s="40" t="s">
        <v>900</v>
      </c>
      <c r="G56" s="40" t="s">
        <v>920</v>
      </c>
      <c r="H56" s="40" t="s">
        <v>50</v>
      </c>
      <c r="I56" s="40" t="s">
        <v>975</v>
      </c>
      <c r="J56" s="40">
        <v>973.0</v>
      </c>
      <c r="K56" s="32" t="s">
        <v>965</v>
      </c>
      <c r="L56" s="40" t="s">
        <v>60</v>
      </c>
      <c r="M56" s="40" t="s">
        <v>169</v>
      </c>
      <c r="N56" s="40">
        <v>4.0</v>
      </c>
      <c r="O56" s="40" t="s">
        <v>42</v>
      </c>
      <c r="P56" s="40">
        <v>4.0</v>
      </c>
      <c r="Q56" s="32" t="s">
        <v>42</v>
      </c>
      <c r="R56" s="40">
        <v>0.3</v>
      </c>
      <c r="S56" s="40" t="s">
        <v>44</v>
      </c>
      <c r="T56" s="40">
        <v>12.0</v>
      </c>
      <c r="U56" s="40">
        <v>180.0</v>
      </c>
      <c r="V56" s="40" t="s">
        <v>42</v>
      </c>
      <c r="W56" s="40">
        <v>1210.0</v>
      </c>
      <c r="X56" s="40" t="s">
        <v>42</v>
      </c>
      <c r="Y56" s="32">
        <v>2.63</v>
      </c>
      <c r="Z56" s="32" t="s">
        <v>46</v>
      </c>
      <c r="AA56" s="40" t="s">
        <v>44</v>
      </c>
      <c r="AB56" s="32">
        <v>12.8</v>
      </c>
      <c r="AC56" s="40" t="s">
        <v>61</v>
      </c>
      <c r="AD56" s="43">
        <f t="shared" si="1"/>
        <v>33.664</v>
      </c>
      <c r="AF56" s="32">
        <v>25.0</v>
      </c>
      <c r="AG56" s="32">
        <v>0.0</v>
      </c>
      <c r="AH56" s="32">
        <v>1440.0</v>
      </c>
      <c r="AN56" s="43" t="str">
        <f>IFERROR(__xludf.DUMMYFUNCTION("AI(""Completa un valor adecuado para esta celda en función del contexto de la tabla"")"),"Este piso vinílico tipo LVT cuenta con un espesor total de 4 mm y una capa de uso de 0,3 mm, ideal para uso residencial. Presenta un sistema de colocación Click que facilita su instalación. Fabricado en China bajo la línea de oferta, cada caja rinde 2,63 "&amp;"m2 y contiene 12 tablas de 180 mm por 1210 mm.")</f>
        <v>Este piso vinílico tipo LVT cuenta con un espesor total de 4 mm y una capa de uso de 0,3 mm, ideal para uso residencial. Presenta un sistema de colocación Click que facilita su instalación. Fabricado en China bajo la línea de oferta, cada caja rinde 2,63 m2 y contiene 12 tablas de 180 mm por 1210 mm.</v>
      </c>
    </row>
    <row r="57" ht="15.75" customHeight="1">
      <c r="A57" s="58">
        <v>23512.0</v>
      </c>
      <c r="B57" s="40">
        <v>2.0</v>
      </c>
      <c r="C57" s="32" t="s">
        <v>33</v>
      </c>
      <c r="D57" s="32" t="s">
        <v>34</v>
      </c>
      <c r="E57" s="32" t="s">
        <v>899</v>
      </c>
      <c r="F57" s="40" t="s">
        <v>900</v>
      </c>
      <c r="G57" s="40" t="s">
        <v>972</v>
      </c>
      <c r="H57" s="40" t="s">
        <v>50</v>
      </c>
      <c r="I57" s="40">
        <v>45130.0</v>
      </c>
      <c r="J57" s="40">
        <v>45130.0</v>
      </c>
      <c r="K57" s="32" t="s">
        <v>961</v>
      </c>
      <c r="L57" s="40" t="s">
        <v>60</v>
      </c>
      <c r="M57" s="40" t="s">
        <v>169</v>
      </c>
      <c r="N57" s="40">
        <v>4.0</v>
      </c>
      <c r="O57" s="40" t="s">
        <v>42</v>
      </c>
      <c r="P57" s="40">
        <v>4.0</v>
      </c>
      <c r="Q57" s="32" t="s">
        <v>42</v>
      </c>
      <c r="R57" s="40">
        <v>0.3</v>
      </c>
      <c r="S57" s="40" t="s">
        <v>44</v>
      </c>
      <c r="T57" s="40">
        <v>20.0</v>
      </c>
      <c r="U57" s="40">
        <v>150.0</v>
      </c>
      <c r="V57" s="40" t="s">
        <v>42</v>
      </c>
      <c r="W57" s="40">
        <v>935.0</v>
      </c>
      <c r="X57" s="40" t="s">
        <v>42</v>
      </c>
      <c r="Y57" s="32">
        <v>2.81</v>
      </c>
      <c r="Z57" s="32" t="s">
        <v>46</v>
      </c>
      <c r="AA57" s="40" t="s">
        <v>44</v>
      </c>
      <c r="AB57" s="32">
        <v>14.15</v>
      </c>
      <c r="AC57" s="40" t="s">
        <v>61</v>
      </c>
      <c r="AD57" s="43">
        <f t="shared" si="1"/>
        <v>39.7615</v>
      </c>
      <c r="AF57" s="32">
        <v>25.0</v>
      </c>
      <c r="AG57" s="32">
        <v>0.0</v>
      </c>
      <c r="AH57" s="32">
        <v>2807.0</v>
      </c>
      <c r="AN57" s="43" t="str">
        <f>IFERROR(__xludf.DUMMYFUNCTION("AI(""Completa un valor adecuado para esta celda en función del contexto de la tabla"")"),"Este piso vinílico tipo SPC cuenta con un espesor total de 4 mm y una capa de uso de 0,3 mm, lo que lo hace ideal para uso residencial. Su sistema de colocación Click permite una instalación rápida y sencilla sin necesidad de adhesivos. Fabricado en China"&amp;" bajo la línea de oferta de MaxCore, cada caja rinde 2,81 m2 y contiene 20 tablas de 150 mm por 935 mm.")</f>
        <v>Este piso vinílico tipo SPC cuenta con un espesor total de 4 mm y una capa de uso de 0,3 mm, lo que lo hace ideal para uso residencial. Su sistema de colocación Click permite una instalación rápida y sencilla sin necesidad de adhesivos. Fabricado en China bajo la línea de oferta de MaxCore, cada caja rinde 2,81 m2 y contiene 20 tablas de 150 mm por 935 mm.</v>
      </c>
    </row>
    <row r="58" ht="15.75" customHeight="1">
      <c r="A58" s="58">
        <v>22304.0</v>
      </c>
      <c r="B58" s="40">
        <v>2.0</v>
      </c>
      <c r="C58" s="32" t="s">
        <v>33</v>
      </c>
      <c r="D58" s="32" t="s">
        <v>34</v>
      </c>
      <c r="E58" s="32" t="s">
        <v>899</v>
      </c>
      <c r="F58" s="40" t="s">
        <v>900</v>
      </c>
      <c r="G58" s="40" t="s">
        <v>972</v>
      </c>
      <c r="H58" s="40" t="s">
        <v>50</v>
      </c>
      <c r="I58" s="40">
        <v>43126.0</v>
      </c>
      <c r="J58" s="40">
        <v>43126.0</v>
      </c>
      <c r="K58" s="32" t="s">
        <v>961</v>
      </c>
      <c r="L58" s="40" t="s">
        <v>60</v>
      </c>
      <c r="M58" s="40" t="s">
        <v>169</v>
      </c>
      <c r="N58" s="40">
        <v>4.0</v>
      </c>
      <c r="O58" s="40" t="s">
        <v>42</v>
      </c>
      <c r="P58" s="40">
        <v>4.0</v>
      </c>
      <c r="Q58" s="32" t="s">
        <v>42</v>
      </c>
      <c r="R58" s="40">
        <v>0.3</v>
      </c>
      <c r="S58" s="40" t="s">
        <v>44</v>
      </c>
      <c r="T58" s="40">
        <v>20.0</v>
      </c>
      <c r="U58" s="40">
        <v>150.0</v>
      </c>
      <c r="V58" s="40" t="s">
        <v>42</v>
      </c>
      <c r="W58" s="40">
        <v>935.0</v>
      </c>
      <c r="X58" s="40" t="s">
        <v>42</v>
      </c>
      <c r="Y58" s="32">
        <v>2.81</v>
      </c>
      <c r="Z58" s="32" t="s">
        <v>46</v>
      </c>
      <c r="AA58" s="40" t="s">
        <v>44</v>
      </c>
      <c r="AB58" s="32">
        <v>14.15</v>
      </c>
      <c r="AC58" s="40" t="s">
        <v>61</v>
      </c>
      <c r="AD58" s="43">
        <f t="shared" si="1"/>
        <v>39.7615</v>
      </c>
      <c r="AF58" s="32">
        <v>25.0</v>
      </c>
      <c r="AG58" s="32">
        <v>0.0</v>
      </c>
      <c r="AH58" s="32">
        <v>1621.0</v>
      </c>
      <c r="AN58"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de oferta de la marca MaxCore, c"&amp;"ada caja rinde 2,81 m2 y contiene 20 tablas de 150 mm por 935 mm.")</f>
        <v>Este piso vinílico tipo SPC cuenta con un espesor total de 4 mm y una capa de uso de 0,3 mm, ideal para uso residencial. Presenta un sistema de colocación Click que facilita su instalación. Fabricado en China bajo la línea de oferta de la marca MaxCore, cada caja rinde 2,81 m2 y contiene 20 tablas de 150 mm por 935 mm.</v>
      </c>
    </row>
    <row r="59" ht="15.75" customHeight="1">
      <c r="A59" s="58">
        <v>23514.0</v>
      </c>
      <c r="B59" s="40">
        <v>2.0</v>
      </c>
      <c r="C59" s="32" t="s">
        <v>33</v>
      </c>
      <c r="D59" s="32" t="s">
        <v>34</v>
      </c>
      <c r="E59" s="32" t="s">
        <v>899</v>
      </c>
      <c r="F59" s="40" t="s">
        <v>900</v>
      </c>
      <c r="G59" s="40" t="s">
        <v>972</v>
      </c>
      <c r="H59" s="40" t="s">
        <v>50</v>
      </c>
      <c r="I59" s="40" t="s">
        <v>976</v>
      </c>
      <c r="J59" s="40" t="s">
        <v>976</v>
      </c>
      <c r="K59" s="32" t="s">
        <v>961</v>
      </c>
      <c r="L59" s="40" t="s">
        <v>60</v>
      </c>
      <c r="M59" s="40" t="s">
        <v>169</v>
      </c>
      <c r="N59" s="40">
        <v>4.0</v>
      </c>
      <c r="O59" s="40" t="s">
        <v>42</v>
      </c>
      <c r="P59" s="40">
        <v>4.0</v>
      </c>
      <c r="Q59" s="32" t="s">
        <v>42</v>
      </c>
      <c r="R59" s="40">
        <v>0.3</v>
      </c>
      <c r="S59" s="40" t="s">
        <v>44</v>
      </c>
      <c r="T59" s="40">
        <v>12.0</v>
      </c>
      <c r="U59" s="40">
        <v>129.0</v>
      </c>
      <c r="V59" s="40" t="s">
        <v>42</v>
      </c>
      <c r="W59" s="40">
        <v>1220.0</v>
      </c>
      <c r="X59" s="40" t="s">
        <v>42</v>
      </c>
      <c r="Y59" s="32">
        <v>1.89</v>
      </c>
      <c r="Z59" s="32" t="s">
        <v>46</v>
      </c>
      <c r="AA59" s="40" t="s">
        <v>44</v>
      </c>
      <c r="AB59" s="32">
        <v>14.45</v>
      </c>
      <c r="AC59" s="40" t="s">
        <v>61</v>
      </c>
      <c r="AD59" s="43">
        <f t="shared" si="1"/>
        <v>27.3105</v>
      </c>
      <c r="AF59" s="32">
        <v>25.0</v>
      </c>
      <c r="AG59" s="32">
        <v>0.0</v>
      </c>
      <c r="AH59" s="32">
        <v>2209.4</v>
      </c>
      <c r="AN59"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de oferta de la marca MaxCore, c"&amp;"ada caja rinde 1,89 m2 y contiene 12 tablas de 129 mm por 1220 mm.")</f>
        <v>Este piso vinílico tipo SPC cuenta con un espesor total de 4 mm y una capa de uso de 0,3 mm, ideal para uso residencial. Presenta un sistema de colocación Click que facilita su instalación. Fabricado en China bajo la línea de oferta de la marca MaxCore, cada caja rinde 1,89 m2 y contiene 12 tablas de 129 mm por 1220 mm.</v>
      </c>
    </row>
    <row r="60" ht="15.75" customHeight="1">
      <c r="A60" s="58">
        <v>24587.0</v>
      </c>
      <c r="B60" s="40">
        <v>2.0</v>
      </c>
      <c r="C60" s="32" t="s">
        <v>33</v>
      </c>
      <c r="D60" s="32" t="s">
        <v>34</v>
      </c>
      <c r="E60" s="32" t="s">
        <v>899</v>
      </c>
      <c r="F60" s="40" t="s">
        <v>900</v>
      </c>
      <c r="G60" s="40" t="s">
        <v>977</v>
      </c>
      <c r="H60" s="40" t="s">
        <v>50</v>
      </c>
      <c r="I60" s="40" t="s">
        <v>978</v>
      </c>
      <c r="J60" s="40" t="s">
        <v>978</v>
      </c>
      <c r="K60" s="32" t="s">
        <v>961</v>
      </c>
      <c r="L60" s="40" t="s">
        <v>60</v>
      </c>
      <c r="M60" s="40" t="s">
        <v>169</v>
      </c>
      <c r="N60" s="40">
        <v>4.0</v>
      </c>
      <c r="O60" s="40" t="s">
        <v>42</v>
      </c>
      <c r="P60" s="40">
        <v>4.0</v>
      </c>
      <c r="Q60" s="32" t="s">
        <v>42</v>
      </c>
      <c r="R60" s="40">
        <v>0.3</v>
      </c>
      <c r="S60" s="40" t="s">
        <v>44</v>
      </c>
      <c r="T60" s="40">
        <v>20.0</v>
      </c>
      <c r="U60" s="40">
        <v>150.0</v>
      </c>
      <c r="V60" s="40" t="s">
        <v>42</v>
      </c>
      <c r="W60" s="40">
        <v>935.0</v>
      </c>
      <c r="X60" s="40" t="s">
        <v>42</v>
      </c>
      <c r="Y60" s="32">
        <v>2.81</v>
      </c>
      <c r="Z60" s="32" t="s">
        <v>46</v>
      </c>
      <c r="AA60" s="40" t="s">
        <v>44</v>
      </c>
      <c r="AB60" s="32">
        <v>14.6</v>
      </c>
      <c r="AC60" s="40" t="s">
        <v>61</v>
      </c>
      <c r="AD60" s="43">
        <f t="shared" si="1"/>
        <v>41.026</v>
      </c>
      <c r="AF60" s="32">
        <v>25.0</v>
      </c>
      <c r="AG60" s="32">
        <v>0.0</v>
      </c>
      <c r="AH60" s="32">
        <v>663.16</v>
      </c>
      <c r="AN60"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sin necesidad de adhesivos. Fabricado en China bajo la línea de o"&amp;"ferta de MaxCore, cada caja rinde 2,81 m2 y contiene 20 tablas de 150 mm por 935 mm.")</f>
        <v>Este piso vinílico tipo SPC cuenta con un espesor total de 4 mm y una capa de uso de 0,3 mm, ideal para uso residencial. Presenta un sistema de colocación Click que facilita su instalación, sin necesidad de adhesivos. Fabricado en China bajo la línea de oferta de MaxCore, cada caja rinde 2,81 m2 y contiene 20 tablas de 150 mm por 935 mm.</v>
      </c>
    </row>
    <row r="61" ht="15.75" customHeight="1">
      <c r="A61" s="58">
        <v>25591.0</v>
      </c>
      <c r="B61" s="40">
        <v>2.0</v>
      </c>
      <c r="C61" s="32" t="s">
        <v>33</v>
      </c>
      <c r="D61" s="32" t="s">
        <v>34</v>
      </c>
      <c r="E61" s="32" t="s">
        <v>899</v>
      </c>
      <c r="F61" s="40" t="s">
        <v>900</v>
      </c>
      <c r="G61" s="40" t="s">
        <v>977</v>
      </c>
      <c r="H61" s="40" t="s">
        <v>50</v>
      </c>
      <c r="I61" s="40" t="s">
        <v>979</v>
      </c>
      <c r="J61" s="40" t="s">
        <v>980</v>
      </c>
      <c r="K61" s="32" t="s">
        <v>961</v>
      </c>
      <c r="L61" s="40" t="s">
        <v>60</v>
      </c>
      <c r="M61" s="40" t="s">
        <v>169</v>
      </c>
      <c r="N61" s="40">
        <v>4.0</v>
      </c>
      <c r="O61" s="40" t="s">
        <v>42</v>
      </c>
      <c r="P61" s="40">
        <v>4.0</v>
      </c>
      <c r="Q61" s="32" t="s">
        <v>42</v>
      </c>
      <c r="R61" s="40">
        <v>0.3</v>
      </c>
      <c r="S61" s="40" t="s">
        <v>44</v>
      </c>
      <c r="T61" s="40">
        <v>20.0</v>
      </c>
      <c r="U61" s="40">
        <v>150.0</v>
      </c>
      <c r="V61" s="40" t="s">
        <v>42</v>
      </c>
      <c r="W61" s="40">
        <v>935.0</v>
      </c>
      <c r="X61" s="40" t="s">
        <v>42</v>
      </c>
      <c r="Y61" s="32">
        <v>2.81</v>
      </c>
      <c r="Z61" s="32" t="s">
        <v>46</v>
      </c>
      <c r="AA61" s="40" t="s">
        <v>44</v>
      </c>
      <c r="AB61" s="32">
        <v>14.6</v>
      </c>
      <c r="AC61" s="40" t="s">
        <v>61</v>
      </c>
      <c r="AD61" s="43">
        <f t="shared" si="1"/>
        <v>41.026</v>
      </c>
      <c r="AF61" s="32">
        <v>25.0</v>
      </c>
      <c r="AG61" s="32">
        <v>0.0</v>
      </c>
      <c r="AH61" s="32">
        <v>126.45</v>
      </c>
      <c r="AN61"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sin manto incorporado. Fabricado en China por la marca MaxCore ba"&amp;"jo la línea de oferta, cada caja rinde 2,81 m2 y contiene 20 tablas de 150 mm por 935 mm.")</f>
        <v>Este piso vinílico tipo SPC cuenta con un espesor total de 4 mm y una capa de uso de 0,3 mm, ideal para uso residencial. Presenta un sistema de colocación Click que facilita su instalación, sin manto incorporado. Fabricado en China por la marca MaxCore bajo la línea de oferta, cada caja rinde 2,81 m2 y contiene 20 tablas de 150 mm por 935 mm.</v>
      </c>
    </row>
    <row r="62" ht="15.75" customHeight="1">
      <c r="A62" s="58">
        <v>20119.0</v>
      </c>
      <c r="B62" s="40">
        <v>2.0</v>
      </c>
      <c r="C62" s="32" t="s">
        <v>33</v>
      </c>
      <c r="D62" s="32" t="s">
        <v>34</v>
      </c>
      <c r="E62" s="32" t="s">
        <v>899</v>
      </c>
      <c r="F62" s="40" t="s">
        <v>900</v>
      </c>
      <c r="G62" s="40" t="s">
        <v>977</v>
      </c>
      <c r="H62" s="40" t="s">
        <v>50</v>
      </c>
      <c r="I62" s="40" t="s">
        <v>981</v>
      </c>
      <c r="J62" s="40" t="s">
        <v>981</v>
      </c>
      <c r="K62" s="32" t="s">
        <v>982</v>
      </c>
      <c r="L62" s="40" t="s">
        <v>9</v>
      </c>
      <c r="M62" s="40" t="s">
        <v>169</v>
      </c>
      <c r="N62" s="40">
        <v>4.0</v>
      </c>
      <c r="O62" s="40" t="s">
        <v>42</v>
      </c>
      <c r="P62" s="40">
        <v>4.0</v>
      </c>
      <c r="Q62" s="32" t="s">
        <v>42</v>
      </c>
      <c r="R62" s="40">
        <v>0.3</v>
      </c>
      <c r="S62" s="40" t="s">
        <v>44</v>
      </c>
      <c r="T62" s="40">
        <v>12.0</v>
      </c>
      <c r="U62" s="40">
        <v>184.0</v>
      </c>
      <c r="V62" s="40" t="s">
        <v>42</v>
      </c>
      <c r="W62" s="40">
        <v>1220.0</v>
      </c>
      <c r="X62" s="40" t="s">
        <v>42</v>
      </c>
      <c r="Y62" s="32">
        <v>2.7</v>
      </c>
      <c r="Z62" s="32" t="s">
        <v>46</v>
      </c>
      <c r="AA62" s="40" t="s">
        <v>44</v>
      </c>
      <c r="AB62" s="32">
        <v>15.0</v>
      </c>
      <c r="AC62" s="40" t="s">
        <v>61</v>
      </c>
      <c r="AD62" s="43">
        <f t="shared" si="1"/>
        <v>40.5</v>
      </c>
      <c r="AF62" s="32">
        <v>25.0</v>
      </c>
      <c r="AG62" s="32">
        <v>0.0</v>
      </c>
      <c r="AH62" s="32">
        <v>216.0</v>
      </c>
      <c r="AN62"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marca Aquablue, cada caja rinde 2,7 m2"&amp;" y contiene 12 tablas de 184 mm por 1220 mm.")</f>
        <v>Este piso vinílico tipo SPC cuenta con un espesor total de 4 mm y una capa de uso de 0,3 mm, ideal para uso residencial. Presenta un sistema de colocación Click que facilita su instalación. Fabricado en China bajo la marca Aquablue, cada caja rinde 2,7 m2 y contiene 12 tablas de 184 mm por 1220 mm.</v>
      </c>
    </row>
    <row r="63" ht="15.75" customHeight="1">
      <c r="A63" s="58">
        <v>24577.0</v>
      </c>
      <c r="B63" s="40">
        <v>2.0</v>
      </c>
      <c r="C63" s="32" t="s">
        <v>33</v>
      </c>
      <c r="D63" s="32" t="s">
        <v>34</v>
      </c>
      <c r="E63" s="32" t="s">
        <v>899</v>
      </c>
      <c r="F63" s="40" t="s">
        <v>900</v>
      </c>
      <c r="G63" s="40" t="s">
        <v>977</v>
      </c>
      <c r="H63" s="40" t="s">
        <v>50</v>
      </c>
      <c r="I63" s="40" t="s">
        <v>983</v>
      </c>
      <c r="J63" s="40">
        <v>47111.0</v>
      </c>
      <c r="K63" s="32" t="s">
        <v>961</v>
      </c>
      <c r="L63" s="40" t="s">
        <v>984</v>
      </c>
      <c r="M63" s="40" t="s">
        <v>169</v>
      </c>
      <c r="N63" s="40">
        <v>4.0</v>
      </c>
      <c r="O63" s="40" t="s">
        <v>42</v>
      </c>
      <c r="P63" s="40">
        <v>4.0</v>
      </c>
      <c r="Q63" s="32" t="s">
        <v>42</v>
      </c>
      <c r="R63" s="40">
        <v>0.3</v>
      </c>
      <c r="S63" s="40" t="s">
        <v>44</v>
      </c>
      <c r="T63" s="40">
        <v>20.0</v>
      </c>
      <c r="U63" s="40">
        <v>150.0</v>
      </c>
      <c r="V63" s="40" t="s">
        <v>42</v>
      </c>
      <c r="W63" s="40">
        <v>935.0</v>
      </c>
      <c r="X63" s="40" t="s">
        <v>42</v>
      </c>
      <c r="Y63" s="32">
        <v>2.81</v>
      </c>
      <c r="Z63" s="32" t="s">
        <v>46</v>
      </c>
      <c r="AA63" s="40" t="s">
        <v>44</v>
      </c>
      <c r="AB63" s="32">
        <v>15.2</v>
      </c>
      <c r="AC63" s="40" t="s">
        <v>61</v>
      </c>
      <c r="AD63" s="43">
        <f t="shared" si="1"/>
        <v>42.712</v>
      </c>
      <c r="AE63" s="32">
        <v>55.0</v>
      </c>
      <c r="AF63" s="32">
        <v>25.0</v>
      </c>
      <c r="AG63" s="32">
        <v>0.0</v>
      </c>
      <c r="AH63" s="32">
        <v>778.37</v>
      </c>
      <c r="AN63" s="43" t="str">
        <f>IFERROR(__xludf.DUMMYFUNCTION("AI(""Completa un valor adecuado para esta celda en función del contexto de la tabla"")"),"Este piso vinílico tipo SPC cuenta con un espesor total de 4 mm y una capa de uso de 0,3 mm, lo que lo hace apto para uso residencial. Fabricado en China bajo la línea Economy de la marca MaxCore, ofrece una solución eficiente y resistente. Su sistema de "&amp;"colocación Click permite una instalación práctica sin adhesivos. Cada caja rinde 2,81 m2 y contiene 20 tablas de 150 mm de ancho por 935 mm de largo.")</f>
        <v>Este piso vinílico tipo SPC cuenta con un espesor total de 4 mm y una capa de uso de 0,3 mm, lo que lo hace apto para uso residencial. Fabricado en China bajo la línea Economy de la marca MaxCore, ofrece una solución eficiente y resistente. Su sistema de colocación Click permite una instalación práctica sin adhesivos. Cada caja rinde 2,81 m2 y contiene 20 tablas de 150 mm de ancho por 935 mm de largo.</v>
      </c>
    </row>
    <row r="64" ht="15.75" customHeight="1">
      <c r="A64" s="58">
        <v>24574.0</v>
      </c>
      <c r="B64" s="40">
        <v>2.0</v>
      </c>
      <c r="C64" s="32" t="s">
        <v>33</v>
      </c>
      <c r="D64" s="32" t="s">
        <v>34</v>
      </c>
      <c r="E64" s="32" t="s">
        <v>899</v>
      </c>
      <c r="F64" s="40" t="s">
        <v>900</v>
      </c>
      <c r="G64" s="40" t="s">
        <v>972</v>
      </c>
      <c r="H64" s="40" t="s">
        <v>50</v>
      </c>
      <c r="I64" s="40" t="s">
        <v>985</v>
      </c>
      <c r="J64" s="40">
        <v>47103.0</v>
      </c>
      <c r="K64" s="32" t="s">
        <v>961</v>
      </c>
      <c r="L64" s="40" t="s">
        <v>984</v>
      </c>
      <c r="M64" s="40" t="s">
        <v>169</v>
      </c>
      <c r="N64" s="40">
        <v>4.0</v>
      </c>
      <c r="O64" s="40" t="s">
        <v>42</v>
      </c>
      <c r="P64" s="40">
        <v>4.0</v>
      </c>
      <c r="Q64" s="32" t="s">
        <v>42</v>
      </c>
      <c r="R64" s="40">
        <v>0.3</v>
      </c>
      <c r="S64" s="40" t="s">
        <v>44</v>
      </c>
      <c r="T64" s="40">
        <v>20.0</v>
      </c>
      <c r="U64" s="40">
        <v>150.0</v>
      </c>
      <c r="V64" s="40" t="s">
        <v>42</v>
      </c>
      <c r="W64" s="40">
        <v>935.0</v>
      </c>
      <c r="X64" s="40" t="s">
        <v>42</v>
      </c>
      <c r="Y64" s="32">
        <v>2.81</v>
      </c>
      <c r="Z64" s="32" t="s">
        <v>46</v>
      </c>
      <c r="AA64" s="40" t="s">
        <v>44</v>
      </c>
      <c r="AB64" s="32">
        <v>15.2</v>
      </c>
      <c r="AC64" s="40" t="s">
        <v>61</v>
      </c>
      <c r="AD64" s="43">
        <f t="shared" si="1"/>
        <v>42.712</v>
      </c>
      <c r="AE64" s="32">
        <v>55.0</v>
      </c>
      <c r="AF64" s="32">
        <v>25.0</v>
      </c>
      <c r="AG64" s="32">
        <v>0.0</v>
      </c>
      <c r="AH64" s="32">
        <v>4352.69</v>
      </c>
      <c r="AN64"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sin necesidad de adhesivos. Fabricado en China bajo la línea Econ"&amp;"omy de la marca MaxCore, cada caja rinde 2,81 m2 y contiene 20 tablas de 150 mm por 935 mm.")</f>
        <v>Este piso vinílico tipo SPC cuenta con un espesor total de 4 mm y una capa de uso de 0,3 mm, ideal para uso residencial. Presenta un sistema de colocación Click que facilita su instalación, sin necesidad de adhesivos. Fabricado en China bajo la línea Economy de la marca MaxCore, cada caja rinde 2,81 m2 y contiene 20 tablas de 150 mm por 935 mm.</v>
      </c>
    </row>
    <row r="65" ht="15.75" customHeight="1">
      <c r="A65" s="58">
        <v>23041.0</v>
      </c>
      <c r="B65" s="40">
        <v>2.0</v>
      </c>
      <c r="C65" s="32" t="s">
        <v>33</v>
      </c>
      <c r="D65" s="32" t="s">
        <v>34</v>
      </c>
      <c r="E65" s="32" t="s">
        <v>899</v>
      </c>
      <c r="F65" s="40" t="s">
        <v>900</v>
      </c>
      <c r="G65" s="40" t="s">
        <v>977</v>
      </c>
      <c r="H65" s="40" t="s">
        <v>50</v>
      </c>
      <c r="I65" s="40" t="s">
        <v>986</v>
      </c>
      <c r="J65" s="40" t="s">
        <v>986</v>
      </c>
      <c r="K65" s="32" t="s">
        <v>961</v>
      </c>
      <c r="L65" s="40" t="s">
        <v>987</v>
      </c>
      <c r="M65" s="40" t="s">
        <v>54</v>
      </c>
      <c r="N65" s="40">
        <v>4.0</v>
      </c>
      <c r="O65" s="40" t="s">
        <v>42</v>
      </c>
      <c r="P65" s="40">
        <v>4.0</v>
      </c>
      <c r="Q65" s="32" t="s">
        <v>42</v>
      </c>
      <c r="R65" s="40">
        <v>0.5</v>
      </c>
      <c r="S65" s="40" t="s">
        <v>44</v>
      </c>
      <c r="T65" s="40">
        <v>12.0</v>
      </c>
      <c r="U65" s="40">
        <v>180.0</v>
      </c>
      <c r="V65" s="40" t="s">
        <v>42</v>
      </c>
      <c r="W65" s="40">
        <v>1220.0</v>
      </c>
      <c r="X65" s="40" t="s">
        <v>42</v>
      </c>
      <c r="Y65" s="32">
        <v>2.64</v>
      </c>
      <c r="Z65" s="32" t="s">
        <v>46</v>
      </c>
      <c r="AA65" s="40" t="s">
        <v>44</v>
      </c>
      <c r="AB65" s="32">
        <v>16.25</v>
      </c>
      <c r="AC65" s="40" t="s">
        <v>61</v>
      </c>
      <c r="AD65" s="43">
        <f t="shared" si="1"/>
        <v>42.9</v>
      </c>
      <c r="AE65" s="32">
        <v>55.0</v>
      </c>
      <c r="AF65" s="32">
        <v>25.0</v>
      </c>
      <c r="AG65" s="32">
        <v>0.0</v>
      </c>
      <c r="AH65" s="32">
        <v>5095.19</v>
      </c>
      <c r="AN65" s="43" t="str">
        <f>IFERROR(__xludf.DUMMYFUNCTION("AI(""Completa un valor adecuado para esta celda en función del contexto de la tabla"")"),"Este piso vinílico tipo SPC cuenta con un espesor total de 4 mm y una capa de uso de 0,5 mm, diseñado para un uso comercial de alto tránsito. Presenta un sistema de colocación Click que facilita su instalación y no incluye manto incorporado. Fabricado en "&amp;"China bajo la marca MaxCore y la línea Traffic, cada caja rinde 2,64 m2 y contiene 12 tablas de 180 mm por 1220 mm.")</f>
        <v>Este piso vinílico tipo SPC cuenta con un espesor total de 4 mm y una capa de uso de 0,5 mm, diseñado para un uso comercial de alto tránsito. Presenta un sistema de colocación Click que facilita su instalación y no incluye manto incorporado. Fabricado en China bajo la marca MaxCore y la línea Traffic, cada caja rinde 2,64 m2 y contiene 12 tablas de 180 mm por 1220 mm.</v>
      </c>
    </row>
    <row r="66" ht="15.75" customHeight="1">
      <c r="A66" s="58">
        <v>20236.0</v>
      </c>
      <c r="B66" s="40">
        <v>2.0</v>
      </c>
      <c r="C66" s="32" t="s">
        <v>33</v>
      </c>
      <c r="D66" s="32" t="s">
        <v>34</v>
      </c>
      <c r="E66" s="32" t="s">
        <v>899</v>
      </c>
      <c r="F66" s="40" t="s">
        <v>900</v>
      </c>
      <c r="G66" s="40" t="s">
        <v>977</v>
      </c>
      <c r="H66" s="40" t="s">
        <v>50</v>
      </c>
      <c r="I66" s="40" t="s">
        <v>988</v>
      </c>
      <c r="J66" s="40">
        <v>8890.0</v>
      </c>
      <c r="K66" s="32" t="s">
        <v>961</v>
      </c>
      <c r="L66" s="40" t="s">
        <v>989</v>
      </c>
      <c r="M66" s="40" t="s">
        <v>169</v>
      </c>
      <c r="N66" s="40">
        <v>4.0</v>
      </c>
      <c r="O66" s="40" t="s">
        <v>42</v>
      </c>
      <c r="P66" s="40">
        <v>4.0</v>
      </c>
      <c r="Q66" s="32" t="s">
        <v>42</v>
      </c>
      <c r="R66" s="40">
        <v>0.3</v>
      </c>
      <c r="S66" s="40" t="s">
        <v>44</v>
      </c>
      <c r="T66" s="40">
        <v>12.0</v>
      </c>
      <c r="U66" s="40">
        <v>180.0</v>
      </c>
      <c r="V66" s="40" t="s">
        <v>42</v>
      </c>
      <c r="W66" s="40">
        <v>1220.0</v>
      </c>
      <c r="X66" s="40" t="s">
        <v>42</v>
      </c>
      <c r="Y66" s="32">
        <v>2.64</v>
      </c>
      <c r="Z66" s="32" t="s">
        <v>46</v>
      </c>
      <c r="AA66" s="40" t="s">
        <v>44</v>
      </c>
      <c r="AB66" s="32">
        <v>16.5</v>
      </c>
      <c r="AC66" s="40" t="s">
        <v>61</v>
      </c>
      <c r="AD66" s="43">
        <f t="shared" si="1"/>
        <v>43.56</v>
      </c>
      <c r="AE66" s="32">
        <v>55.0</v>
      </c>
      <c r="AF66" s="32">
        <v>25.0</v>
      </c>
      <c r="AG66" s="32">
        <v>0.0</v>
      </c>
      <c r="AH66" s="32">
        <v>789.34</v>
      </c>
      <c r="AN66"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Home de MaxCore, cada caja rinde"&amp;" 2,64 m2 y contiene 12 tablas de 180 mm por 1220 mm.")</f>
        <v>Este piso vinílico tipo SPC cuenta con un espesor total de 4 mm y una capa de uso de 0,3 mm, ideal para uso residencial. Presenta un sistema de colocación Click que facilita su instalación. Fabricado en China bajo la línea Home de MaxCore, cada caja rinde 2,64 m2 y contiene 12 tablas de 180 mm por 1220 mm.</v>
      </c>
    </row>
    <row r="67" ht="15.75" customHeight="1">
      <c r="A67" s="58">
        <v>20713.0</v>
      </c>
      <c r="B67" s="40">
        <v>2.0</v>
      </c>
      <c r="C67" s="32" t="s">
        <v>33</v>
      </c>
      <c r="D67" s="32" t="s">
        <v>34</v>
      </c>
      <c r="E67" s="32" t="s">
        <v>899</v>
      </c>
      <c r="F67" s="40" t="s">
        <v>900</v>
      </c>
      <c r="G67" s="40" t="s">
        <v>977</v>
      </c>
      <c r="H67" s="40" t="s">
        <v>50</v>
      </c>
      <c r="I67" s="40" t="s">
        <v>990</v>
      </c>
      <c r="J67" s="40">
        <v>8886.0</v>
      </c>
      <c r="K67" s="32" t="s">
        <v>961</v>
      </c>
      <c r="L67" s="40" t="s">
        <v>989</v>
      </c>
      <c r="M67" s="40" t="s">
        <v>169</v>
      </c>
      <c r="N67" s="40">
        <v>4.0</v>
      </c>
      <c r="O67" s="40" t="s">
        <v>42</v>
      </c>
      <c r="P67" s="40">
        <v>4.0</v>
      </c>
      <c r="Q67" s="32" t="s">
        <v>42</v>
      </c>
      <c r="R67" s="40">
        <v>0.3</v>
      </c>
      <c r="S67" s="40" t="s">
        <v>44</v>
      </c>
      <c r="T67" s="40">
        <v>12.0</v>
      </c>
      <c r="U67" s="40">
        <v>180.0</v>
      </c>
      <c r="V67" s="40" t="s">
        <v>42</v>
      </c>
      <c r="W67" s="40">
        <v>1220.0</v>
      </c>
      <c r="X67" s="40" t="s">
        <v>42</v>
      </c>
      <c r="Y67" s="32">
        <v>2.64</v>
      </c>
      <c r="Z67" s="32" t="s">
        <v>46</v>
      </c>
      <c r="AA67" s="40" t="s">
        <v>44</v>
      </c>
      <c r="AB67" s="32">
        <v>16.5</v>
      </c>
      <c r="AC67" s="40" t="s">
        <v>61</v>
      </c>
      <c r="AD67" s="43">
        <f t="shared" si="1"/>
        <v>43.56</v>
      </c>
      <c r="AE67" s="32">
        <v>55.0</v>
      </c>
      <c r="AF67" s="32">
        <v>25.0</v>
      </c>
      <c r="AG67" s="32">
        <v>0.0</v>
      </c>
      <c r="AH67" s="32">
        <v>876.47</v>
      </c>
      <c r="AN67"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sin necesidad de adhesivos. Fabricado en China bajo la línea Home"&amp;" de la marca MaxCore, cada caja rinde 2,64 m2 y contiene 12 tablas de 180 mm por 1220 mm.")</f>
        <v>Este piso vinílico tipo SPC cuenta con un espesor total de 4 mm y una capa de uso de 0,3 mm, ideal para uso residencial. Presenta un sistema de colocación Click que facilita su instalación, sin necesidad de adhesivos. Fabricado en China bajo la línea Home de la marca MaxCore, cada caja rinde 2,64 m2 y contiene 12 tablas de 180 mm por 1220 mm.</v>
      </c>
    </row>
    <row r="68" ht="15.75" customHeight="1">
      <c r="A68" s="58">
        <v>24919.0</v>
      </c>
      <c r="B68" s="40">
        <v>2.0</v>
      </c>
      <c r="C68" s="32" t="s">
        <v>33</v>
      </c>
      <c r="D68" s="32" t="s">
        <v>34</v>
      </c>
      <c r="E68" s="32" t="s">
        <v>899</v>
      </c>
      <c r="F68" s="40" t="s">
        <v>900</v>
      </c>
      <c r="G68" s="40" t="s">
        <v>977</v>
      </c>
      <c r="H68" s="40" t="s">
        <v>50</v>
      </c>
      <c r="I68" s="40" t="s">
        <v>991</v>
      </c>
      <c r="J68" s="40" t="s">
        <v>991</v>
      </c>
      <c r="K68" s="32" t="s">
        <v>961</v>
      </c>
      <c r="L68" s="40" t="s">
        <v>60</v>
      </c>
      <c r="M68" s="40" t="s">
        <v>54</v>
      </c>
      <c r="N68" s="40" t="s">
        <v>992</v>
      </c>
      <c r="O68" s="40" t="s">
        <v>42</v>
      </c>
      <c r="P68" s="40" t="s">
        <v>993</v>
      </c>
      <c r="Q68" s="32" t="s">
        <v>42</v>
      </c>
      <c r="R68" s="40">
        <v>0.5</v>
      </c>
      <c r="S68" s="40" t="s">
        <v>45</v>
      </c>
      <c r="T68" s="40">
        <v>10.0</v>
      </c>
      <c r="U68" s="40">
        <v>181.0</v>
      </c>
      <c r="V68" s="40" t="s">
        <v>42</v>
      </c>
      <c r="W68" s="40">
        <v>1220.0</v>
      </c>
      <c r="X68" s="40" t="s">
        <v>42</v>
      </c>
      <c r="Y68" s="32">
        <v>2.21</v>
      </c>
      <c r="Z68" s="32" t="s">
        <v>46</v>
      </c>
      <c r="AA68" s="40" t="s">
        <v>44</v>
      </c>
      <c r="AB68" s="32">
        <v>16.9</v>
      </c>
      <c r="AC68" s="40" t="s">
        <v>61</v>
      </c>
      <c r="AD68" s="43">
        <f t="shared" si="1"/>
        <v>37.349</v>
      </c>
      <c r="AF68" s="32">
        <v>25.0</v>
      </c>
      <c r="AG68" s="32">
        <v>0.0</v>
      </c>
      <c r="AH68" s="32">
        <v>787.81</v>
      </c>
      <c r="AN68" s="43" t="str">
        <f>IFERROR(__xludf.DUMMYFUNCTION("AI(""Completa un valor adecuado para esta celda en función del contexto de la tabla"")"),"Este piso vinílico tipo SPC cuenta con un espesor total de 6,5 mm y una capa de uso de 0,5 mm, ideal para uso comercial. Presenta un sistema de colocación Click que facilita su instalación, además de incluir un manto incorporado para mayor confort. Fabric"&amp;"ado en China bajo la línea de oferta, cada caja rinde 2,21 m2 y contiene 10 tablas de 181 mm por 1220 mm.")</f>
        <v>Este piso vinílico tipo SPC cuenta con un espesor total de 6,5 mm y una capa de uso de 0,5 mm, ideal para uso comercial. Presenta un sistema de colocación Click que facilita su instalación, además de incluir un manto incorporado para mayor confort. Fabricado en China bajo la línea de oferta, cada caja rinde 2,21 m2 y contiene 10 tablas de 181 mm por 1220 mm.</v>
      </c>
    </row>
    <row r="69" ht="15.75" customHeight="1">
      <c r="A69" s="58">
        <v>24920.0</v>
      </c>
      <c r="B69" s="40">
        <v>2.0</v>
      </c>
      <c r="C69" s="32" t="s">
        <v>33</v>
      </c>
      <c r="D69" s="32" t="s">
        <v>34</v>
      </c>
      <c r="E69" s="32" t="s">
        <v>899</v>
      </c>
      <c r="F69" s="40" t="s">
        <v>900</v>
      </c>
      <c r="G69" s="40" t="s">
        <v>977</v>
      </c>
      <c r="H69" s="40" t="s">
        <v>50</v>
      </c>
      <c r="I69" s="40" t="s">
        <v>994</v>
      </c>
      <c r="J69" s="40" t="s">
        <v>994</v>
      </c>
      <c r="K69" s="32" t="s">
        <v>961</v>
      </c>
      <c r="L69" s="40" t="s">
        <v>60</v>
      </c>
      <c r="M69" s="40" t="s">
        <v>54</v>
      </c>
      <c r="N69" s="40">
        <v>7.0</v>
      </c>
      <c r="O69" s="40" t="s">
        <v>42</v>
      </c>
      <c r="P69" s="40" t="s">
        <v>995</v>
      </c>
      <c r="Q69" s="32" t="s">
        <v>42</v>
      </c>
      <c r="R69" s="40">
        <v>0.5</v>
      </c>
      <c r="S69" s="40" t="s">
        <v>45</v>
      </c>
      <c r="T69" s="40">
        <v>8.0</v>
      </c>
      <c r="U69" s="40">
        <v>230.0</v>
      </c>
      <c r="V69" s="40" t="s">
        <v>42</v>
      </c>
      <c r="W69" s="40">
        <v>1524.0</v>
      </c>
      <c r="X69" s="40" t="s">
        <v>42</v>
      </c>
      <c r="Y69" s="32">
        <v>2.8</v>
      </c>
      <c r="Z69" s="32" t="s">
        <v>46</v>
      </c>
      <c r="AA69" s="40" t="s">
        <v>44</v>
      </c>
      <c r="AB69" s="32">
        <v>16.9</v>
      </c>
      <c r="AC69" s="40" t="s">
        <v>61</v>
      </c>
      <c r="AD69" s="43">
        <f t="shared" si="1"/>
        <v>47.32</v>
      </c>
      <c r="AF69" s="32">
        <v>25.0</v>
      </c>
      <c r="AG69" s="32">
        <v>0.0</v>
      </c>
      <c r="AH69" s="32">
        <v>204.4</v>
      </c>
      <c r="AN69" s="43" t="str">
        <f>IFERROR(__xludf.DUMMYFUNCTION("AI(""Completa un valor adecuado para esta celda en función del contexto de la tabla"")"),"Este piso vinílico tipo SPC cuenta con un espesor total de 7 mm y una capa de uso de 0,5 mm, ideal para uso comercial. Presenta un sistema de colocación Click que facilita su instalación, además de incluir un manto incorporado para mayor confort. Fabricad"&amp;"o en China bajo la línea de oferta de la marca MaxCore, cada caja rinde 2,8 m2 y contiene 8 tablas de 230 mm por 1524 mm.")</f>
        <v>Este piso vinílico tipo SPC cuenta con un espesor total de 7 mm y una capa de uso de 0,5 mm, ideal para uso comercial. Presenta un sistema de colocación Click que facilita su instalación, además de incluir un manto incorporado para mayor confort. Fabricado en China bajo la línea de oferta de la marca MaxCore, cada caja rinde 2,8 m2 y contiene 8 tablas de 230 mm por 1524 mm.</v>
      </c>
    </row>
    <row r="70" ht="15.75" customHeight="1">
      <c r="A70" s="58">
        <v>24918.0</v>
      </c>
      <c r="B70" s="40">
        <v>2.0</v>
      </c>
      <c r="C70" s="32" t="s">
        <v>33</v>
      </c>
      <c r="D70" s="32" t="s">
        <v>34</v>
      </c>
      <c r="E70" s="32" t="s">
        <v>899</v>
      </c>
      <c r="F70" s="40" t="s">
        <v>900</v>
      </c>
      <c r="G70" s="40" t="s">
        <v>972</v>
      </c>
      <c r="H70" s="40" t="s">
        <v>50</v>
      </c>
      <c r="I70" s="40" t="s">
        <v>996</v>
      </c>
      <c r="J70" s="40" t="s">
        <v>996</v>
      </c>
      <c r="K70" s="32" t="s">
        <v>961</v>
      </c>
      <c r="L70" s="40" t="s">
        <v>60</v>
      </c>
      <c r="M70" s="40" t="s">
        <v>54</v>
      </c>
      <c r="N70" s="40" t="s">
        <v>992</v>
      </c>
      <c r="O70" s="40" t="s">
        <v>42</v>
      </c>
      <c r="P70" s="40" t="s">
        <v>993</v>
      </c>
      <c r="Q70" s="32" t="s">
        <v>42</v>
      </c>
      <c r="R70" s="40">
        <v>0.5</v>
      </c>
      <c r="S70" s="40" t="s">
        <v>45</v>
      </c>
      <c r="T70" s="40">
        <v>10.0</v>
      </c>
      <c r="U70" s="40">
        <v>181.0</v>
      </c>
      <c r="V70" s="40" t="s">
        <v>42</v>
      </c>
      <c r="W70" s="40">
        <v>1220.0</v>
      </c>
      <c r="X70" s="40" t="s">
        <v>42</v>
      </c>
      <c r="Y70" s="32">
        <v>2.21</v>
      </c>
      <c r="Z70" s="32" t="s">
        <v>46</v>
      </c>
      <c r="AA70" s="40" t="s">
        <v>44</v>
      </c>
      <c r="AB70" s="32">
        <v>16.9</v>
      </c>
      <c r="AC70" s="40" t="s">
        <v>61</v>
      </c>
      <c r="AD70" s="43">
        <f t="shared" si="1"/>
        <v>37.349</v>
      </c>
      <c r="AF70" s="32">
        <v>25.0</v>
      </c>
      <c r="AG70" s="32">
        <v>0.0</v>
      </c>
      <c r="AH70" s="32">
        <v>613.23</v>
      </c>
      <c r="AN70" s="43" t="str">
        <f>IFERROR(__xludf.DUMMYFUNCTION("AI(""Completa un valor adecuado para esta celda en función del contexto de la tabla"")"),"Este piso vinílico tipo SPC cuenta con un espesor total de 6,5 mm y una capa de uso de 0,5 mm, ideal para uso comercial. Presenta un sistema de colocación Click que facilita su instalación, además de incluir un manto incorporado para mayor confort. Fabric"&amp;"ado en China bajo la línea de oferta, cada caja rinde 2,21 m2 y contiene 10 tablas de 181 mm por 1220 mm.")</f>
        <v>Este piso vinílico tipo SPC cuenta con un espesor total de 6,5 mm y una capa de uso de 0,5 mm, ideal para uso comercial. Presenta un sistema de colocación Click que facilita su instalación, además de incluir un manto incorporado para mayor confort. Fabricado en China bajo la línea de oferta, cada caja rinde 2,21 m2 y contiene 10 tablas de 181 mm por 1220 mm.</v>
      </c>
    </row>
    <row r="71" ht="15.75" customHeight="1">
      <c r="A71" s="58">
        <v>24917.0</v>
      </c>
      <c r="B71" s="40">
        <v>2.0</v>
      </c>
      <c r="C71" s="32" t="s">
        <v>33</v>
      </c>
      <c r="D71" s="32" t="s">
        <v>34</v>
      </c>
      <c r="E71" s="32" t="s">
        <v>899</v>
      </c>
      <c r="F71" s="40" t="s">
        <v>900</v>
      </c>
      <c r="G71" s="40" t="s">
        <v>977</v>
      </c>
      <c r="H71" s="40" t="s">
        <v>50</v>
      </c>
      <c r="I71" s="40" t="s">
        <v>997</v>
      </c>
      <c r="J71" s="40" t="s">
        <v>997</v>
      </c>
      <c r="K71" s="32" t="s">
        <v>961</v>
      </c>
      <c r="L71" s="40" t="s">
        <v>60</v>
      </c>
      <c r="M71" s="40" t="s">
        <v>54</v>
      </c>
      <c r="N71" s="40" t="s">
        <v>992</v>
      </c>
      <c r="O71" s="40" t="s">
        <v>42</v>
      </c>
      <c r="P71" s="40" t="s">
        <v>993</v>
      </c>
      <c r="Q71" s="32" t="s">
        <v>42</v>
      </c>
      <c r="R71" s="40">
        <v>0.5</v>
      </c>
      <c r="S71" s="40" t="s">
        <v>45</v>
      </c>
      <c r="T71" s="40">
        <v>10.0</v>
      </c>
      <c r="U71" s="40">
        <v>181.0</v>
      </c>
      <c r="V71" s="40" t="s">
        <v>42</v>
      </c>
      <c r="W71" s="40">
        <v>1220.0</v>
      </c>
      <c r="X71" s="40" t="s">
        <v>42</v>
      </c>
      <c r="Y71" s="32">
        <v>2.21</v>
      </c>
      <c r="Z71" s="32" t="s">
        <v>46</v>
      </c>
      <c r="AA71" s="40" t="s">
        <v>44</v>
      </c>
      <c r="AB71" s="32">
        <v>16.9</v>
      </c>
      <c r="AC71" s="40" t="s">
        <v>61</v>
      </c>
      <c r="AD71" s="43">
        <f t="shared" si="1"/>
        <v>37.349</v>
      </c>
      <c r="AF71" s="32">
        <v>25.0</v>
      </c>
      <c r="AG71" s="32">
        <v>0.0</v>
      </c>
      <c r="AH71" s="32">
        <v>717.08</v>
      </c>
      <c r="AN71" s="43" t="str">
        <f>IFERROR(__xludf.DUMMYFUNCTION("AI(""Completa un valor adecuado para esta celda en función del contexto de la tabla"")"),"Este piso vinílico tipo SPC cuenta con un espesor total de 6,5 mm y una capa de uso de 0,5 mm, ideal para uso comercial. Presenta un sistema de colocación Click que facilita su instalación, además de incluir un manto incorporado para mayor confort. Fabric"&amp;"ado en China bajo la línea de oferta, cada caja rinde 2,21 m2 y contiene 10 tablas de 181 mm por 1220 mm.")</f>
        <v>Este piso vinílico tipo SPC cuenta con un espesor total de 6,5 mm y una capa de uso de 0,5 mm, ideal para uso comercial. Presenta un sistema de colocación Click que facilita su instalación, además de incluir un manto incorporado para mayor confort. Fabricado en China bajo la línea de oferta, cada caja rinde 2,21 m2 y contiene 10 tablas de 181 mm por 1220 mm.</v>
      </c>
    </row>
    <row r="72" ht="15.75" customHeight="1">
      <c r="A72" s="58">
        <v>23112.0</v>
      </c>
      <c r="B72" s="40">
        <v>2.0</v>
      </c>
      <c r="C72" s="32" t="s">
        <v>33</v>
      </c>
      <c r="D72" s="32" t="s">
        <v>34</v>
      </c>
      <c r="E72" s="32" t="s">
        <v>899</v>
      </c>
      <c r="F72" s="40" t="s">
        <v>900</v>
      </c>
      <c r="G72" s="40" t="s">
        <v>972</v>
      </c>
      <c r="H72" s="40" t="s">
        <v>50</v>
      </c>
      <c r="I72" s="40" t="s">
        <v>998</v>
      </c>
      <c r="J72" s="40" t="s">
        <v>999</v>
      </c>
      <c r="K72" s="32" t="s">
        <v>961</v>
      </c>
      <c r="L72" s="40" t="s">
        <v>1000</v>
      </c>
      <c r="M72" s="40" t="s">
        <v>169</v>
      </c>
      <c r="N72" s="40">
        <v>4.0</v>
      </c>
      <c r="O72" s="40" t="s">
        <v>42</v>
      </c>
      <c r="P72" s="40">
        <v>4.0</v>
      </c>
      <c r="Q72" s="32" t="s">
        <v>42</v>
      </c>
      <c r="R72" s="40">
        <v>0.3</v>
      </c>
      <c r="S72" s="40" t="s">
        <v>44</v>
      </c>
      <c r="T72" s="40">
        <v>24.0</v>
      </c>
      <c r="U72" s="40">
        <v>125.0</v>
      </c>
      <c r="V72" s="40" t="s">
        <v>42</v>
      </c>
      <c r="W72" s="40">
        <v>625.0</v>
      </c>
      <c r="X72" s="40" t="s">
        <v>42</v>
      </c>
      <c r="Y72" s="32">
        <v>1.88</v>
      </c>
      <c r="Z72" s="32" t="s">
        <v>46</v>
      </c>
      <c r="AA72" s="40" t="s">
        <v>44</v>
      </c>
      <c r="AB72" s="32">
        <v>20.8</v>
      </c>
      <c r="AC72" s="40" t="s">
        <v>61</v>
      </c>
      <c r="AD72" s="43">
        <f t="shared" si="1"/>
        <v>39.104</v>
      </c>
      <c r="AE72" s="32">
        <v>33.0</v>
      </c>
      <c r="AF72" s="32">
        <v>25.0</v>
      </c>
      <c r="AG72" s="32">
        <v>0.0</v>
      </c>
      <c r="AH72" s="32">
        <v>216.0</v>
      </c>
      <c r="AN72"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y no incluye manto incorporado. Fabricado en China bajo la línea V"&amp;"intage de MaxCore, cada caja rinde 1,88 m2 y contiene 24 tablas de 125 mm por 625 mm.")</f>
        <v>Este piso vinílico tipo SPC cuenta con un espesor total de 4 mm y una capa de uso de 0,3 mm, ideal para uso residencial. Presenta un sistema de colocación Click que facilita su instalación y no incluye manto incorporado. Fabricado en China bajo la línea Vintage de MaxCore, cada caja rinde 1,88 m2 y contiene 24 tablas de 125 mm por 625 mm.</v>
      </c>
    </row>
    <row r="73" ht="15.75" customHeight="1">
      <c r="A73" s="58">
        <v>24660.0</v>
      </c>
      <c r="B73" s="40">
        <v>2.0</v>
      </c>
      <c r="C73" s="32" t="s">
        <v>33</v>
      </c>
      <c r="D73" s="32" t="s">
        <v>34</v>
      </c>
      <c r="E73" s="32" t="s">
        <v>899</v>
      </c>
      <c r="F73" s="40" t="s">
        <v>900</v>
      </c>
      <c r="G73" s="40" t="s">
        <v>977</v>
      </c>
      <c r="H73" s="40" t="s">
        <v>50</v>
      </c>
      <c r="I73" s="40">
        <v>690.0</v>
      </c>
      <c r="J73" s="40">
        <v>690.0</v>
      </c>
      <c r="K73" s="32" t="s">
        <v>961</v>
      </c>
      <c r="L73" s="40" t="s">
        <v>9</v>
      </c>
      <c r="M73" s="40" t="s">
        <v>169</v>
      </c>
      <c r="N73" s="40">
        <v>4.0</v>
      </c>
      <c r="O73" s="40" t="s">
        <v>42</v>
      </c>
      <c r="P73" s="40" t="s">
        <v>904</v>
      </c>
      <c r="Q73" s="32" t="s">
        <v>42</v>
      </c>
      <c r="R73" s="40">
        <v>0.3</v>
      </c>
      <c r="S73" s="40" t="s">
        <v>45</v>
      </c>
      <c r="T73" s="40">
        <v>8.0</v>
      </c>
      <c r="U73" s="40">
        <v>180.0</v>
      </c>
      <c r="V73" s="40" t="s">
        <v>42</v>
      </c>
      <c r="W73" s="40">
        <v>1220.0</v>
      </c>
      <c r="X73" s="40" t="s">
        <v>42</v>
      </c>
      <c r="Y73" s="32">
        <v>1.76</v>
      </c>
      <c r="Z73" s="32" t="s">
        <v>46</v>
      </c>
      <c r="AA73" s="40" t="s">
        <v>44</v>
      </c>
      <c r="AB73" s="32">
        <v>17.0</v>
      </c>
      <c r="AC73" s="40" t="s">
        <v>61</v>
      </c>
      <c r="AD73" s="43">
        <f t="shared" si="1"/>
        <v>29.92</v>
      </c>
      <c r="AE73" s="32">
        <v>80.0</v>
      </c>
      <c r="AF73" s="32">
        <v>25.0</v>
      </c>
      <c r="AG73" s="32">
        <v>0.0</v>
      </c>
      <c r="AH73" s="32">
        <v>7240.64</v>
      </c>
      <c r="AN73"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además de incluir un manto incorporado para mayor confort. Fabric"&amp;"ado en China bajo la línea Linea, cada caja rinde 1,76 m2 y contiene 8 tablas de 180 mm por 1220 mm.")</f>
        <v>Este piso vinílico tipo SPC cuenta con un espesor total de 4 mm y una capa de uso de 0,3 mm, ideal para uso residencial. Presenta un sistema de colocación Click que facilita su instalación, además de incluir un manto incorporado para mayor confort. Fabricado en China bajo la línea Linea, cada caja rinde 1,76 m2 y contiene 8 tablas de 180 mm por 1220 mm.</v>
      </c>
    </row>
    <row r="74" ht="15.75" customHeight="1">
      <c r="A74" s="58">
        <v>23113.0</v>
      </c>
      <c r="B74" s="40">
        <v>2.0</v>
      </c>
      <c r="C74" s="32" t="s">
        <v>33</v>
      </c>
      <c r="D74" s="32" t="s">
        <v>34</v>
      </c>
      <c r="E74" s="32" t="s">
        <v>899</v>
      </c>
      <c r="F74" s="40" t="s">
        <v>900</v>
      </c>
      <c r="G74" s="40" t="s">
        <v>977</v>
      </c>
      <c r="H74" s="40" t="s">
        <v>50</v>
      </c>
      <c r="I74" s="40" t="s">
        <v>998</v>
      </c>
      <c r="J74" s="40" t="s">
        <v>1001</v>
      </c>
      <c r="K74" s="32" t="s">
        <v>961</v>
      </c>
      <c r="L74" s="40" t="s">
        <v>1000</v>
      </c>
      <c r="M74" s="40" t="s">
        <v>169</v>
      </c>
      <c r="N74" s="40">
        <v>4.0</v>
      </c>
      <c r="O74" s="40" t="s">
        <v>42</v>
      </c>
      <c r="P74" s="40">
        <v>4.0</v>
      </c>
      <c r="Q74" s="32" t="s">
        <v>42</v>
      </c>
      <c r="R74" s="40">
        <v>0.3</v>
      </c>
      <c r="S74" s="40" t="s">
        <v>44</v>
      </c>
      <c r="T74" s="40">
        <v>24.0</v>
      </c>
      <c r="U74" s="40">
        <v>125.0</v>
      </c>
      <c r="V74" s="40" t="s">
        <v>42</v>
      </c>
      <c r="W74" s="40">
        <v>625.0</v>
      </c>
      <c r="X74" s="40" t="s">
        <v>42</v>
      </c>
      <c r="Y74" s="32">
        <v>1.88</v>
      </c>
      <c r="Z74" s="32" t="s">
        <v>46</v>
      </c>
      <c r="AA74" s="40" t="s">
        <v>44</v>
      </c>
      <c r="AB74" s="32">
        <v>20.8</v>
      </c>
      <c r="AC74" s="40" t="s">
        <v>61</v>
      </c>
      <c r="AD74" s="43">
        <f t="shared" si="1"/>
        <v>39.104</v>
      </c>
      <c r="AF74" s="32">
        <v>25.0</v>
      </c>
      <c r="AG74" s="32">
        <v>0.0</v>
      </c>
      <c r="AH74" s="32">
        <v>223.0</v>
      </c>
      <c r="AN74"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Vintage de la marca MaxCore, cad"&amp;"a caja rinde 1,88 m2 y contiene 24 tablas de 125 mm por 625 mm.")</f>
        <v>Este piso vinílico tipo SPC cuenta con un espesor total de 4 mm y una capa de uso de 0,3 mm, ideal para uso residencial. Presenta un sistema de colocación Click que facilita su instalación. Fabricado en China bajo la línea Vintage de la marca MaxCore, cada caja rinde 1,88 m2 y contiene 24 tablas de 125 mm por 625 mm.</v>
      </c>
    </row>
    <row r="75" ht="15.75" customHeight="1">
      <c r="A75" s="58">
        <v>24964.0</v>
      </c>
      <c r="B75" s="40">
        <v>2.0</v>
      </c>
      <c r="C75" s="32" t="s">
        <v>33</v>
      </c>
      <c r="D75" s="32" t="s">
        <v>34</v>
      </c>
      <c r="E75" s="32" t="s">
        <v>899</v>
      </c>
      <c r="F75" s="40" t="s">
        <v>900</v>
      </c>
      <c r="G75" s="40" t="s">
        <v>977</v>
      </c>
      <c r="H75" s="40" t="s">
        <v>50</v>
      </c>
      <c r="I75" s="40" t="s">
        <v>1002</v>
      </c>
      <c r="J75" s="40" t="s">
        <v>1002</v>
      </c>
      <c r="K75" s="32" t="s">
        <v>961</v>
      </c>
      <c r="L75" s="40" t="s">
        <v>60</v>
      </c>
      <c r="M75" s="40" t="s">
        <v>169</v>
      </c>
      <c r="N75" s="40">
        <v>4.0</v>
      </c>
      <c r="O75" s="40" t="s">
        <v>42</v>
      </c>
      <c r="P75" s="40" t="s">
        <v>904</v>
      </c>
      <c r="Q75" s="32" t="s">
        <v>42</v>
      </c>
      <c r="R75" s="40">
        <v>0.3</v>
      </c>
      <c r="S75" s="40" t="s">
        <v>45</v>
      </c>
      <c r="T75" s="40">
        <v>10.0</v>
      </c>
      <c r="U75" s="40">
        <v>230.0</v>
      </c>
      <c r="V75" s="40" t="s">
        <v>42</v>
      </c>
      <c r="W75" s="40">
        <v>1540.0</v>
      </c>
      <c r="X75" s="40" t="s">
        <v>42</v>
      </c>
      <c r="Y75" s="32">
        <v>3.54</v>
      </c>
      <c r="Z75" s="32" t="s">
        <v>46</v>
      </c>
      <c r="AA75" s="40" t="s">
        <v>44</v>
      </c>
      <c r="AB75" s="32">
        <v>17.3</v>
      </c>
      <c r="AC75" s="40" t="s">
        <v>61</v>
      </c>
      <c r="AD75" s="43">
        <f t="shared" si="1"/>
        <v>61.242</v>
      </c>
      <c r="AE75" s="32">
        <v>44.0</v>
      </c>
      <c r="AF75" s="32">
        <v>30.0</v>
      </c>
      <c r="AG75" s="32">
        <v>1320.0</v>
      </c>
      <c r="AH75" s="32">
        <v>403.56</v>
      </c>
      <c r="AN75"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además de incluir un manto incorporado para mayor confort. Fabric"&amp;"ado en China bajo la línea de oferta, cada caja rinde 3,54 m2 y contiene 10 tablas de 230 mm por 1540 mm.")</f>
        <v>Este piso vinílico tipo SPC cuenta con un espesor total de 4 mm y una capa de uso de 0,3 mm, ideal para uso residencial. Presenta un sistema de colocación Click que facilita su instalación, además de incluir un manto incorporado para mayor confort. Fabricado en China bajo la línea de oferta, cada caja rinde 3,54 m2 y contiene 10 tablas de 230 mm por 1540 mm.</v>
      </c>
    </row>
    <row r="76" ht="15.75" customHeight="1">
      <c r="A76" s="58">
        <v>24626.0</v>
      </c>
      <c r="B76" s="40">
        <v>2.0</v>
      </c>
      <c r="C76" s="32" t="s">
        <v>33</v>
      </c>
      <c r="D76" s="32" t="s">
        <v>34</v>
      </c>
      <c r="E76" s="32" t="s">
        <v>899</v>
      </c>
      <c r="F76" s="40" t="s">
        <v>900</v>
      </c>
      <c r="G76" s="40" t="s">
        <v>977</v>
      </c>
      <c r="H76" s="40" t="s">
        <v>50</v>
      </c>
      <c r="I76" s="40" t="s">
        <v>1003</v>
      </c>
      <c r="J76" s="40" t="s">
        <v>1003</v>
      </c>
      <c r="K76" s="32" t="s">
        <v>961</v>
      </c>
      <c r="L76" s="40" t="s">
        <v>9</v>
      </c>
      <c r="M76" s="40" t="s">
        <v>54</v>
      </c>
      <c r="N76" s="40">
        <v>4.0</v>
      </c>
      <c r="O76" s="40" t="s">
        <v>42</v>
      </c>
      <c r="P76" s="40" t="s">
        <v>904</v>
      </c>
      <c r="Q76" s="32" t="s">
        <v>42</v>
      </c>
      <c r="R76" s="40">
        <v>0.55</v>
      </c>
      <c r="S76" s="40" t="s">
        <v>45</v>
      </c>
      <c r="T76" s="40">
        <v>9.0</v>
      </c>
      <c r="U76" s="40">
        <v>180.0</v>
      </c>
      <c r="V76" s="40" t="s">
        <v>42</v>
      </c>
      <c r="W76" s="40">
        <v>1220.0</v>
      </c>
      <c r="X76" s="40" t="s">
        <v>42</v>
      </c>
      <c r="Y76" s="32">
        <v>1.97</v>
      </c>
      <c r="Z76" s="32" t="s">
        <v>46</v>
      </c>
      <c r="AA76" s="40" t="s">
        <v>44</v>
      </c>
      <c r="AB76" s="32">
        <v>17.3</v>
      </c>
      <c r="AC76" s="40" t="s">
        <v>61</v>
      </c>
      <c r="AD76" s="43">
        <f t="shared" si="1"/>
        <v>34.081</v>
      </c>
      <c r="AF76" s="32">
        <v>25.0</v>
      </c>
      <c r="AG76" s="32">
        <v>0.0</v>
      </c>
      <c r="AH76" s="32">
        <v>1331.71</v>
      </c>
      <c r="AN76" s="43" t="str">
        <f>IFERROR(__xludf.DUMMYFUNCTION("AI(""Completa un valor adecuado para esta celda en función del contexto de la tabla"")"),"Este piso vinílico tipo SPC cuenta con un espesor total de 4 mm y una capa de uso de 0,55 mm, ideal para uso comercial. Presenta un sistema de colocación Click que facilita su instalación, además de incluir un manto incorporado para mayor confort. Fabrica"&amp;"do en China bajo la marca MaxCore, cada caja rinde 1,97 m2 y contiene 9 tablas de 180 mm por 1220 mm.")</f>
        <v>Este piso vinílico tipo SPC cuenta con un espesor total de 4 mm y una capa de uso de 0,55 mm, ideal para uso comercial. Presenta un sistema de colocación Click que facilita su instalación, además de incluir un manto incorporado para mayor confort. Fabricado en China bajo la marca MaxCore, cada caja rinde 1,97 m2 y contiene 9 tablas de 180 mm por 1220 mm.</v>
      </c>
    </row>
    <row r="77" ht="15.75" customHeight="1">
      <c r="A77" s="58">
        <v>21315.0</v>
      </c>
      <c r="B77" s="40">
        <v>2.0</v>
      </c>
      <c r="C77" s="32" t="s">
        <v>33</v>
      </c>
      <c r="D77" s="32" t="s">
        <v>34</v>
      </c>
      <c r="E77" s="32" t="s">
        <v>899</v>
      </c>
      <c r="F77" s="40" t="s">
        <v>900</v>
      </c>
      <c r="G77" s="40" t="s">
        <v>977</v>
      </c>
      <c r="H77" s="40" t="s">
        <v>50</v>
      </c>
      <c r="I77" s="40" t="s">
        <v>1004</v>
      </c>
      <c r="J77" s="40" t="s">
        <v>1005</v>
      </c>
      <c r="K77" s="32" t="s">
        <v>961</v>
      </c>
      <c r="L77" s="40" t="s">
        <v>1000</v>
      </c>
      <c r="M77" s="40" t="s">
        <v>169</v>
      </c>
      <c r="N77" s="40">
        <v>4.0</v>
      </c>
      <c r="O77" s="40" t="s">
        <v>42</v>
      </c>
      <c r="P77" s="40">
        <v>4.0</v>
      </c>
      <c r="Q77" s="32" t="s">
        <v>42</v>
      </c>
      <c r="R77" s="40">
        <v>0.3</v>
      </c>
      <c r="S77" s="40" t="s">
        <v>44</v>
      </c>
      <c r="T77" s="40">
        <v>24.0</v>
      </c>
      <c r="U77" s="40">
        <v>125.0</v>
      </c>
      <c r="V77" s="40" t="s">
        <v>42</v>
      </c>
      <c r="W77" s="40">
        <v>625.0</v>
      </c>
      <c r="X77" s="40" t="s">
        <v>42</v>
      </c>
      <c r="Y77" s="32">
        <v>1.88</v>
      </c>
      <c r="Z77" s="32" t="s">
        <v>46</v>
      </c>
      <c r="AA77" s="40" t="s">
        <v>44</v>
      </c>
      <c r="AB77" s="32">
        <v>20.8</v>
      </c>
      <c r="AC77" s="40" t="s">
        <v>61</v>
      </c>
      <c r="AD77" s="43">
        <f t="shared" si="1"/>
        <v>39.104</v>
      </c>
      <c r="AE77" s="32">
        <v>33.0</v>
      </c>
      <c r="AF77" s="32">
        <v>25.0</v>
      </c>
      <c r="AG77" s="32">
        <v>0.0</v>
      </c>
      <c r="AH77" s="32">
        <v>144.75</v>
      </c>
      <c r="AN77"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Vintage, cada caja rinde 1,88 m2"&amp;" y contiene 24 tablas de 125 mm por 625 mm.")</f>
        <v>Este piso vinílico tipo SPC cuenta con un espesor total de 4 mm y una capa de uso de 0,3 mm, ideal para uso residencial. Presenta un sistema de colocación Click que facilita su instalación. Fabricado en China bajo la línea Vintage, cada caja rinde 1,88 m2 y contiene 24 tablas de 125 mm por 625 mm.</v>
      </c>
    </row>
    <row r="78" ht="15.75" customHeight="1">
      <c r="A78" s="58">
        <v>21518.0</v>
      </c>
      <c r="B78" s="40">
        <v>2.0</v>
      </c>
      <c r="C78" s="32" t="s">
        <v>33</v>
      </c>
      <c r="D78" s="32" t="s">
        <v>34</v>
      </c>
      <c r="E78" s="32" t="s">
        <v>899</v>
      </c>
      <c r="F78" s="40" t="s">
        <v>900</v>
      </c>
      <c r="G78" s="40" t="s">
        <v>977</v>
      </c>
      <c r="H78" s="40" t="s">
        <v>50</v>
      </c>
      <c r="I78" s="40" t="s">
        <v>1004</v>
      </c>
      <c r="J78" s="40" t="s">
        <v>1006</v>
      </c>
      <c r="K78" s="32" t="s">
        <v>961</v>
      </c>
      <c r="L78" s="40" t="s">
        <v>1000</v>
      </c>
      <c r="M78" s="40" t="s">
        <v>169</v>
      </c>
      <c r="N78" s="40">
        <v>4.0</v>
      </c>
      <c r="O78" s="40" t="s">
        <v>42</v>
      </c>
      <c r="P78" s="40">
        <v>4.0</v>
      </c>
      <c r="Q78" s="32" t="s">
        <v>42</v>
      </c>
      <c r="R78" s="40">
        <v>0.3</v>
      </c>
      <c r="S78" s="40" t="s">
        <v>44</v>
      </c>
      <c r="T78" s="40">
        <v>24.0</v>
      </c>
      <c r="U78" s="40">
        <v>125.0</v>
      </c>
      <c r="V78" s="40" t="s">
        <v>42</v>
      </c>
      <c r="W78" s="40">
        <v>625.0</v>
      </c>
      <c r="X78" s="40" t="s">
        <v>42</v>
      </c>
      <c r="Y78" s="32">
        <v>1.88</v>
      </c>
      <c r="Z78" s="32" t="s">
        <v>46</v>
      </c>
      <c r="AA78" s="40" t="s">
        <v>44</v>
      </c>
      <c r="AB78" s="32">
        <v>20.8</v>
      </c>
      <c r="AC78" s="40" t="s">
        <v>61</v>
      </c>
      <c r="AD78" s="43">
        <f t="shared" si="1"/>
        <v>39.104</v>
      </c>
      <c r="AE78" s="32">
        <v>33.0</v>
      </c>
      <c r="AF78" s="32">
        <v>25.0</v>
      </c>
      <c r="AG78" s="32">
        <v>0.0</v>
      </c>
      <c r="AH78" s="32">
        <v>167.3</v>
      </c>
      <c r="AN78"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sin requerir adhesivos. Fabricado en China bajo la línea Vintage "&amp;"de la marca MaxCore, cada caja rinde 1,88 m2 y contiene 24 tablas de 125 mm por 625 mm.")</f>
        <v>Este piso vinílico tipo SPC cuenta con un espesor total de 4 mm y una capa de uso de 0,3 mm, ideal para uso residencial. Presenta un sistema de colocación Click que facilita su instalación, sin requerir adhesivos. Fabricado en China bajo la línea Vintage de la marca MaxCore, cada caja rinde 1,88 m2 y contiene 24 tablas de 125 mm por 625 mm.</v>
      </c>
    </row>
    <row r="79" ht="15.75" customHeight="1">
      <c r="A79" s="58">
        <v>24967.0</v>
      </c>
      <c r="B79" s="40">
        <v>2.0</v>
      </c>
      <c r="C79" s="32" t="s">
        <v>33</v>
      </c>
      <c r="D79" s="32" t="s">
        <v>34</v>
      </c>
      <c r="E79" s="32" t="s">
        <v>899</v>
      </c>
      <c r="F79" s="40" t="s">
        <v>900</v>
      </c>
      <c r="G79" s="40" t="s">
        <v>977</v>
      </c>
      <c r="H79" s="40" t="s">
        <v>50</v>
      </c>
      <c r="I79" s="59">
        <v>2524344.0</v>
      </c>
      <c r="J79" s="59">
        <v>2524344.0</v>
      </c>
      <c r="K79" s="32" t="s">
        <v>961</v>
      </c>
      <c r="L79" s="40" t="s">
        <v>60</v>
      </c>
      <c r="M79" s="40" t="s">
        <v>169</v>
      </c>
      <c r="N79" s="40">
        <v>4.0</v>
      </c>
      <c r="O79" s="40" t="s">
        <v>42</v>
      </c>
      <c r="P79" s="40" t="s">
        <v>904</v>
      </c>
      <c r="Q79" s="32" t="s">
        <v>42</v>
      </c>
      <c r="R79" s="40">
        <v>0.3</v>
      </c>
      <c r="S79" s="40" t="s">
        <v>45</v>
      </c>
      <c r="T79" s="40">
        <v>10.0</v>
      </c>
      <c r="U79" s="40">
        <v>230.0</v>
      </c>
      <c r="V79" s="40" t="s">
        <v>42</v>
      </c>
      <c r="W79" s="40">
        <v>1540.0</v>
      </c>
      <c r="X79" s="40" t="s">
        <v>42</v>
      </c>
      <c r="Y79" s="32">
        <v>3.54</v>
      </c>
      <c r="Z79" s="32" t="s">
        <v>46</v>
      </c>
      <c r="AA79" s="40" t="s">
        <v>44</v>
      </c>
      <c r="AB79" s="32">
        <v>17.3</v>
      </c>
      <c r="AC79" s="40" t="s">
        <v>61</v>
      </c>
      <c r="AD79" s="43">
        <f t="shared" si="1"/>
        <v>61.242</v>
      </c>
      <c r="AE79" s="32">
        <v>44.0</v>
      </c>
      <c r="AF79" s="32">
        <v>30.0</v>
      </c>
      <c r="AG79" s="32">
        <v>1320.0</v>
      </c>
      <c r="AH79" s="32">
        <v>0.0</v>
      </c>
      <c r="AN79"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además de incluir un manto incorporado para mayor confort. Fabric"&amp;"ado en China bajo la línea de oferta, cada caja rinde 3,54 m2 y contiene 10 tablas de 230 mm por 1540 mm.")</f>
        <v>Este piso vinílico tipo SPC cuenta con un espesor total de 4 mm y una capa de uso de 0,3 mm, ideal para uso residencial. Presenta un sistema de colocación Click que facilita su instalación, además de incluir un manto incorporado para mayor confort. Fabricado en China bajo la línea de oferta, cada caja rinde 3,54 m2 y contiene 10 tablas de 230 mm por 1540 mm.</v>
      </c>
    </row>
    <row r="80" ht="15.75" customHeight="1">
      <c r="A80" s="58">
        <v>23114.0</v>
      </c>
      <c r="B80" s="40">
        <v>2.0</v>
      </c>
      <c r="C80" s="32" t="s">
        <v>33</v>
      </c>
      <c r="D80" s="32" t="s">
        <v>34</v>
      </c>
      <c r="E80" s="32" t="s">
        <v>899</v>
      </c>
      <c r="F80" s="40" t="s">
        <v>900</v>
      </c>
      <c r="G80" s="40" t="s">
        <v>977</v>
      </c>
      <c r="H80" s="40" t="s">
        <v>50</v>
      </c>
      <c r="I80" s="40" t="s">
        <v>1007</v>
      </c>
      <c r="J80" s="40" t="s">
        <v>1008</v>
      </c>
      <c r="K80" s="32" t="s">
        <v>961</v>
      </c>
      <c r="L80" s="40" t="s">
        <v>1000</v>
      </c>
      <c r="M80" s="40" t="s">
        <v>169</v>
      </c>
      <c r="N80" s="40">
        <v>4.0</v>
      </c>
      <c r="O80" s="40" t="s">
        <v>42</v>
      </c>
      <c r="P80" s="40">
        <v>4.0</v>
      </c>
      <c r="Q80" s="32" t="s">
        <v>42</v>
      </c>
      <c r="R80" s="40">
        <v>0.3</v>
      </c>
      <c r="S80" s="40" t="s">
        <v>44</v>
      </c>
      <c r="T80" s="40">
        <v>24.0</v>
      </c>
      <c r="U80" s="40">
        <v>125.0</v>
      </c>
      <c r="V80" s="40" t="s">
        <v>42</v>
      </c>
      <c r="W80" s="40">
        <v>625.0</v>
      </c>
      <c r="X80" s="40" t="s">
        <v>42</v>
      </c>
      <c r="Y80" s="32">
        <v>1.88</v>
      </c>
      <c r="Z80" s="32" t="s">
        <v>46</v>
      </c>
      <c r="AA80" s="40" t="s">
        <v>44</v>
      </c>
      <c r="AB80" s="32">
        <v>20.8</v>
      </c>
      <c r="AC80" s="40" t="s">
        <v>61</v>
      </c>
      <c r="AD80" s="43">
        <f t="shared" si="1"/>
        <v>39.104</v>
      </c>
      <c r="AE80" s="32">
        <v>33.0</v>
      </c>
      <c r="AF80" s="32">
        <v>25.0</v>
      </c>
      <c r="AG80" s="32">
        <v>0.0</v>
      </c>
      <c r="AH80" s="32">
        <v>210.56</v>
      </c>
      <c r="AN80" s="43" t="str">
        <f>IFERROR(__xludf.DUMMYFUNCTION("AI(""Completa un valor adecuado para esta celda en función del contexto de la tabla"")"),"Este piso vinílico tipo SPC de la línea Vintage presenta un diseño elegante en Roble Parisien, ideal para uso residencial. Con un espesor total de 4 mm y una capa de uso de 0,3 mm, ofrece durabilidad y resistencia. Su sistema de colocación Click permite u"&amp;"na instalación rápida y sencilla sin necesidad de adhesivos. Fabricado en China, cada caja rinde 1,88 m2 y contiene 24 tablas de 125 mm de ancho por 625 mm de largo. Es una solución moderna que combina estética natural con tecnología de alta resistencia.")</f>
        <v>Este piso vinílico tipo SPC de la línea Vintage presenta un diseño elegante en Roble Parisien, ideal para uso residencial. Con un espesor total de 4 mm y una capa de uso de 0,3 mm, ofrece durabilidad y resistencia. Su sistema de colocación Click permite una instalación rápida y sencilla sin necesidad de adhesivos. Fabricado en China, cada caja rinde 1,88 m2 y contiene 24 tablas de 125 mm de ancho por 625 mm de largo. Es una solución moderna que combina estética natural con tecnología de alta resistencia.</v>
      </c>
    </row>
    <row r="81" ht="15.75" customHeight="1">
      <c r="A81" s="58">
        <v>23115.0</v>
      </c>
      <c r="B81" s="40">
        <v>2.0</v>
      </c>
      <c r="C81" s="32" t="s">
        <v>33</v>
      </c>
      <c r="D81" s="32" t="s">
        <v>34</v>
      </c>
      <c r="E81" s="32" t="s">
        <v>899</v>
      </c>
      <c r="F81" s="40" t="s">
        <v>900</v>
      </c>
      <c r="G81" s="40" t="s">
        <v>977</v>
      </c>
      <c r="H81" s="40" t="s">
        <v>50</v>
      </c>
      <c r="I81" s="40" t="s">
        <v>1007</v>
      </c>
      <c r="J81" s="40" t="s">
        <v>1009</v>
      </c>
      <c r="K81" s="32" t="s">
        <v>961</v>
      </c>
      <c r="L81" s="40" t="s">
        <v>1000</v>
      </c>
      <c r="M81" s="40" t="s">
        <v>169</v>
      </c>
      <c r="N81" s="40">
        <v>4.0</v>
      </c>
      <c r="O81" s="40" t="s">
        <v>42</v>
      </c>
      <c r="P81" s="40">
        <v>4.0</v>
      </c>
      <c r="Q81" s="32" t="s">
        <v>42</v>
      </c>
      <c r="R81" s="40">
        <v>0.3</v>
      </c>
      <c r="S81" s="40" t="s">
        <v>44</v>
      </c>
      <c r="T81" s="40">
        <v>24.0</v>
      </c>
      <c r="U81" s="40">
        <v>125.0</v>
      </c>
      <c r="V81" s="40" t="s">
        <v>42</v>
      </c>
      <c r="W81" s="40">
        <v>625.0</v>
      </c>
      <c r="X81" s="40" t="s">
        <v>42</v>
      </c>
      <c r="Y81" s="32">
        <v>1.88</v>
      </c>
      <c r="Z81" s="32" t="s">
        <v>46</v>
      </c>
      <c r="AA81" s="40" t="s">
        <v>44</v>
      </c>
      <c r="AB81" s="32">
        <v>20.8</v>
      </c>
      <c r="AC81" s="40" t="s">
        <v>61</v>
      </c>
      <c r="AD81" s="43">
        <f t="shared" si="1"/>
        <v>39.104</v>
      </c>
      <c r="AE81" s="32">
        <v>33.0</v>
      </c>
      <c r="AF81" s="32">
        <v>25.0</v>
      </c>
      <c r="AG81" s="32">
        <v>0.0</v>
      </c>
      <c r="AH81" s="32">
        <v>248.15</v>
      </c>
      <c r="AN81"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Vintage de la marca MaxCore, cad"&amp;"a caja rinde 1,88 m2 y contiene 24 tablas de 125 mm por 625 mm.")</f>
        <v>Este piso vinílico tipo SPC cuenta con un espesor total de 4 mm y una capa de uso de 0,3 mm, ideal para uso residencial. Presenta un sistema de colocación Click que facilita su instalación. Fabricado en China bajo la línea Vintage de la marca MaxCore, cada caja rinde 1,88 m2 y contiene 24 tablas de 125 mm por 625 mm.</v>
      </c>
    </row>
    <row r="82" ht="15.75" customHeight="1">
      <c r="A82" s="58">
        <v>24628.0</v>
      </c>
      <c r="B82" s="40">
        <v>2.0</v>
      </c>
      <c r="C82" s="32" t="s">
        <v>33</v>
      </c>
      <c r="D82" s="32" t="s">
        <v>34</v>
      </c>
      <c r="E82" s="32" t="s">
        <v>899</v>
      </c>
      <c r="F82" s="40" t="s">
        <v>900</v>
      </c>
      <c r="G82" s="40" t="s">
        <v>977</v>
      </c>
      <c r="H82" s="40" t="s">
        <v>50</v>
      </c>
      <c r="I82" s="40" t="s">
        <v>1010</v>
      </c>
      <c r="J82" s="40">
        <v>8012.0</v>
      </c>
      <c r="K82" s="32" t="s">
        <v>961</v>
      </c>
      <c r="L82" s="40" t="s">
        <v>60</v>
      </c>
      <c r="M82" s="40" t="s">
        <v>54</v>
      </c>
      <c r="N82" s="40">
        <v>6.0</v>
      </c>
      <c r="O82" s="40" t="s">
        <v>42</v>
      </c>
      <c r="P82" s="40" t="s">
        <v>95</v>
      </c>
      <c r="Q82" s="32" t="s">
        <v>42</v>
      </c>
      <c r="R82" s="40">
        <v>0.75</v>
      </c>
      <c r="S82" s="40" t="s">
        <v>45</v>
      </c>
      <c r="T82" s="40">
        <v>5.0</v>
      </c>
      <c r="U82" s="40">
        <v>225.0</v>
      </c>
      <c r="V82" s="40" t="s">
        <v>42</v>
      </c>
      <c r="W82" s="40">
        <v>1522.0</v>
      </c>
      <c r="X82" s="40" t="s">
        <v>42</v>
      </c>
      <c r="Y82" s="32">
        <v>1.71</v>
      </c>
      <c r="Z82" s="32" t="s">
        <v>46</v>
      </c>
      <c r="AA82" s="40" t="s">
        <v>44</v>
      </c>
      <c r="AB82" s="32">
        <v>17.7</v>
      </c>
      <c r="AC82" s="40" t="s">
        <v>61</v>
      </c>
      <c r="AD82" s="43">
        <f t="shared" si="1"/>
        <v>30.267</v>
      </c>
      <c r="AF82" s="32">
        <v>25.0</v>
      </c>
      <c r="AG82" s="32">
        <v>0.0</v>
      </c>
      <c r="AH82" s="32">
        <v>1723.68</v>
      </c>
      <c r="AN82" s="43" t="str">
        <f>IFERROR(__xludf.DUMMYFUNCTION("AI(""Completa un valor adecuado para esta celda en función del contexto de la tabla"")"),"Este piso vinílico tipo SPC cuenta con un espesor total de 6 mm y una capa de uso de 0,75 mm, lo que lo hace apto para uso comercial. Presenta un sistema de colocación Click que facilita su instalación e incluye un manto incorporado para mayor confort. Fa"&amp;"bricado en China bajo la línea de oferta, cada caja rinde 1,71 m2 y contiene 5 tablas de 225 mm por 1522 mm.")</f>
        <v>Este piso vinílico tipo SPC cuenta con un espesor total de 6 mm y una capa de uso de 0,75 mm, lo que lo hace apto para uso comercial. Presenta un sistema de colocación Click que facilita su instalación e incluye un manto incorporado para mayor confort. Fabricado en China bajo la línea de oferta, cada caja rinde 1,71 m2 y contiene 5 tablas de 225 mm por 1522 mm.</v>
      </c>
    </row>
    <row r="83" ht="15.75" customHeight="1">
      <c r="A83" s="58">
        <v>23110.0</v>
      </c>
      <c r="B83" s="40">
        <v>2.0</v>
      </c>
      <c r="C83" s="32" t="s">
        <v>33</v>
      </c>
      <c r="D83" s="32" t="s">
        <v>34</v>
      </c>
      <c r="E83" s="32" t="s">
        <v>899</v>
      </c>
      <c r="F83" s="40" t="s">
        <v>900</v>
      </c>
      <c r="G83" s="40" t="s">
        <v>977</v>
      </c>
      <c r="H83" s="40" t="s">
        <v>50</v>
      </c>
      <c r="I83" s="40" t="s">
        <v>1011</v>
      </c>
      <c r="J83" s="40" t="s">
        <v>1012</v>
      </c>
      <c r="K83" s="32" t="s">
        <v>961</v>
      </c>
      <c r="L83" s="40" t="s">
        <v>1000</v>
      </c>
      <c r="M83" s="40" t="s">
        <v>169</v>
      </c>
      <c r="N83" s="40">
        <v>4.0</v>
      </c>
      <c r="O83" s="40" t="s">
        <v>42</v>
      </c>
      <c r="P83" s="40">
        <v>4.0</v>
      </c>
      <c r="Q83" s="32" t="s">
        <v>42</v>
      </c>
      <c r="R83" s="40">
        <v>0.3</v>
      </c>
      <c r="S83" s="40" t="s">
        <v>44</v>
      </c>
      <c r="T83" s="40">
        <v>24.0</v>
      </c>
      <c r="U83" s="40">
        <v>125.0</v>
      </c>
      <c r="V83" s="40" t="s">
        <v>42</v>
      </c>
      <c r="W83" s="40">
        <v>625.0</v>
      </c>
      <c r="X83" s="40" t="s">
        <v>42</v>
      </c>
      <c r="Y83" s="32">
        <v>1.88</v>
      </c>
      <c r="Z83" s="32" t="s">
        <v>46</v>
      </c>
      <c r="AA83" s="40" t="s">
        <v>44</v>
      </c>
      <c r="AB83" s="32">
        <v>20.8</v>
      </c>
      <c r="AC83" s="40" t="s">
        <v>61</v>
      </c>
      <c r="AD83" s="43">
        <f t="shared" si="1"/>
        <v>39.104</v>
      </c>
      <c r="AE83" s="32">
        <v>33.0</v>
      </c>
      <c r="AF83" s="32">
        <v>25.0</v>
      </c>
      <c r="AG83" s="32">
        <v>0.0</v>
      </c>
      <c r="AH83" s="32">
        <v>265.08</v>
      </c>
      <c r="AN83"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Vintage de MaxCore, cada caja ri"&amp;"nde 1,88 m2 y contiene 24 tablas de 125 mm por 625 mm.")</f>
        <v>Este piso vinílico tipo SPC cuenta con un espesor total de 4 mm y una capa de uso de 0,3 mm, ideal para uso residencial. Presenta un sistema de colocación Click que facilita su instalación. Fabricado en China bajo la línea Vintage de MaxCore, cada caja rinde 1,88 m2 y contiene 24 tablas de 125 mm por 625 mm.</v>
      </c>
    </row>
    <row r="84" ht="15.75" customHeight="1">
      <c r="A84" s="58">
        <v>23111.0</v>
      </c>
      <c r="B84" s="40">
        <v>2.0</v>
      </c>
      <c r="C84" s="32" t="s">
        <v>33</v>
      </c>
      <c r="D84" s="32" t="s">
        <v>34</v>
      </c>
      <c r="E84" s="32" t="s">
        <v>899</v>
      </c>
      <c r="F84" s="40" t="s">
        <v>900</v>
      </c>
      <c r="G84" s="40" t="s">
        <v>977</v>
      </c>
      <c r="H84" s="40" t="s">
        <v>50</v>
      </c>
      <c r="I84" s="40" t="s">
        <v>1011</v>
      </c>
      <c r="J84" s="40" t="s">
        <v>1013</v>
      </c>
      <c r="K84" s="32" t="s">
        <v>961</v>
      </c>
      <c r="L84" s="40" t="s">
        <v>1000</v>
      </c>
      <c r="M84" s="40" t="s">
        <v>169</v>
      </c>
      <c r="N84" s="40">
        <v>4.0</v>
      </c>
      <c r="O84" s="40" t="s">
        <v>42</v>
      </c>
      <c r="P84" s="40">
        <v>4.0</v>
      </c>
      <c r="Q84" s="32" t="s">
        <v>42</v>
      </c>
      <c r="R84" s="40">
        <v>0.3</v>
      </c>
      <c r="S84" s="40" t="s">
        <v>44</v>
      </c>
      <c r="T84" s="40">
        <v>24.0</v>
      </c>
      <c r="U84" s="40">
        <v>125.0</v>
      </c>
      <c r="V84" s="40" t="s">
        <v>42</v>
      </c>
      <c r="W84" s="40">
        <v>625.0</v>
      </c>
      <c r="X84" s="40" t="s">
        <v>42</v>
      </c>
      <c r="Y84" s="32">
        <v>1.88</v>
      </c>
      <c r="Z84" s="32" t="s">
        <v>46</v>
      </c>
      <c r="AA84" s="40" t="s">
        <v>44</v>
      </c>
      <c r="AB84" s="32">
        <v>20.8</v>
      </c>
      <c r="AC84" s="40" t="s">
        <v>61</v>
      </c>
      <c r="AD84" s="43">
        <f t="shared" si="1"/>
        <v>39.104</v>
      </c>
      <c r="AE84" s="32">
        <v>33.0</v>
      </c>
      <c r="AF84" s="32">
        <v>25.0</v>
      </c>
      <c r="AG84" s="32">
        <v>0.0</v>
      </c>
      <c r="AH84" s="32">
        <v>266.96</v>
      </c>
      <c r="AN84"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Vintage de MaxCore, cada caja ri"&amp;"nde 1,88 m2 y contiene 24 tablas de 125 mm por 625 mm.")</f>
        <v>Este piso vinílico tipo SPC cuenta con un espesor total de 4 mm y una capa de uso de 0,3 mm, ideal para uso residencial. Presenta un sistema de colocación Click que facilita su instalación. Fabricado en China bajo la línea Vintage de MaxCore, cada caja rinde 1,88 m2 y contiene 24 tablas de 125 mm por 625 mm.</v>
      </c>
    </row>
    <row r="85" ht="15.75" customHeight="1">
      <c r="A85" s="58">
        <v>22277.0</v>
      </c>
      <c r="B85" s="40">
        <v>2.0</v>
      </c>
      <c r="C85" s="32" t="s">
        <v>33</v>
      </c>
      <c r="D85" s="32" t="s">
        <v>34</v>
      </c>
      <c r="E85" s="32" t="s">
        <v>899</v>
      </c>
      <c r="F85" s="40" t="s">
        <v>900</v>
      </c>
      <c r="G85" s="40" t="s">
        <v>977</v>
      </c>
      <c r="H85" s="40" t="s">
        <v>50</v>
      </c>
      <c r="I85" s="40" t="s">
        <v>1014</v>
      </c>
      <c r="J85" s="40" t="s">
        <v>1014</v>
      </c>
      <c r="K85" s="32" t="s">
        <v>982</v>
      </c>
      <c r="L85" s="40" t="s">
        <v>982</v>
      </c>
      <c r="M85" s="40" t="s">
        <v>169</v>
      </c>
      <c r="N85" s="40">
        <v>4.0</v>
      </c>
      <c r="O85" s="40" t="s">
        <v>42</v>
      </c>
      <c r="P85" s="40">
        <v>4.0</v>
      </c>
      <c r="Q85" s="32" t="s">
        <v>42</v>
      </c>
      <c r="R85" s="40">
        <v>0.3</v>
      </c>
      <c r="S85" s="40" t="s">
        <v>44</v>
      </c>
      <c r="T85" s="40">
        <v>12.0</v>
      </c>
      <c r="U85" s="40">
        <v>182.0</v>
      </c>
      <c r="V85" s="40" t="s">
        <v>42</v>
      </c>
      <c r="W85" s="40">
        <v>1220.0</v>
      </c>
      <c r="X85" s="40" t="s">
        <v>42</v>
      </c>
      <c r="Y85" s="32">
        <v>2.67</v>
      </c>
      <c r="Z85" s="32" t="s">
        <v>46</v>
      </c>
      <c r="AA85" s="40" t="s">
        <v>44</v>
      </c>
      <c r="AB85" s="32">
        <v>21.2</v>
      </c>
      <c r="AC85" s="40" t="s">
        <v>61</v>
      </c>
      <c r="AD85" s="43">
        <f t="shared" si="1"/>
        <v>56.604</v>
      </c>
      <c r="AF85" s="32">
        <v>25.0</v>
      </c>
      <c r="AG85" s="32">
        <v>0.0</v>
      </c>
      <c r="AH85" s="32">
        <v>2645.0</v>
      </c>
      <c r="AN85"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sin manto incorporado. Fabricado en China bajo la marca Aquablue,"&amp;" cada caja rinde 2,67 m2 y contiene 12 tablas de 182 mm por 1220 mm.")</f>
        <v>Este piso vinílico tipo SPC cuenta con un espesor total de 4 mm y una capa de uso de 0,3 mm, ideal para uso residencial. Presenta un sistema de colocación Click que facilita su instalación, sin manto incorporado. Fabricado en China bajo la marca Aquablue, cada caja rinde 2,67 m2 y contiene 12 tablas de 182 mm por 1220 mm.</v>
      </c>
    </row>
    <row r="86" ht="15.75" customHeight="1">
      <c r="A86" s="58">
        <v>24627.0</v>
      </c>
      <c r="B86" s="40">
        <v>2.0</v>
      </c>
      <c r="C86" s="32" t="s">
        <v>33</v>
      </c>
      <c r="D86" s="32" t="s">
        <v>34</v>
      </c>
      <c r="E86" s="32" t="s">
        <v>899</v>
      </c>
      <c r="F86" s="40" t="s">
        <v>900</v>
      </c>
      <c r="G86" s="40" t="s">
        <v>977</v>
      </c>
      <c r="H86" s="40" t="s">
        <v>50</v>
      </c>
      <c r="I86" s="40" t="s">
        <v>1015</v>
      </c>
      <c r="J86" s="40">
        <v>8010.0</v>
      </c>
      <c r="K86" s="32" t="s">
        <v>961</v>
      </c>
      <c r="L86" s="40" t="s">
        <v>60</v>
      </c>
      <c r="M86" s="40" t="s">
        <v>1016</v>
      </c>
      <c r="N86" s="40">
        <v>5.0</v>
      </c>
      <c r="O86" s="40" t="s">
        <v>42</v>
      </c>
      <c r="P86" s="40" t="s">
        <v>1017</v>
      </c>
      <c r="Q86" s="32" t="s">
        <v>42</v>
      </c>
      <c r="R86" s="40">
        <v>0.5</v>
      </c>
      <c r="S86" s="40" t="s">
        <v>45</v>
      </c>
      <c r="T86" s="40">
        <v>8.0</v>
      </c>
      <c r="U86" s="40">
        <v>181.0</v>
      </c>
      <c r="V86" s="40" t="s">
        <v>42</v>
      </c>
      <c r="W86" s="40">
        <v>1220.0</v>
      </c>
      <c r="X86" s="40" t="s">
        <v>42</v>
      </c>
      <c r="Y86" s="32">
        <v>1.76</v>
      </c>
      <c r="Z86" s="32" t="s">
        <v>46</v>
      </c>
      <c r="AA86" s="40" t="s">
        <v>44</v>
      </c>
      <c r="AB86" s="32">
        <v>17.7</v>
      </c>
      <c r="AC86" s="40" t="s">
        <v>47</v>
      </c>
      <c r="AD86" s="43">
        <f t="shared" si="1"/>
        <v>31.152</v>
      </c>
      <c r="AF86" s="32">
        <v>25.0</v>
      </c>
      <c r="AG86" s="32">
        <v>0.0</v>
      </c>
      <c r="AH86" s="32">
        <v>1798.72</v>
      </c>
      <c r="AN86" s="43"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de oferta, cada caja rinde 1,76 m2 y contiene 8 tablas de 181 mm por 1220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de oferta, cada caja rinde 1,76 m2 y contiene 8 tablas de 181 mm por 1220 mm.</v>
      </c>
    </row>
    <row r="87" ht="15.75" customHeight="1">
      <c r="A87" s="58">
        <v>21298.0</v>
      </c>
      <c r="B87" s="40">
        <v>2.0</v>
      </c>
      <c r="C87" s="32" t="s">
        <v>33</v>
      </c>
      <c r="D87" s="32" t="s">
        <v>34</v>
      </c>
      <c r="E87" s="32" t="s">
        <v>899</v>
      </c>
      <c r="F87" s="40" t="s">
        <v>900</v>
      </c>
      <c r="G87" s="40" t="s">
        <v>977</v>
      </c>
      <c r="H87" s="40" t="s">
        <v>50</v>
      </c>
      <c r="I87" s="40" t="s">
        <v>870</v>
      </c>
      <c r="J87" s="40">
        <v>3002.0</v>
      </c>
      <c r="K87" s="32" t="s">
        <v>961</v>
      </c>
      <c r="L87" s="40" t="s">
        <v>1018</v>
      </c>
      <c r="M87" s="40" t="s">
        <v>169</v>
      </c>
      <c r="N87" s="40">
        <v>4.0</v>
      </c>
      <c r="O87" s="40" t="s">
        <v>42</v>
      </c>
      <c r="P87" s="40">
        <v>4.0</v>
      </c>
      <c r="Q87" s="32" t="s">
        <v>42</v>
      </c>
      <c r="R87" s="40">
        <v>0.3</v>
      </c>
      <c r="S87" s="40" t="s">
        <v>44</v>
      </c>
      <c r="T87" s="40">
        <v>12.0</v>
      </c>
      <c r="U87" s="40">
        <v>610.0</v>
      </c>
      <c r="V87" s="40" t="s">
        <v>42</v>
      </c>
      <c r="W87" s="40">
        <v>305.0</v>
      </c>
      <c r="X87" s="40" t="s">
        <v>42</v>
      </c>
      <c r="Y87" s="32">
        <v>2.24</v>
      </c>
      <c r="Z87" s="32" t="s">
        <v>46</v>
      </c>
      <c r="AA87" s="40" t="s">
        <v>44</v>
      </c>
      <c r="AB87" s="32">
        <v>17.85</v>
      </c>
      <c r="AC87" s="40" t="s">
        <v>47</v>
      </c>
      <c r="AD87" s="43">
        <f t="shared" si="1"/>
        <v>39.984</v>
      </c>
      <c r="AE87" s="32">
        <v>33.0</v>
      </c>
      <c r="AF87" s="32">
        <v>25.0</v>
      </c>
      <c r="AG87" s="32">
        <v>0.0</v>
      </c>
      <c r="AH87" s="32">
        <v>1628.48</v>
      </c>
      <c r="AN87" s="43" t="str">
        <f>IFERROR(__xludf.DUMMYFUNCTION("AI(""Completa un valor adecuado para esta celda en función del contexto de la tabla"")"),"Este piso vinílico tipo SPC con diseño Cemento Alisado presenta un espesor total de 4 mm y una capa de uso de 0,3 mm, lo que lo hace apto para uso residencial. Su sistema de colocación Click permite una instalación rápida sin adhesivos, aunque no incluye "&amp;"manto incorporado. Fabricado en China bajo la línea Tablet de MaxCore, cada caja rinde 2,24 m2 y contiene 12 tablas de 610 mm por 305 mm.")</f>
        <v>Este piso vinílico tipo SPC con diseño Cemento Alisado presenta un espesor total de 4 mm y una capa de uso de 0,3 mm, lo que lo hace apto para uso residencial. Su sistema de colocación Click permite una instalación rápida sin adhesivos, aunque no incluye manto incorporado. Fabricado en China bajo la línea Tablet de MaxCore, cada caja rinde 2,24 m2 y contiene 12 tablas de 610 mm por 305 mm.</v>
      </c>
    </row>
    <row r="88" ht="15.75" customHeight="1">
      <c r="A88" s="58">
        <v>19400.0</v>
      </c>
      <c r="B88" s="40">
        <v>2.0</v>
      </c>
      <c r="C88" s="32" t="s">
        <v>33</v>
      </c>
      <c r="D88" s="32" t="s">
        <v>34</v>
      </c>
      <c r="E88" s="32" t="s">
        <v>899</v>
      </c>
      <c r="F88" s="40" t="s">
        <v>900</v>
      </c>
      <c r="G88" s="40" t="s">
        <v>920</v>
      </c>
      <c r="H88" s="40" t="s">
        <v>50</v>
      </c>
      <c r="I88" s="40" t="s">
        <v>1019</v>
      </c>
      <c r="J88" s="40" t="s">
        <v>1020</v>
      </c>
      <c r="K88" s="32" t="s">
        <v>965</v>
      </c>
      <c r="L88" s="40" t="s">
        <v>1021</v>
      </c>
      <c r="M88" s="40" t="s">
        <v>169</v>
      </c>
      <c r="N88" s="40">
        <v>4.0</v>
      </c>
      <c r="O88" s="40" t="s">
        <v>1022</v>
      </c>
      <c r="P88" s="40">
        <v>4.0</v>
      </c>
      <c r="Q88" s="32" t="s">
        <v>42</v>
      </c>
      <c r="R88" s="40">
        <v>0.3</v>
      </c>
      <c r="S88" s="40" t="s">
        <v>44</v>
      </c>
      <c r="T88" s="40">
        <v>12.0</v>
      </c>
      <c r="U88" s="40">
        <v>180.0</v>
      </c>
      <c r="V88" s="40" t="s">
        <v>42</v>
      </c>
      <c r="W88" s="40">
        <v>1210.0</v>
      </c>
      <c r="X88" s="40" t="s">
        <v>42</v>
      </c>
      <c r="Y88" s="32">
        <v>2.63</v>
      </c>
      <c r="Z88" s="32" t="s">
        <v>46</v>
      </c>
      <c r="AA88" s="40" t="s">
        <v>44</v>
      </c>
      <c r="AB88" s="32">
        <v>15.5</v>
      </c>
      <c r="AC88" s="40" t="s">
        <v>47</v>
      </c>
      <c r="AD88" s="43">
        <f t="shared" si="1"/>
        <v>40.765</v>
      </c>
      <c r="AF88" s="32">
        <v>25.0</v>
      </c>
      <c r="AN88" s="43" t="str">
        <f>IFERROR(__xludf.DUMMYFUNCTION("AI(""Completa un valor adecuado para esta celda en función del contexto de la tabla"")"),"Este piso vinílico tipo LVT cuenta con un espesor total de 4 mm y una capa de uso de 0,3 mm, ideal para uso residencial. Presenta un sistema de colocación Click que facilita su instalación. Fabricado en China bajo la línea Challet Click, cada caja rinde 2"&amp;",63 m2 y contiene 12 tablas de 180 mm por 1210 mm.")</f>
        <v>Este piso vinílico tipo LVT cuenta con un espesor total de 4 mm y una capa de uso de 0,3 mm, ideal para uso residencial. Presenta un sistema de colocación Click que facilita su instalación. Fabricado en China bajo la línea Challet Click, cada caja rinde 2,63 m2 y contiene 12 tablas de 180 mm por 1210 mm.</v>
      </c>
    </row>
    <row r="89" ht="15.75" customHeight="1">
      <c r="A89" s="58">
        <v>24977.0</v>
      </c>
      <c r="B89" s="40">
        <v>2.0</v>
      </c>
      <c r="C89" s="32" t="s">
        <v>33</v>
      </c>
      <c r="D89" s="32" t="s">
        <v>34</v>
      </c>
      <c r="E89" s="32" t="s">
        <v>899</v>
      </c>
      <c r="F89" s="40" t="s">
        <v>900</v>
      </c>
      <c r="G89" s="40" t="s">
        <v>977</v>
      </c>
      <c r="H89" s="40" t="s">
        <v>50</v>
      </c>
      <c r="I89" s="40" t="s">
        <v>1023</v>
      </c>
      <c r="J89" s="40" t="s">
        <v>1023</v>
      </c>
      <c r="K89" s="32" t="s">
        <v>961</v>
      </c>
      <c r="L89" s="40" t="s">
        <v>60</v>
      </c>
      <c r="M89" s="40" t="s">
        <v>169</v>
      </c>
      <c r="N89" s="40">
        <v>5.0</v>
      </c>
      <c r="O89" s="40" t="s">
        <v>1022</v>
      </c>
      <c r="P89" s="40" t="s">
        <v>904</v>
      </c>
      <c r="Q89" s="32" t="s">
        <v>42</v>
      </c>
      <c r="R89" s="40">
        <v>0.3</v>
      </c>
      <c r="S89" s="40" t="s">
        <v>45</v>
      </c>
      <c r="T89" s="40">
        <v>10.0</v>
      </c>
      <c r="U89" s="40">
        <v>230.0</v>
      </c>
      <c r="V89" s="40" t="s">
        <v>42</v>
      </c>
      <c r="W89" s="40">
        <v>1540.0</v>
      </c>
      <c r="X89" s="40" t="s">
        <v>42</v>
      </c>
      <c r="Y89" s="32">
        <v>3.54</v>
      </c>
      <c r="Z89" s="32" t="s">
        <v>46</v>
      </c>
      <c r="AA89" s="40" t="s">
        <v>44</v>
      </c>
      <c r="AB89" s="32">
        <v>15.5</v>
      </c>
      <c r="AC89" s="40" t="s">
        <v>47</v>
      </c>
      <c r="AD89" s="43">
        <f t="shared" si="1"/>
        <v>54.87</v>
      </c>
      <c r="AF89" s="32">
        <v>30.0</v>
      </c>
      <c r="AN89" s="43" t="str">
        <f>IFERROR(__xludf.DUMMYFUNCTION("AI(""Completa un valor adecuado para esta celda en función del contexto de la tabla"")"),"Este piso vinílico tipo SPC cuenta con un espesor total de 5 mm y una capa de uso de 0,3 mm, ideal para uso residencial. Presenta un sistema de colocación Click que facilita su instalación, además de incluir un manto incorporado para mayor confort. Fabric"&amp;"ado en China bajo la línea de oferta, cada caja rinde 3,54 m2 y contiene 10 tablas de 230 mm por 1540 mm.")</f>
        <v>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cada caja rinde 3,54 m2 y contiene 10 tablas de 230 mm por 1540 mm.</v>
      </c>
    </row>
    <row r="90" ht="15.75" customHeight="1">
      <c r="A90" s="63">
        <v>20223.0</v>
      </c>
      <c r="B90" s="40">
        <v>2.0</v>
      </c>
      <c r="C90" s="32" t="s">
        <v>33</v>
      </c>
      <c r="D90" s="32" t="s">
        <v>34</v>
      </c>
      <c r="E90" s="48" t="s">
        <v>899</v>
      </c>
      <c r="F90" s="45" t="s">
        <v>900</v>
      </c>
      <c r="G90" s="45" t="s">
        <v>977</v>
      </c>
      <c r="H90" s="45" t="s">
        <v>50</v>
      </c>
      <c r="I90" s="46" t="s">
        <v>1024</v>
      </c>
      <c r="J90" s="46">
        <v>1101.0</v>
      </c>
      <c r="K90" s="48" t="s">
        <v>961</v>
      </c>
      <c r="L90" s="46" t="s">
        <v>1025</v>
      </c>
      <c r="M90" s="40" t="s">
        <v>54</v>
      </c>
      <c r="N90" s="46">
        <v>4.5</v>
      </c>
      <c r="O90" s="45" t="s">
        <v>42</v>
      </c>
      <c r="P90" s="46">
        <v>4.5</v>
      </c>
      <c r="Q90" s="48" t="s">
        <v>42</v>
      </c>
      <c r="R90" s="46">
        <v>0.5</v>
      </c>
      <c r="S90" s="46" t="s">
        <v>44</v>
      </c>
      <c r="T90" s="46">
        <v>12.0</v>
      </c>
      <c r="U90" s="46">
        <v>125.0</v>
      </c>
      <c r="V90" s="45" t="s">
        <v>42</v>
      </c>
      <c r="W90" s="46">
        <v>1220.0</v>
      </c>
      <c r="X90" s="45" t="s">
        <v>42</v>
      </c>
      <c r="Y90" s="64">
        <v>1.83</v>
      </c>
      <c r="Z90" s="48" t="s">
        <v>46</v>
      </c>
      <c r="AA90" s="46" t="s">
        <v>45</v>
      </c>
      <c r="AB90" s="64">
        <v>18.7</v>
      </c>
      <c r="AC90" s="45" t="s">
        <v>61</v>
      </c>
      <c r="AD90" s="57">
        <f t="shared" si="1"/>
        <v>34.221</v>
      </c>
      <c r="AE90" s="48"/>
      <c r="AF90" s="57">
        <v>25.0</v>
      </c>
      <c r="AG90" s="57">
        <v>0.0</v>
      </c>
      <c r="AH90" s="49">
        <v>217.77</v>
      </c>
      <c r="AI90" s="48"/>
      <c r="AJ90" s="48"/>
      <c r="AK90" s="48"/>
      <c r="AL90" s="48"/>
      <c r="AM90" s="48"/>
      <c r="AN90" s="48" t="str">
        <f>IFERROR(__xludf.DUMMYFUNCTION("AI(""Completa un valor adecuado para esta celda en función del contexto de la tabla"")"),"Este piso vinílico tipo SPC cuenta con un espesor total de 4,5 mm y una capa de uso de 0,5 mm, ideal para uso comercial. Presenta un sistema de colocación Click que facilita su instalación y cuenta con bisel. Fabricado en China bajo la línea Narrow, cada "&amp;"caja rinde 1,83 m2 y contiene 12 tablas de 125 mm por 1220 mm.")</f>
        <v>Este piso vinílico tipo SPC cuenta con un espesor total de 4,5 mm y una capa de uso de 0,5 mm, ideal para uso comercial. Presenta un sistema de colocación Click que facilita su instalación y cuenta con bisel. Fabricado en China bajo la línea Narrow, cada caja rinde 1,83 m2 y contiene 12 tablas de 125 mm por 1220 mm.</v>
      </c>
    </row>
    <row r="91" ht="15.75" customHeight="1">
      <c r="A91" s="58">
        <v>25027.0</v>
      </c>
      <c r="B91" s="40">
        <v>2.0</v>
      </c>
      <c r="C91" s="32" t="s">
        <v>33</v>
      </c>
      <c r="D91" s="32" t="s">
        <v>34</v>
      </c>
      <c r="E91" s="32" t="s">
        <v>899</v>
      </c>
      <c r="F91" s="40" t="s">
        <v>900</v>
      </c>
      <c r="G91" s="40" t="s">
        <v>977</v>
      </c>
      <c r="H91" s="40" t="s">
        <v>50</v>
      </c>
      <c r="I91" s="65">
        <v>147590.0</v>
      </c>
      <c r="J91" s="65">
        <v>147590.0</v>
      </c>
      <c r="K91" s="32" t="s">
        <v>961</v>
      </c>
      <c r="L91" s="40" t="s">
        <v>60</v>
      </c>
      <c r="M91" s="40" t="s">
        <v>169</v>
      </c>
      <c r="N91" s="40">
        <v>5.0</v>
      </c>
      <c r="O91" s="40" t="s">
        <v>42</v>
      </c>
      <c r="P91" s="40" t="s">
        <v>904</v>
      </c>
      <c r="Q91" s="32" t="s">
        <v>42</v>
      </c>
      <c r="R91" s="40">
        <v>0.3</v>
      </c>
      <c r="S91" s="40" t="s">
        <v>45</v>
      </c>
      <c r="T91" s="40">
        <v>10.0</v>
      </c>
      <c r="U91" s="40">
        <v>230.0</v>
      </c>
      <c r="V91" s="40" t="s">
        <v>42</v>
      </c>
      <c r="W91" s="40">
        <v>1540.0</v>
      </c>
      <c r="X91" s="40" t="s">
        <v>42</v>
      </c>
      <c r="Y91" s="32">
        <v>3.54</v>
      </c>
      <c r="Z91" s="32" t="s">
        <v>46</v>
      </c>
      <c r="AA91" s="40" t="s">
        <v>44</v>
      </c>
      <c r="AB91" s="32">
        <v>15.5</v>
      </c>
      <c r="AC91" s="40" t="s">
        <v>61</v>
      </c>
      <c r="AD91" s="57">
        <f t="shared" si="1"/>
        <v>54.87</v>
      </c>
      <c r="AF91" s="32">
        <v>30.0</v>
      </c>
      <c r="AN91" s="43" t="str">
        <f>IFERROR(__xludf.DUMMYFUNCTION("AI(""Completa un valor adecuado para esta celda en función del contexto de la tabla"")"),"Este piso vinílico tipo SPC cuenta con un espesor total de 5 mm y una capa de uso de 0,3 mm, ideal para uso residencial. Presenta un sistema de colocación Click que facilita su instalación, además de incluir un manto incorporado para mayor confort. Fabric"&amp;"ado en China bajo la línea de oferta de la marca MaxCore, cada caja rinde 3,54 m2 y contiene 10 tablas de 230 mm por 1540 mm.")</f>
        <v>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de la marca MaxCore, cada caja rinde 3,54 m2 y contiene 10 tablas de 230 mm por 1540 mm.</v>
      </c>
    </row>
    <row r="92" ht="15.75" customHeight="1">
      <c r="A92" s="58">
        <v>24976.0</v>
      </c>
      <c r="B92" s="40">
        <v>2.0</v>
      </c>
      <c r="C92" s="32" t="s">
        <v>33</v>
      </c>
      <c r="D92" s="32" t="s">
        <v>34</v>
      </c>
      <c r="E92" s="32" t="s">
        <v>899</v>
      </c>
      <c r="F92" s="40" t="s">
        <v>900</v>
      </c>
      <c r="G92" s="40" t="s">
        <v>977</v>
      </c>
      <c r="H92" s="40" t="s">
        <v>50</v>
      </c>
      <c r="I92" s="40" t="s">
        <v>1026</v>
      </c>
      <c r="J92" s="40" t="s">
        <v>1026</v>
      </c>
      <c r="K92" s="32" t="s">
        <v>961</v>
      </c>
      <c r="L92" s="40" t="s">
        <v>60</v>
      </c>
      <c r="M92" s="40" t="s">
        <v>169</v>
      </c>
      <c r="N92" s="40">
        <v>5.0</v>
      </c>
      <c r="O92" s="40" t="s">
        <v>42</v>
      </c>
      <c r="P92" s="40" t="s">
        <v>904</v>
      </c>
      <c r="Q92" s="32" t="s">
        <v>42</v>
      </c>
      <c r="R92" s="40">
        <v>0.3</v>
      </c>
      <c r="S92" s="40" t="s">
        <v>45</v>
      </c>
      <c r="T92" s="40">
        <v>10.0</v>
      </c>
      <c r="U92" s="40">
        <v>230.0</v>
      </c>
      <c r="V92" s="40" t="s">
        <v>42</v>
      </c>
      <c r="W92" s="40">
        <v>1540.0</v>
      </c>
      <c r="X92" s="40" t="s">
        <v>42</v>
      </c>
      <c r="Y92" s="32">
        <v>3.54</v>
      </c>
      <c r="Z92" s="32" t="s">
        <v>46</v>
      </c>
      <c r="AA92" s="40" t="s">
        <v>44</v>
      </c>
      <c r="AB92" s="32">
        <v>15.5</v>
      </c>
      <c r="AC92" s="40" t="s">
        <v>61</v>
      </c>
      <c r="AD92" s="57">
        <f t="shared" si="1"/>
        <v>54.87</v>
      </c>
      <c r="AF92" s="32">
        <v>30.0</v>
      </c>
      <c r="AN92" s="43" t="str">
        <f>IFERROR(__xludf.DUMMYFUNCTION("AI(""Completa un valor adecuado para esta celda en función del contexto de la tabla"")"),"Este piso vinílico tipo SPC cuenta con un espesor total de 5 mm y una capa de uso de 0,3 mm, ideal para uso residencial. Presenta un sistema de colocación Click que facilita su instalación, además de incluir un manto incorporado para mayor confort. Fabric"&amp;"ado en China bajo la línea de oferta, cada caja rinde 3,54 m2 y contiene 10 tablas de 230 mm por 1540 mm.")</f>
        <v>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cada caja rinde 3,54 m2 y contiene 10 tablas de 230 mm por 1540 mm.</v>
      </c>
    </row>
    <row r="93" ht="15.75" customHeight="1">
      <c r="A93" s="58">
        <v>25029.0</v>
      </c>
      <c r="B93" s="40">
        <v>2.0</v>
      </c>
      <c r="C93" s="32" t="s">
        <v>33</v>
      </c>
      <c r="D93" s="32" t="s">
        <v>34</v>
      </c>
      <c r="E93" s="32" t="s">
        <v>899</v>
      </c>
      <c r="F93" s="40" t="s">
        <v>900</v>
      </c>
      <c r="G93" s="40" t="s">
        <v>977</v>
      </c>
      <c r="H93" s="40" t="s">
        <v>50</v>
      </c>
      <c r="I93" s="40" t="s">
        <v>1027</v>
      </c>
      <c r="J93" s="40" t="s">
        <v>1027</v>
      </c>
      <c r="K93" s="32" t="s">
        <v>961</v>
      </c>
      <c r="L93" s="40" t="s">
        <v>60</v>
      </c>
      <c r="M93" s="40" t="s">
        <v>169</v>
      </c>
      <c r="N93" s="40">
        <v>5.0</v>
      </c>
      <c r="O93" s="40" t="s">
        <v>42</v>
      </c>
      <c r="P93" s="40" t="s">
        <v>904</v>
      </c>
      <c r="Q93" s="32" t="s">
        <v>42</v>
      </c>
      <c r="R93" s="40">
        <v>0.3</v>
      </c>
      <c r="S93" s="40" t="s">
        <v>45</v>
      </c>
      <c r="T93" s="40">
        <v>10.0</v>
      </c>
      <c r="U93" s="40">
        <v>230.0</v>
      </c>
      <c r="V93" s="40" t="s">
        <v>42</v>
      </c>
      <c r="W93" s="40">
        <v>1540.0</v>
      </c>
      <c r="X93" s="40" t="s">
        <v>42</v>
      </c>
      <c r="Y93" s="32">
        <v>3.54</v>
      </c>
      <c r="Z93" s="32" t="s">
        <v>46</v>
      </c>
      <c r="AA93" s="40" t="s">
        <v>44</v>
      </c>
      <c r="AB93" s="32">
        <v>15.5</v>
      </c>
      <c r="AC93" s="40" t="s">
        <v>61</v>
      </c>
      <c r="AD93" s="57">
        <f t="shared" si="1"/>
        <v>54.87</v>
      </c>
      <c r="AF93" s="32">
        <v>30.0</v>
      </c>
      <c r="AN93" s="43" t="str">
        <f>IFERROR(__xludf.DUMMYFUNCTION("AI(""Completa un valor adecuado para esta celda en función del contexto de la tabla"")"),"Este piso vinílico tipo SPC cuenta con un espesor total de 5 mm y una capa de uso de 0,3 mm, ideal para uso residencial. Presenta un sistema de colocación Click que facilita su instalación, además de incluir un manto incorporado para mayor confort. Fabric"&amp;"ado en China bajo la línea de oferta, cada caja rinde 3,54 m2 y contiene 10 tablas de 230 mm por 1540 mm.")</f>
        <v>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cada caja rinde 3,54 m2 y contiene 10 tablas de 230 mm por 1540 mm.</v>
      </c>
    </row>
    <row r="94" ht="15.75" customHeight="1">
      <c r="A94" s="58">
        <v>23055.0</v>
      </c>
      <c r="B94" s="40">
        <v>2.0</v>
      </c>
      <c r="C94" s="32" t="s">
        <v>33</v>
      </c>
      <c r="D94" s="32" t="s">
        <v>34</v>
      </c>
      <c r="E94" s="32" t="s">
        <v>899</v>
      </c>
      <c r="F94" s="40" t="s">
        <v>900</v>
      </c>
      <c r="G94" s="40" t="s">
        <v>977</v>
      </c>
      <c r="H94" s="40" t="s">
        <v>50</v>
      </c>
      <c r="I94" s="40">
        <v>46110.0</v>
      </c>
      <c r="J94" s="40">
        <v>46110.0</v>
      </c>
      <c r="K94" s="32" t="s">
        <v>961</v>
      </c>
      <c r="L94" s="40" t="s">
        <v>60</v>
      </c>
      <c r="M94" s="40" t="s">
        <v>169</v>
      </c>
      <c r="N94" s="40">
        <v>4.0</v>
      </c>
      <c r="O94" s="40" t="s">
        <v>42</v>
      </c>
      <c r="P94" s="40">
        <v>4.0</v>
      </c>
      <c r="Q94" s="32" t="s">
        <v>42</v>
      </c>
      <c r="R94" s="40">
        <v>0.3</v>
      </c>
      <c r="S94" s="40" t="s">
        <v>44</v>
      </c>
      <c r="T94" s="40">
        <v>20.0</v>
      </c>
      <c r="U94" s="40">
        <v>150.0</v>
      </c>
      <c r="V94" s="40" t="s">
        <v>42</v>
      </c>
      <c r="W94" s="40">
        <v>935.0</v>
      </c>
      <c r="X94" s="40" t="s">
        <v>42</v>
      </c>
      <c r="Y94" s="32">
        <v>2.81</v>
      </c>
      <c r="Z94" s="32" t="s">
        <v>46</v>
      </c>
      <c r="AA94" s="40" t="s">
        <v>44</v>
      </c>
      <c r="AB94" s="32">
        <v>15.5</v>
      </c>
      <c r="AC94" s="40" t="s">
        <v>61</v>
      </c>
      <c r="AD94" s="57">
        <f t="shared" si="1"/>
        <v>43.555</v>
      </c>
      <c r="AE94" s="32">
        <v>55.0</v>
      </c>
      <c r="AF94" s="32">
        <v>25.0</v>
      </c>
      <c r="AN94"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y no incluye manto incorporado. Fabricado en China por MaxCore baj"&amp;"o la línea de oferta, cada caja rinde 2,81 m2 y contiene 20 tablas de 150 mm por 935 mm.")</f>
        <v>Este piso vinílico tipo SPC cuenta con un espesor total de 4 mm y una capa de uso de 0,3 mm, ideal para uso residencial. Presenta un sistema de colocación Click que facilita su instalación y no incluye manto incorporado. Fabricado en China por MaxCore bajo la línea de oferta, cada caja rinde 2,81 m2 y contiene 20 tablas de 150 mm por 935 mm.</v>
      </c>
    </row>
    <row r="95" ht="15.75" customHeight="1">
      <c r="A95" s="58">
        <v>19814.0</v>
      </c>
      <c r="B95" s="40">
        <v>2.0</v>
      </c>
      <c r="C95" s="32" t="s">
        <v>33</v>
      </c>
      <c r="D95" s="32" t="s">
        <v>34</v>
      </c>
      <c r="E95" s="32" t="s">
        <v>899</v>
      </c>
      <c r="F95" s="40" t="s">
        <v>900</v>
      </c>
      <c r="G95" s="40" t="s">
        <v>977</v>
      </c>
      <c r="H95" s="40" t="s">
        <v>50</v>
      </c>
      <c r="I95" s="40" t="s">
        <v>1028</v>
      </c>
      <c r="J95" s="40" t="s">
        <v>1028</v>
      </c>
      <c r="K95" s="32" t="s">
        <v>961</v>
      </c>
      <c r="L95" s="40" t="s">
        <v>9</v>
      </c>
      <c r="M95" s="40" t="s">
        <v>169</v>
      </c>
      <c r="N95" s="40">
        <v>4.0</v>
      </c>
      <c r="O95" s="40" t="s">
        <v>42</v>
      </c>
      <c r="P95" s="40">
        <v>4.0</v>
      </c>
      <c r="Q95" s="32" t="s">
        <v>42</v>
      </c>
      <c r="R95" s="40">
        <v>0.3</v>
      </c>
      <c r="S95" s="40" t="s">
        <v>44</v>
      </c>
      <c r="T95" s="40">
        <v>12.0</v>
      </c>
      <c r="U95" s="40">
        <v>129.0</v>
      </c>
      <c r="V95" s="40" t="s">
        <v>42</v>
      </c>
      <c r="W95" s="40">
        <v>1220.0</v>
      </c>
      <c r="X95" s="40" t="s">
        <v>42</v>
      </c>
      <c r="Y95" s="32">
        <v>1.98</v>
      </c>
      <c r="Z95" s="32" t="s">
        <v>46</v>
      </c>
      <c r="AA95" s="40" t="s">
        <v>45</v>
      </c>
      <c r="AB95" s="32">
        <v>21.4</v>
      </c>
      <c r="AC95" s="40" t="s">
        <v>61</v>
      </c>
      <c r="AD95" s="57">
        <f t="shared" si="1"/>
        <v>42.372</v>
      </c>
      <c r="AE95" s="32">
        <v>63.0</v>
      </c>
      <c r="AF95" s="32">
        <v>22.0</v>
      </c>
      <c r="AH95" s="32">
        <v>306.17</v>
      </c>
      <c r="AN95"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y terminación con bisel. Fabricado en China bajo la línea Linea, c"&amp;"ada caja rinde 1,98 m2 y contiene 12 tablas de 129 mm por 1220 mm.")</f>
        <v>Este piso vinílico tipo SPC cuenta con un espesor total de 4 mm y una capa de uso de 0,3 mm, ideal para uso residencial. Presenta un sistema de colocación Click que facilita su instalación y terminación con bisel. Fabricado en China bajo la línea Linea, cada caja rinde 1,98 m2 y contiene 12 tablas de 129 mm por 1220 mm.</v>
      </c>
    </row>
    <row r="96" ht="15.75" customHeight="1">
      <c r="A96" s="58">
        <v>24978.0</v>
      </c>
      <c r="B96" s="40">
        <v>2.0</v>
      </c>
      <c r="C96" s="32" t="s">
        <v>33</v>
      </c>
      <c r="D96" s="32" t="s">
        <v>34</v>
      </c>
      <c r="E96" s="32" t="s">
        <v>899</v>
      </c>
      <c r="F96" s="40" t="s">
        <v>900</v>
      </c>
      <c r="G96" s="40" t="s">
        <v>977</v>
      </c>
      <c r="H96" s="40" t="s">
        <v>50</v>
      </c>
      <c r="I96" s="40" t="s">
        <v>1029</v>
      </c>
      <c r="J96" s="40" t="s">
        <v>1029</v>
      </c>
      <c r="K96" s="32" t="s">
        <v>961</v>
      </c>
      <c r="L96" s="40" t="s">
        <v>60</v>
      </c>
      <c r="M96" s="40" t="s">
        <v>169</v>
      </c>
      <c r="N96" s="40">
        <v>5.0</v>
      </c>
      <c r="O96" s="40" t="s">
        <v>42</v>
      </c>
      <c r="P96" s="40" t="s">
        <v>904</v>
      </c>
      <c r="Q96" s="32" t="s">
        <v>42</v>
      </c>
      <c r="R96" s="40">
        <v>0.3</v>
      </c>
      <c r="S96" s="40" t="s">
        <v>45</v>
      </c>
      <c r="T96" s="40">
        <v>10.0</v>
      </c>
      <c r="U96" s="40">
        <v>230.0</v>
      </c>
      <c r="V96" s="40" t="s">
        <v>42</v>
      </c>
      <c r="W96" s="40">
        <v>1540.0</v>
      </c>
      <c r="X96" s="40" t="s">
        <v>42</v>
      </c>
      <c r="Y96" s="32">
        <v>3.54</v>
      </c>
      <c r="Z96" s="32" t="s">
        <v>46</v>
      </c>
      <c r="AA96" s="40" t="s">
        <v>44</v>
      </c>
      <c r="AB96" s="32">
        <v>15.5</v>
      </c>
      <c r="AC96" s="40" t="s">
        <v>61</v>
      </c>
      <c r="AD96" s="57">
        <f t="shared" si="1"/>
        <v>54.87</v>
      </c>
      <c r="AF96" s="32">
        <v>30.0</v>
      </c>
      <c r="AN96" s="43" t="str">
        <f>IFERROR(__xludf.DUMMYFUNCTION("AI(""Completa un valor adecuado para esta celda en función del contexto de la tabla"")"),"Este piso vinílico tipo SPC cuenta con un espesor total de 5 mm y una capa de uso de 0,3 mm, ideal para uso residencial. Presenta un sistema de colocación Click que facilita su instalación, además de incluir un manto incorporado para mayor confort. Fabric"&amp;"ado en China bajo la línea de oferta de la marca MaxCore, cada caja rinde 3,54 m2 y contiene 10 tablas de 230 mm por 1540 mm.")</f>
        <v>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de la marca MaxCore, cada caja rinde 3,54 m2 y contiene 10 tablas de 230 mm por 1540 mm.</v>
      </c>
    </row>
    <row r="97" ht="15.75" customHeight="1">
      <c r="A97" s="58">
        <v>25032.0</v>
      </c>
      <c r="B97" s="40">
        <v>2.0</v>
      </c>
      <c r="C97" s="32" t="s">
        <v>33</v>
      </c>
      <c r="D97" s="32" t="s">
        <v>34</v>
      </c>
      <c r="E97" s="32" t="s">
        <v>899</v>
      </c>
      <c r="F97" s="40" t="s">
        <v>900</v>
      </c>
      <c r="G97" s="40" t="s">
        <v>977</v>
      </c>
      <c r="H97" s="40" t="s">
        <v>50</v>
      </c>
      <c r="I97" s="40" t="s">
        <v>1030</v>
      </c>
      <c r="J97" s="40" t="s">
        <v>1030</v>
      </c>
      <c r="K97" s="32" t="s">
        <v>961</v>
      </c>
      <c r="L97" s="40" t="s">
        <v>60</v>
      </c>
      <c r="M97" s="40" t="s">
        <v>169</v>
      </c>
      <c r="N97" s="40">
        <v>5.0</v>
      </c>
      <c r="O97" s="40" t="s">
        <v>42</v>
      </c>
      <c r="P97" s="40" t="s">
        <v>904</v>
      </c>
      <c r="Q97" s="32" t="s">
        <v>42</v>
      </c>
      <c r="R97" s="40">
        <v>0.3</v>
      </c>
      <c r="S97" s="40" t="s">
        <v>45</v>
      </c>
      <c r="T97" s="40">
        <v>10.0</v>
      </c>
      <c r="U97" s="40">
        <v>230.0</v>
      </c>
      <c r="V97" s="40" t="s">
        <v>42</v>
      </c>
      <c r="W97" s="40">
        <v>1540.0</v>
      </c>
      <c r="X97" s="40" t="s">
        <v>42</v>
      </c>
      <c r="Y97" s="32">
        <v>3.54</v>
      </c>
      <c r="Z97" s="32" t="s">
        <v>46</v>
      </c>
      <c r="AA97" s="40" t="s">
        <v>44</v>
      </c>
      <c r="AB97" s="32">
        <v>15.5</v>
      </c>
      <c r="AC97" s="40" t="s">
        <v>61</v>
      </c>
      <c r="AD97" s="57">
        <f t="shared" si="1"/>
        <v>54.87</v>
      </c>
      <c r="AF97" s="32">
        <v>30.0</v>
      </c>
      <c r="AN97" s="43" t="str">
        <f>IFERROR(__xludf.DUMMYFUNCTION("AI(""Completa un valor adecuado para esta celda en función del contexto de la tabla"")"),"Este piso vinílico tipo SPC cuenta con un espesor total de 5 mm y una capa de uso de 0,3 mm, ideal para uso residencial. Presenta un sistema de colocación Click que facilita su instalación, además de incluir un manto incorporado para mayor confort. Fabric"&amp;"ado en China bajo la línea de oferta, cada caja rinde 3,54 m2 y contiene 10 tablas de 230 mm por 1540 mm.")</f>
        <v>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cada caja rinde 3,54 m2 y contiene 10 tablas de 230 mm por 1540 mm.</v>
      </c>
    </row>
    <row r="98" ht="15.75" customHeight="1">
      <c r="A98" s="58">
        <v>25033.0</v>
      </c>
      <c r="B98" s="40">
        <v>2.0</v>
      </c>
      <c r="C98" s="32" t="s">
        <v>33</v>
      </c>
      <c r="D98" s="32" t="s">
        <v>34</v>
      </c>
      <c r="E98" s="32" t="s">
        <v>899</v>
      </c>
      <c r="F98" s="40" t="s">
        <v>900</v>
      </c>
      <c r="G98" s="40" t="s">
        <v>977</v>
      </c>
      <c r="H98" s="40" t="s">
        <v>50</v>
      </c>
      <c r="I98" s="40" t="s">
        <v>1031</v>
      </c>
      <c r="J98" s="40" t="s">
        <v>1031</v>
      </c>
      <c r="K98" s="32" t="s">
        <v>961</v>
      </c>
      <c r="L98" s="40" t="s">
        <v>60</v>
      </c>
      <c r="M98" s="40" t="s">
        <v>169</v>
      </c>
      <c r="N98" s="40">
        <v>5.0</v>
      </c>
      <c r="O98" s="40" t="s">
        <v>42</v>
      </c>
      <c r="P98" s="40" t="s">
        <v>904</v>
      </c>
      <c r="Q98" s="32" t="s">
        <v>42</v>
      </c>
      <c r="R98" s="40">
        <v>0.3</v>
      </c>
      <c r="S98" s="40" t="s">
        <v>45</v>
      </c>
      <c r="T98" s="40">
        <v>10.0</v>
      </c>
      <c r="U98" s="40">
        <v>230.0</v>
      </c>
      <c r="V98" s="40" t="s">
        <v>42</v>
      </c>
      <c r="W98" s="40">
        <v>1540.0</v>
      </c>
      <c r="X98" s="40" t="s">
        <v>42</v>
      </c>
      <c r="Y98" s="32">
        <v>3.54</v>
      </c>
      <c r="Z98" s="32" t="s">
        <v>46</v>
      </c>
      <c r="AA98" s="40" t="s">
        <v>44</v>
      </c>
      <c r="AB98" s="32">
        <v>15.5</v>
      </c>
      <c r="AC98" s="40" t="s">
        <v>61</v>
      </c>
      <c r="AD98" s="57">
        <f t="shared" si="1"/>
        <v>54.87</v>
      </c>
      <c r="AF98" s="32">
        <v>30.0</v>
      </c>
      <c r="AN98" s="43" t="str">
        <f>IFERROR(__xludf.DUMMYFUNCTION("AI(""Completa un valor adecuado para esta celda en función del contexto de la tabla"")"),"Este piso vinílico tipo SPC cuenta con un espesor total de 5 mm y una capa de uso de 0,3 mm, ideal para uso residencial. Presenta un sistema de colocación Click que facilita su instalación, además de incluir un manto incorporado para mayor confort. Fabric"&amp;"ado en China bajo la línea de oferta, cada caja rinde 3,54 m2 y contiene 10 tablas de 230 mm por 1540 mm.")</f>
        <v>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cada caja rinde 3,54 m2 y contiene 10 tablas de 230 mm por 1540 mm.</v>
      </c>
    </row>
    <row r="99" ht="15.75" customHeight="1">
      <c r="A99" s="58">
        <v>25037.0</v>
      </c>
      <c r="B99" s="40">
        <v>2.0</v>
      </c>
      <c r="C99" s="32" t="s">
        <v>33</v>
      </c>
      <c r="D99" s="32" t="s">
        <v>34</v>
      </c>
      <c r="E99" s="32" t="s">
        <v>899</v>
      </c>
      <c r="F99" s="40" t="s">
        <v>900</v>
      </c>
      <c r="G99" s="40" t="s">
        <v>977</v>
      </c>
      <c r="H99" s="40" t="s">
        <v>50</v>
      </c>
      <c r="I99" s="40" t="s">
        <v>1032</v>
      </c>
      <c r="J99" s="40" t="s">
        <v>1032</v>
      </c>
      <c r="K99" s="32" t="s">
        <v>961</v>
      </c>
      <c r="L99" s="40" t="s">
        <v>60</v>
      </c>
      <c r="M99" s="40" t="s">
        <v>169</v>
      </c>
      <c r="N99" s="40">
        <v>5.0</v>
      </c>
      <c r="O99" s="40" t="s">
        <v>42</v>
      </c>
      <c r="P99" s="40" t="s">
        <v>904</v>
      </c>
      <c r="Q99" s="32" t="s">
        <v>42</v>
      </c>
      <c r="R99" s="40">
        <v>0.3</v>
      </c>
      <c r="S99" s="40" t="s">
        <v>45</v>
      </c>
      <c r="T99" s="40">
        <v>10.0</v>
      </c>
      <c r="U99" s="40">
        <v>230.0</v>
      </c>
      <c r="V99" s="40" t="s">
        <v>42</v>
      </c>
      <c r="W99" s="40">
        <v>1540.0</v>
      </c>
      <c r="X99" s="40" t="s">
        <v>42</v>
      </c>
      <c r="Y99" s="32">
        <v>3.54</v>
      </c>
      <c r="Z99" s="32" t="s">
        <v>46</v>
      </c>
      <c r="AA99" s="40" t="s">
        <v>44</v>
      </c>
      <c r="AB99" s="32">
        <v>15.5</v>
      </c>
      <c r="AC99" s="40" t="s">
        <v>61</v>
      </c>
      <c r="AD99" s="57">
        <f t="shared" si="1"/>
        <v>54.87</v>
      </c>
      <c r="AF99" s="32">
        <v>30.0</v>
      </c>
      <c r="AN99" s="43" t="str">
        <f>IFERROR(__xludf.DUMMYFUNCTION("AI(""Completa un valor adecuado para esta celda en función del contexto de la tabla"")"),"Este piso vinílico tipo SPC cuenta con un espesor total de 5 mm y una capa de uso de 0,3 mm, ideal para uso residencial. Presenta un sistema de colocación Click que facilita su instalación, además de incluir un manto incorporado para mayor confort. Fabric"&amp;"ado en China bajo la línea de oferta, cada caja rinde 3,54 m2 y contiene 10 tablas de 230 mm por 1540 mm.")</f>
        <v>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cada caja rinde 3,54 m2 y contiene 10 tablas de 230 mm por 1540 mm.</v>
      </c>
    </row>
    <row r="100" ht="15.75" customHeight="1">
      <c r="A100" s="58">
        <v>22281.0</v>
      </c>
      <c r="B100" s="40">
        <v>2.0</v>
      </c>
      <c r="C100" s="32" t="s">
        <v>33</v>
      </c>
      <c r="D100" s="32" t="s">
        <v>34</v>
      </c>
      <c r="E100" s="32" t="s">
        <v>899</v>
      </c>
      <c r="F100" s="40" t="s">
        <v>900</v>
      </c>
      <c r="G100" s="40" t="s">
        <v>977</v>
      </c>
      <c r="H100" s="40" t="s">
        <v>50</v>
      </c>
      <c r="I100" s="40" t="s">
        <v>1033</v>
      </c>
      <c r="J100" s="40" t="s">
        <v>1033</v>
      </c>
      <c r="K100" s="32" t="s">
        <v>982</v>
      </c>
      <c r="L100" s="40" t="s">
        <v>982</v>
      </c>
      <c r="M100" s="40" t="s">
        <v>169</v>
      </c>
      <c r="N100" s="40">
        <v>4.0</v>
      </c>
      <c r="O100" s="40" t="s">
        <v>42</v>
      </c>
      <c r="P100" s="40">
        <v>4.0</v>
      </c>
      <c r="Q100" s="32" t="s">
        <v>42</v>
      </c>
      <c r="R100" s="40">
        <v>0.3</v>
      </c>
      <c r="S100" s="40" t="s">
        <v>44</v>
      </c>
      <c r="T100" s="40">
        <v>12.0</v>
      </c>
      <c r="U100" s="40">
        <v>182.0</v>
      </c>
      <c r="V100" s="40" t="s">
        <v>42</v>
      </c>
      <c r="W100" s="40">
        <v>1220.0</v>
      </c>
      <c r="X100" s="40" t="s">
        <v>42</v>
      </c>
      <c r="Y100" s="32">
        <v>2.67</v>
      </c>
      <c r="Z100" s="32" t="s">
        <v>46</v>
      </c>
      <c r="AA100" s="40" t="s">
        <v>44</v>
      </c>
      <c r="AB100" s="32">
        <v>15.55</v>
      </c>
      <c r="AC100" s="40" t="s">
        <v>61</v>
      </c>
      <c r="AD100" s="57">
        <f t="shared" si="1"/>
        <v>41.5185</v>
      </c>
      <c r="AE100" s="32">
        <v>60.0</v>
      </c>
      <c r="AF100" s="32">
        <v>25.0</v>
      </c>
      <c r="AN100"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sin necesidad de adhesivos. Fabricado en China bajo la marca Aqua"&amp;"blue, cada caja rinde 2,67 m2 y contiene 12 tablas de 182 mm por 1220 mm.")</f>
        <v>Este piso vinílico tipo SPC cuenta con un espesor total de 4 mm y una capa de uso de 0,3 mm, ideal para uso residencial. Presenta un sistema de colocación Click que facilita su instalación, sin necesidad de adhesivos. Fabricado en China bajo la marca Aquablue, cada caja rinde 2,67 m2 y contiene 12 tablas de 182 mm por 1220 mm.</v>
      </c>
    </row>
    <row r="101" ht="15.75" customHeight="1">
      <c r="A101" s="58">
        <v>22278.0</v>
      </c>
      <c r="B101" s="40">
        <v>2.0</v>
      </c>
      <c r="C101" s="32" t="s">
        <v>33</v>
      </c>
      <c r="D101" s="32" t="s">
        <v>34</v>
      </c>
      <c r="E101" s="32" t="s">
        <v>899</v>
      </c>
      <c r="F101" s="40" t="s">
        <v>900</v>
      </c>
      <c r="G101" s="40" t="s">
        <v>977</v>
      </c>
      <c r="H101" s="40" t="s">
        <v>50</v>
      </c>
      <c r="I101" s="40" t="s">
        <v>1034</v>
      </c>
      <c r="J101" s="40" t="s">
        <v>1034</v>
      </c>
      <c r="K101" s="32" t="s">
        <v>982</v>
      </c>
      <c r="L101" s="40" t="s">
        <v>982</v>
      </c>
      <c r="M101" s="40" t="s">
        <v>169</v>
      </c>
      <c r="N101" s="40">
        <v>4.0</v>
      </c>
      <c r="O101" s="40" t="s">
        <v>42</v>
      </c>
      <c r="P101" s="40">
        <v>4.0</v>
      </c>
      <c r="Q101" s="32" t="s">
        <v>42</v>
      </c>
      <c r="R101" s="40">
        <v>0.3</v>
      </c>
      <c r="S101" s="40" t="s">
        <v>44</v>
      </c>
      <c r="T101" s="40">
        <v>12.0</v>
      </c>
      <c r="U101" s="40">
        <v>182.0</v>
      </c>
      <c r="V101" s="40" t="s">
        <v>42</v>
      </c>
      <c r="W101" s="40">
        <v>1220.0</v>
      </c>
      <c r="X101" s="40" t="s">
        <v>42</v>
      </c>
      <c r="Y101" s="32">
        <v>2.67</v>
      </c>
      <c r="Z101" s="32" t="s">
        <v>46</v>
      </c>
      <c r="AA101" s="40" t="s">
        <v>44</v>
      </c>
      <c r="AB101" s="32">
        <v>15.55</v>
      </c>
      <c r="AC101" s="40" t="s">
        <v>61</v>
      </c>
      <c r="AD101" s="57">
        <f t="shared" si="1"/>
        <v>41.5185</v>
      </c>
      <c r="AE101" s="32">
        <v>60.0</v>
      </c>
      <c r="AF101" s="32">
        <v>25.0</v>
      </c>
      <c r="AN101"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sin incluir manto incorporado. Fabricado en China bajo la línea A"&amp;"quablue, cada caja rinde 2,67 m2 y contiene 12 tablas de 182 mm por 1220 mm.")</f>
        <v>Este piso vinílico tipo SPC cuenta con un espesor total de 4 mm y una capa de uso de 0,3 mm, ideal para uso residencial. Presenta un sistema de colocación Click que facilita su instalación, sin incluir manto incorporado. Fabricado en China bajo la línea Aquablue, cada caja rinde 2,67 m2 y contiene 12 tablas de 182 mm por 1220 mm.</v>
      </c>
    </row>
    <row r="102" ht="15.75" customHeight="1">
      <c r="A102" s="58">
        <v>22431.0</v>
      </c>
      <c r="B102" s="40">
        <v>2.0</v>
      </c>
      <c r="C102" s="32" t="s">
        <v>33</v>
      </c>
      <c r="D102" s="32" t="s">
        <v>34</v>
      </c>
      <c r="E102" s="32" t="s">
        <v>899</v>
      </c>
      <c r="F102" s="40" t="s">
        <v>900</v>
      </c>
      <c r="G102" s="40" t="s">
        <v>977</v>
      </c>
      <c r="H102" s="40" t="s">
        <v>50</v>
      </c>
      <c r="I102" s="40" t="s">
        <v>1035</v>
      </c>
      <c r="J102" s="40" t="s">
        <v>1035</v>
      </c>
      <c r="K102" s="32" t="s">
        <v>982</v>
      </c>
      <c r="L102" s="40" t="s">
        <v>982</v>
      </c>
      <c r="M102" s="40" t="s">
        <v>169</v>
      </c>
      <c r="N102" s="40">
        <v>4.0</v>
      </c>
      <c r="O102" s="40" t="s">
        <v>42</v>
      </c>
      <c r="P102" s="40">
        <v>4.0</v>
      </c>
      <c r="Q102" s="32" t="s">
        <v>42</v>
      </c>
      <c r="R102" s="40">
        <v>0.3</v>
      </c>
      <c r="S102" s="40" t="s">
        <v>44</v>
      </c>
      <c r="T102" s="40">
        <v>12.0</v>
      </c>
      <c r="U102" s="40">
        <v>182.0</v>
      </c>
      <c r="V102" s="40" t="s">
        <v>42</v>
      </c>
      <c r="W102" s="40">
        <v>1220.0</v>
      </c>
      <c r="X102" s="40" t="s">
        <v>42</v>
      </c>
      <c r="Y102" s="32">
        <v>2.67</v>
      </c>
      <c r="Z102" s="32" t="s">
        <v>46</v>
      </c>
      <c r="AA102" s="40" t="s">
        <v>44</v>
      </c>
      <c r="AB102" s="32">
        <v>15.55</v>
      </c>
      <c r="AC102" s="40" t="s">
        <v>61</v>
      </c>
      <c r="AD102" s="57">
        <f t="shared" si="1"/>
        <v>41.5185</v>
      </c>
      <c r="AE102" s="32">
        <v>60.0</v>
      </c>
      <c r="AF102" s="32">
        <v>25.0</v>
      </c>
      <c r="AN102"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marca Aquablue, cada caja rinde 2,67 m"&amp;"2 y contiene 12 tablas de 182 mm por 1220 mm.")</f>
        <v>Este piso vinílico tipo SPC cuenta con un espesor total de 4 mm y una capa de uso de 0,3 mm, ideal para uso residencial. Presenta un sistema de colocación Click que facilita su instalación. Fabricado en China bajo la marca Aquablue, cada caja rinde 2,67 m2 y contiene 12 tablas de 182 mm por 1220 mm.</v>
      </c>
    </row>
    <row r="103" ht="15.75" customHeight="1">
      <c r="A103" s="58">
        <v>20234.0</v>
      </c>
      <c r="B103" s="40">
        <v>2.0</v>
      </c>
      <c r="C103" s="32" t="s">
        <v>33</v>
      </c>
      <c r="D103" s="32" t="s">
        <v>34</v>
      </c>
      <c r="E103" s="32" t="s">
        <v>899</v>
      </c>
      <c r="F103" s="40" t="s">
        <v>900</v>
      </c>
      <c r="G103" s="40" t="s">
        <v>977</v>
      </c>
      <c r="H103" s="40" t="s">
        <v>50</v>
      </c>
      <c r="I103" s="40" t="s">
        <v>1036</v>
      </c>
      <c r="J103" s="40">
        <v>8888.0</v>
      </c>
      <c r="K103" s="32" t="s">
        <v>961</v>
      </c>
      <c r="L103" s="40" t="s">
        <v>989</v>
      </c>
      <c r="M103" s="40" t="s">
        <v>169</v>
      </c>
      <c r="N103" s="40">
        <v>4.0</v>
      </c>
      <c r="O103" s="40" t="s">
        <v>42</v>
      </c>
      <c r="P103" s="40">
        <v>4.0</v>
      </c>
      <c r="Q103" s="32" t="s">
        <v>42</v>
      </c>
      <c r="R103" s="40">
        <v>0.3</v>
      </c>
      <c r="S103" s="40" t="s">
        <v>44</v>
      </c>
      <c r="T103" s="40">
        <v>12.0</v>
      </c>
      <c r="U103" s="40">
        <v>180.0</v>
      </c>
      <c r="V103" s="40" t="s">
        <v>42</v>
      </c>
      <c r="W103" s="40">
        <v>1220.0</v>
      </c>
      <c r="X103" s="40" t="s">
        <v>42</v>
      </c>
      <c r="Y103" s="32">
        <v>2.64</v>
      </c>
      <c r="Z103" s="32" t="s">
        <v>46</v>
      </c>
      <c r="AA103" s="40" t="s">
        <v>44</v>
      </c>
      <c r="AB103" s="32">
        <v>15.7</v>
      </c>
      <c r="AC103" s="40" t="s">
        <v>61</v>
      </c>
      <c r="AD103" s="57">
        <f t="shared" si="1"/>
        <v>41.448</v>
      </c>
      <c r="AE103" s="32">
        <v>55.0</v>
      </c>
      <c r="AF103" s="32">
        <v>25.0</v>
      </c>
      <c r="AN103" s="43" t="str">
        <f>IFERROR(__xludf.DUMMYFUNCTION("AI(""Completa un valor adecuado para esta celda en función del contexto de la tabla"")"),"Este piso vinílico tipo SPC tiene un espesor total de 4 mm y una capa de uso de 0,3 mm, lo que lo hace apto para uso residencial. Cuenta con un sistema de instalación Click que permite una colocación rápida y sencilla sin necesidad de adhesivos. Fabricado"&amp;" en China bajo la línea Home de MaxCore, cada caja rinde 2,64 m2 y contiene 12 tablas de 180 mm por 1220 mm. Su diseño Silver Pine ofrece un acabado estético y resistente, ideal para diversos ambientes del hogar.")</f>
        <v>Este piso vinílico tipo SPC tiene un espesor total de 4 mm y una capa de uso de 0,3 mm, lo que lo hace apto para uso residencial. Cuenta con un sistema de instalación Click que permite una colocación rápida y sencilla sin necesidad de adhesivos. Fabricado en China bajo la línea Home de MaxCore, cada caja rinde 2,64 m2 y contiene 12 tablas de 180 mm por 1220 mm. Su diseño Silver Pine ofrece un acabado estético y resistente, ideal para diversos ambientes del hogar.</v>
      </c>
    </row>
    <row r="104" ht="15.75" customHeight="1">
      <c r="A104" s="58">
        <v>24753.0</v>
      </c>
      <c r="B104" s="40">
        <v>2.0</v>
      </c>
      <c r="C104" s="32" t="s">
        <v>33</v>
      </c>
      <c r="D104" s="32" t="s">
        <v>34</v>
      </c>
      <c r="E104" s="32" t="s">
        <v>899</v>
      </c>
      <c r="F104" s="40" t="s">
        <v>900</v>
      </c>
      <c r="G104" s="40" t="s">
        <v>977</v>
      </c>
      <c r="H104" s="40" t="s">
        <v>50</v>
      </c>
      <c r="I104" s="40" t="s">
        <v>1037</v>
      </c>
      <c r="J104" s="40">
        <v>8020.0</v>
      </c>
      <c r="K104" s="32" t="s">
        <v>961</v>
      </c>
      <c r="L104" s="40" t="s">
        <v>60</v>
      </c>
      <c r="M104" s="40" t="s">
        <v>169</v>
      </c>
      <c r="N104" s="40">
        <v>5.0</v>
      </c>
      <c r="O104" s="40" t="s">
        <v>42</v>
      </c>
      <c r="P104" s="40" t="s">
        <v>904</v>
      </c>
      <c r="Q104" s="32" t="s">
        <v>42</v>
      </c>
      <c r="R104" s="40">
        <v>0.3</v>
      </c>
      <c r="S104" s="40" t="s">
        <v>45</v>
      </c>
      <c r="T104" s="40">
        <v>10.0</v>
      </c>
      <c r="U104" s="40">
        <v>180.0</v>
      </c>
      <c r="V104" s="40" t="s">
        <v>42</v>
      </c>
      <c r="W104" s="40">
        <v>1220.0</v>
      </c>
      <c r="X104" s="40" t="s">
        <v>42</v>
      </c>
      <c r="Y104" s="32">
        <v>2.2</v>
      </c>
      <c r="Z104" s="32" t="s">
        <v>46</v>
      </c>
      <c r="AA104" s="40" t="s">
        <v>44</v>
      </c>
      <c r="AB104" s="32">
        <v>15.8</v>
      </c>
      <c r="AC104" s="40" t="s">
        <v>61</v>
      </c>
      <c r="AD104" s="57">
        <f t="shared" si="1"/>
        <v>34.76</v>
      </c>
      <c r="AF104" s="32">
        <v>25.0</v>
      </c>
      <c r="AN104" s="43" t="str">
        <f>IFERROR(__xludf.DUMMYFUNCTION("AI(""Completa un valor adecuado para esta celda en función del contexto de la tabla"")"),"Este piso vinílico tipo SPC cuenta con un espesor total de 5 mm y una capa de uso de 0,3 mm, ideal para uso residencial. Presenta un sistema de colocación Click que facilita su instalación, además de incluir un manto incorporado para mayor confort. Fabric"&amp;"ado en China bajo la línea de oferta de MaxCore, cada caja rinde 2,2 m2 y contiene 10 tablas de 180 mm por 1220 mm.")</f>
        <v>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de MaxCore, cada caja rinde 2,2 m2 y contiene 10 tablas de 180 mm por 1220 mm.</v>
      </c>
    </row>
    <row r="105" ht="15.75" customHeight="1">
      <c r="A105" s="58">
        <v>20229.0</v>
      </c>
      <c r="B105" s="40">
        <v>2.0</v>
      </c>
      <c r="C105" s="32" t="s">
        <v>33</v>
      </c>
      <c r="D105" s="32" t="s">
        <v>34</v>
      </c>
      <c r="E105" s="32" t="s">
        <v>899</v>
      </c>
      <c r="F105" s="40" t="s">
        <v>900</v>
      </c>
      <c r="G105" s="40" t="s">
        <v>977</v>
      </c>
      <c r="H105" s="40" t="s">
        <v>50</v>
      </c>
      <c r="I105" s="40" t="s">
        <v>1038</v>
      </c>
      <c r="J105" s="40">
        <v>8009.0</v>
      </c>
      <c r="K105" s="32" t="s">
        <v>961</v>
      </c>
      <c r="L105" s="40" t="s">
        <v>989</v>
      </c>
      <c r="M105" s="40" t="s">
        <v>169</v>
      </c>
      <c r="N105" s="40">
        <v>4.0</v>
      </c>
      <c r="O105" s="40" t="s">
        <v>42</v>
      </c>
      <c r="P105" s="40">
        <v>4.0</v>
      </c>
      <c r="Q105" s="32" t="s">
        <v>42</v>
      </c>
      <c r="R105" s="40">
        <v>0.3</v>
      </c>
      <c r="S105" s="40" t="s">
        <v>44</v>
      </c>
      <c r="T105" s="40">
        <v>12.0</v>
      </c>
      <c r="U105" s="40">
        <v>180.0</v>
      </c>
      <c r="V105" s="40" t="s">
        <v>42</v>
      </c>
      <c r="W105" s="40">
        <v>1220.0</v>
      </c>
      <c r="X105" s="40" t="s">
        <v>42</v>
      </c>
      <c r="Y105" s="32">
        <v>2.64</v>
      </c>
      <c r="Z105" s="32" t="s">
        <v>46</v>
      </c>
      <c r="AA105" s="40" t="s">
        <v>44</v>
      </c>
      <c r="AB105" s="32">
        <v>15.8</v>
      </c>
      <c r="AC105" s="40" t="s">
        <v>61</v>
      </c>
      <c r="AD105" s="57">
        <f t="shared" si="1"/>
        <v>41.712</v>
      </c>
      <c r="AE105" s="32">
        <v>55.0</v>
      </c>
      <c r="AF105" s="32">
        <v>25.0</v>
      </c>
      <c r="AN105"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sin necesidad de adhesivos. Fabricado en China bajo la marca MaxC"&amp;"ore y línea Home, cada caja rinde 2,64 m2 y contiene 12 tablas de 180 mm por 1220 mm.")</f>
        <v>Este piso vinílico tipo SPC cuenta con un espesor total de 4 mm y una capa de uso de 0,3 mm, ideal para uso residencial. Presenta un sistema de colocación Click que facilita su instalación, sin necesidad de adhesivos. Fabricado en China bajo la marca MaxCore y línea Home, cada caja rinde 2,64 m2 y contiene 12 tablas de 180 mm por 1220 mm.</v>
      </c>
    </row>
    <row r="106" ht="15.75" customHeight="1">
      <c r="A106" s="58">
        <v>24583.0</v>
      </c>
      <c r="B106" s="40">
        <v>2.0</v>
      </c>
      <c r="C106" s="32" t="s">
        <v>33</v>
      </c>
      <c r="D106" s="32" t="s">
        <v>34</v>
      </c>
      <c r="E106" s="32" t="s">
        <v>899</v>
      </c>
      <c r="F106" s="40" t="s">
        <v>900</v>
      </c>
      <c r="G106" s="40" t="s">
        <v>977</v>
      </c>
      <c r="H106" s="40" t="s">
        <v>50</v>
      </c>
      <c r="I106" s="40" t="s">
        <v>1039</v>
      </c>
      <c r="J106" s="40">
        <v>47105.0</v>
      </c>
      <c r="K106" s="32" t="s">
        <v>961</v>
      </c>
      <c r="L106" s="40" t="s">
        <v>984</v>
      </c>
      <c r="M106" s="40" t="s">
        <v>169</v>
      </c>
      <c r="N106" s="40">
        <v>4.0</v>
      </c>
      <c r="O106" s="40" t="s">
        <v>42</v>
      </c>
      <c r="P106" s="40">
        <v>4.0</v>
      </c>
      <c r="Q106" s="32" t="s">
        <v>42</v>
      </c>
      <c r="R106" s="40">
        <v>0.3</v>
      </c>
      <c r="S106" s="40" t="s">
        <v>44</v>
      </c>
      <c r="T106" s="40">
        <v>20.0</v>
      </c>
      <c r="U106" s="40">
        <v>150.0</v>
      </c>
      <c r="V106" s="40" t="s">
        <v>42</v>
      </c>
      <c r="W106" s="40">
        <v>935.0</v>
      </c>
      <c r="X106" s="40" t="s">
        <v>42</v>
      </c>
      <c r="Y106" s="32">
        <v>2.81</v>
      </c>
      <c r="Z106" s="32" t="s">
        <v>46</v>
      </c>
      <c r="AA106" s="40" t="s">
        <v>44</v>
      </c>
      <c r="AB106" s="32">
        <v>15.8</v>
      </c>
      <c r="AC106" s="40" t="s">
        <v>61</v>
      </c>
      <c r="AD106" s="57">
        <f t="shared" si="1"/>
        <v>44.398</v>
      </c>
      <c r="AE106" s="32">
        <v>62.0</v>
      </c>
      <c r="AF106" s="32">
        <v>25.0</v>
      </c>
      <c r="AN106"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Economy de MaxCore, cada caja ri"&amp;"nde 2,81 m2 y contiene 20 tablas de 150 mm por 935 mm.")</f>
        <v>Este piso vinílico tipo SPC cuenta con un espesor total de 4 mm y una capa de uso de 0,3 mm, ideal para uso residencial. Presenta un sistema de colocación Click que facilita su instalación. Fabricado en China bajo la línea Economy de MaxCore, cada caja rinde 2,81 m2 y contiene 20 tablas de 150 mm por 935 mm.</v>
      </c>
    </row>
    <row r="107" ht="15.75" customHeight="1">
      <c r="A107" s="58">
        <v>25197.0</v>
      </c>
      <c r="B107" s="40">
        <v>2.0</v>
      </c>
      <c r="C107" s="32" t="s">
        <v>33</v>
      </c>
      <c r="D107" s="32" t="s">
        <v>34</v>
      </c>
      <c r="E107" s="32" t="s">
        <v>899</v>
      </c>
      <c r="F107" s="40" t="s">
        <v>900</v>
      </c>
      <c r="G107" s="40" t="s">
        <v>977</v>
      </c>
      <c r="H107" s="40" t="s">
        <v>50</v>
      </c>
      <c r="I107" s="40" t="s">
        <v>1040</v>
      </c>
      <c r="J107" s="40" t="s">
        <v>1040</v>
      </c>
      <c r="K107" s="32" t="s">
        <v>961</v>
      </c>
      <c r="L107" s="40" t="s">
        <v>60</v>
      </c>
      <c r="M107" s="40" t="s">
        <v>169</v>
      </c>
      <c r="N107" s="40">
        <v>6.5</v>
      </c>
      <c r="O107" s="40" t="s">
        <v>42</v>
      </c>
      <c r="P107" s="40" t="s">
        <v>929</v>
      </c>
      <c r="Q107" s="32" t="s">
        <v>42</v>
      </c>
      <c r="R107" s="40">
        <v>0.3</v>
      </c>
      <c r="S107" s="40" t="s">
        <v>45</v>
      </c>
      <c r="T107" s="40">
        <v>10.0</v>
      </c>
      <c r="U107" s="40">
        <v>181.0</v>
      </c>
      <c r="V107" s="40" t="s">
        <v>42</v>
      </c>
      <c r="W107" s="40">
        <v>1220.0</v>
      </c>
      <c r="X107" s="40" t="s">
        <v>42</v>
      </c>
      <c r="Y107" s="32">
        <v>2.21</v>
      </c>
      <c r="Z107" s="32" t="s">
        <v>46</v>
      </c>
      <c r="AA107" s="40" t="s">
        <v>44</v>
      </c>
      <c r="AB107" s="32">
        <v>18.9</v>
      </c>
      <c r="AC107" s="40" t="s">
        <v>61</v>
      </c>
      <c r="AD107" s="57">
        <f t="shared" si="1"/>
        <v>41.769</v>
      </c>
      <c r="AF107" s="32">
        <v>25.0</v>
      </c>
      <c r="AH107" s="32">
        <v>4225.52</v>
      </c>
      <c r="AN107" s="43" t="str">
        <f>IFERROR(__xludf.DUMMYFUNCTION("AI(""Completa un valor adecuado para esta celda en función del contexto de la tabla"")"),"Este piso vinílico tipo SPC cuenta con un espesor total de 6,5 mm y una capa de uso de 0,3 mm, ideal para uso residencial. Presenta un sistema de colocación Click que facilita su instalación, además de incluir un manto incorporado para mayor confort. Fabr"&amp;"icado en China bajo la línea de oferta, cada caja rinde 2,21 m2 y contiene 10 tablas de 181 mm por 1220 mm.")</f>
        <v>Este piso vinílico tipo SPC cuenta con un espesor total de 6,5 mm y una capa de uso de 0,3 mm, ideal para uso residencial. Presenta un sistema de colocación Click que facilita su instalación, además de incluir un manto incorporado para mayor confort. Fabricado en China bajo la línea de oferta, cada caja rinde 2,21 m2 y contiene 10 tablas de 181 mm por 1220 mm.</v>
      </c>
    </row>
    <row r="108" ht="15.75" customHeight="1">
      <c r="A108" s="58">
        <v>25200.0</v>
      </c>
      <c r="B108" s="40">
        <v>2.0</v>
      </c>
      <c r="C108" s="32" t="s">
        <v>33</v>
      </c>
      <c r="D108" s="32" t="s">
        <v>34</v>
      </c>
      <c r="E108" s="32" t="s">
        <v>899</v>
      </c>
      <c r="F108" s="40" t="s">
        <v>900</v>
      </c>
      <c r="G108" s="40" t="s">
        <v>977</v>
      </c>
      <c r="H108" s="40" t="s">
        <v>50</v>
      </c>
      <c r="I108" s="40" t="s">
        <v>1041</v>
      </c>
      <c r="J108" s="40" t="s">
        <v>1041</v>
      </c>
      <c r="K108" s="32" t="s">
        <v>961</v>
      </c>
      <c r="L108" s="40" t="s">
        <v>60</v>
      </c>
      <c r="M108" s="40" t="s">
        <v>169</v>
      </c>
      <c r="N108" s="40">
        <v>6.5</v>
      </c>
      <c r="O108" s="40" t="s">
        <v>42</v>
      </c>
      <c r="P108" s="40" t="s">
        <v>929</v>
      </c>
      <c r="Q108" s="32" t="s">
        <v>42</v>
      </c>
      <c r="R108" s="40">
        <v>0.3</v>
      </c>
      <c r="S108" s="40" t="s">
        <v>45</v>
      </c>
      <c r="T108" s="40">
        <v>10.0</v>
      </c>
      <c r="U108" s="40">
        <v>181.0</v>
      </c>
      <c r="V108" s="40" t="s">
        <v>42</v>
      </c>
      <c r="W108" s="40">
        <v>1220.0</v>
      </c>
      <c r="X108" s="40" t="s">
        <v>42</v>
      </c>
      <c r="Y108" s="32">
        <v>2.21</v>
      </c>
      <c r="Z108" s="32" t="s">
        <v>46</v>
      </c>
      <c r="AA108" s="40" t="s">
        <v>44</v>
      </c>
      <c r="AB108" s="32">
        <v>18.9</v>
      </c>
      <c r="AC108" s="40" t="s">
        <v>61</v>
      </c>
      <c r="AD108" s="57">
        <f t="shared" si="1"/>
        <v>41.769</v>
      </c>
      <c r="AF108" s="32">
        <v>25.0</v>
      </c>
      <c r="AH108" s="32">
        <v>1476.28</v>
      </c>
      <c r="AN108" s="43" t="str">
        <f>IFERROR(__xludf.DUMMYFUNCTION("AI(""Completa un valor adecuado para esta celda en función del contexto de la tabla"")"),"Este piso vinílico tipo SPC cuenta con un espesor total de 6,5 mm y una capa de uso de 0,3 mm, ideal para uso residencial. Presenta un sistema de colocación Click que facilita su instalación, además de incluir un manto incorporado para mayor confort. Fabr"&amp;"icado en China bajo la línea de oferta, cada caja rinde 2,21 m2 y contiene 10 tablas de 181 mm por 1220 mm.")</f>
        <v>Este piso vinílico tipo SPC cuenta con un espesor total de 6,5 mm y una capa de uso de 0,3 mm, ideal para uso residencial. Presenta un sistema de colocación Click que facilita su instalación, además de incluir un manto incorporado para mayor confort. Fabricado en China bajo la línea de oferta, cada caja rinde 2,21 m2 y contiene 10 tablas de 181 mm por 1220 mm.</v>
      </c>
    </row>
    <row r="109" ht="15.75" customHeight="1">
      <c r="A109" s="58">
        <v>25198.0</v>
      </c>
      <c r="B109" s="40">
        <v>2.0</v>
      </c>
      <c r="C109" s="32" t="s">
        <v>33</v>
      </c>
      <c r="D109" s="32" t="s">
        <v>34</v>
      </c>
      <c r="E109" s="32" t="s">
        <v>899</v>
      </c>
      <c r="F109" s="40" t="s">
        <v>900</v>
      </c>
      <c r="G109" s="40" t="s">
        <v>977</v>
      </c>
      <c r="H109" s="40" t="s">
        <v>50</v>
      </c>
      <c r="I109" s="40" t="s">
        <v>1042</v>
      </c>
      <c r="J109" s="40" t="s">
        <v>1042</v>
      </c>
      <c r="K109" s="32" t="s">
        <v>961</v>
      </c>
      <c r="L109" s="40" t="s">
        <v>60</v>
      </c>
      <c r="M109" s="40" t="s">
        <v>169</v>
      </c>
      <c r="N109" s="40">
        <v>6.5</v>
      </c>
      <c r="O109" s="40" t="s">
        <v>42</v>
      </c>
      <c r="P109" s="40" t="s">
        <v>929</v>
      </c>
      <c r="Q109" s="32" t="s">
        <v>42</v>
      </c>
      <c r="R109" s="40">
        <v>0.3</v>
      </c>
      <c r="S109" s="40" t="s">
        <v>45</v>
      </c>
      <c r="T109" s="40">
        <v>10.0</v>
      </c>
      <c r="U109" s="40">
        <v>181.0</v>
      </c>
      <c r="V109" s="40" t="s">
        <v>42</v>
      </c>
      <c r="W109" s="40">
        <v>1220.0</v>
      </c>
      <c r="X109" s="40" t="s">
        <v>42</v>
      </c>
      <c r="Y109" s="32">
        <v>2.21</v>
      </c>
      <c r="Z109" s="32" t="s">
        <v>46</v>
      </c>
      <c r="AA109" s="40" t="s">
        <v>44</v>
      </c>
      <c r="AB109" s="32">
        <v>18.9</v>
      </c>
      <c r="AC109" s="40" t="s">
        <v>61</v>
      </c>
      <c r="AD109" s="57">
        <f t="shared" si="1"/>
        <v>41.769</v>
      </c>
      <c r="AF109" s="32">
        <v>25.0</v>
      </c>
      <c r="AH109" s="32">
        <v>1222.13</v>
      </c>
      <c r="AN109" s="43" t="str">
        <f>IFERROR(__xludf.DUMMYFUNCTION("AI(""Completa un valor adecuado para esta celda en función del contexto de la tabla"")"),"Este piso vinílico tipo SPC cuenta con un espesor total de 6,5 mm y una capa de uso de 0,3 mm, ideal para uso residencial. Presenta un sistema de colocación Click que facilita su instalación, además de incluir un manto incorporado para mayor confort. Fabr"&amp;"icado en China bajo la línea de oferta, cada caja rinde 2,21 m2 y contiene 10 tablas de 181 mm por 1220 mm.")</f>
        <v>Este piso vinílico tipo SPC cuenta con un espesor total de 6,5 mm y una capa de uso de 0,3 mm, ideal para uso residencial. Presenta un sistema de colocación Click que facilita su instalación, además de incluir un manto incorporado para mayor confort. Fabricado en China bajo la línea de oferta, cada caja rinde 2,21 m2 y contiene 10 tablas de 181 mm por 1220 mm.</v>
      </c>
    </row>
    <row r="110" ht="15.75" customHeight="1">
      <c r="A110" s="58">
        <v>24909.0</v>
      </c>
      <c r="B110" s="40">
        <v>2.0</v>
      </c>
      <c r="C110" s="32" t="s">
        <v>33</v>
      </c>
      <c r="D110" s="32" t="s">
        <v>34</v>
      </c>
      <c r="E110" s="32" t="s">
        <v>899</v>
      </c>
      <c r="F110" s="40" t="s">
        <v>900</v>
      </c>
      <c r="G110" s="40" t="s">
        <v>977</v>
      </c>
      <c r="H110" s="40" t="s">
        <v>50</v>
      </c>
      <c r="I110" s="40" t="s">
        <v>1043</v>
      </c>
      <c r="J110" s="40" t="s">
        <v>1043</v>
      </c>
      <c r="K110" s="32" t="s">
        <v>961</v>
      </c>
      <c r="L110" s="40" t="s">
        <v>60</v>
      </c>
      <c r="M110" s="40" t="s">
        <v>169</v>
      </c>
      <c r="N110" s="40">
        <v>5.5</v>
      </c>
      <c r="O110" s="40" t="s">
        <v>42</v>
      </c>
      <c r="P110" s="40" t="s">
        <v>1044</v>
      </c>
      <c r="Q110" s="32" t="s">
        <v>42</v>
      </c>
      <c r="R110" s="40">
        <v>0.3</v>
      </c>
      <c r="S110" s="40" t="s">
        <v>45</v>
      </c>
      <c r="T110" s="40">
        <v>12.0</v>
      </c>
      <c r="U110" s="40">
        <v>180.0</v>
      </c>
      <c r="V110" s="40" t="s">
        <v>42</v>
      </c>
      <c r="W110" s="40">
        <v>1220.0</v>
      </c>
      <c r="X110" s="40" t="s">
        <v>42</v>
      </c>
      <c r="Y110" s="32">
        <v>2.64</v>
      </c>
      <c r="Z110" s="32" t="s">
        <v>46</v>
      </c>
      <c r="AA110" s="40" t="s">
        <v>44</v>
      </c>
      <c r="AB110" s="32">
        <v>15.8</v>
      </c>
      <c r="AC110" s="40" t="s">
        <v>61</v>
      </c>
      <c r="AD110" s="57">
        <f t="shared" si="1"/>
        <v>41.712</v>
      </c>
      <c r="AF110" s="32">
        <v>25.0</v>
      </c>
      <c r="AN110" s="43" t="str">
        <f>IFERROR(__xludf.DUMMYFUNCTION("AI(""Completa un valor adecuado para esta celda en función del contexto de la tabla"")"),"Este piso vinílico tipo SPC cuenta con un espesor total de 5,5 mm y una capa de uso de 0,3 mm, ideal para uso residencial. Presenta un sistema de colocación Click que facilita su instalación, además de incluir un manto incorporado para mayor confort. Fabr"&amp;"icado en China bajo la línea de oferta, cada caja rinde 2,64 m2 y contiene 12 tablas de 180 mm por 1220 mm.")</f>
        <v>Este piso vinílico tipo SPC cuenta con un espesor total de 5,5 mm y una capa de uso de 0,3 mm, ideal para uso residencial. Presenta un sistema de colocación Click que facilita su instalación, además de incluir un manto incorporado para mayor confort. Fabricado en China bajo la línea de oferta, cada caja rinde 2,64 m2 y contiene 12 tablas de 180 mm por 1220 mm.</v>
      </c>
    </row>
    <row r="111" ht="15.75" customHeight="1">
      <c r="A111" s="58">
        <v>20310.0</v>
      </c>
      <c r="B111" s="40">
        <v>2.0</v>
      </c>
      <c r="C111" s="32" t="s">
        <v>33</v>
      </c>
      <c r="D111" s="32" t="s">
        <v>34</v>
      </c>
      <c r="E111" s="32" t="s">
        <v>899</v>
      </c>
      <c r="F111" s="40" t="s">
        <v>900</v>
      </c>
      <c r="G111" s="40" t="s">
        <v>977</v>
      </c>
      <c r="H111" s="40" t="s">
        <v>50</v>
      </c>
      <c r="I111" s="40" t="s">
        <v>1045</v>
      </c>
      <c r="J111" s="40">
        <v>5002.0</v>
      </c>
      <c r="K111" s="32" t="s">
        <v>961</v>
      </c>
      <c r="L111" s="40" t="s">
        <v>1046</v>
      </c>
      <c r="M111" s="40" t="s">
        <v>54</v>
      </c>
      <c r="N111" s="40">
        <v>5.5</v>
      </c>
      <c r="O111" s="40" t="s">
        <v>42</v>
      </c>
      <c r="P111" s="40" t="s">
        <v>915</v>
      </c>
      <c r="Q111" s="32" t="s">
        <v>42</v>
      </c>
      <c r="R111" s="40">
        <v>0.5</v>
      </c>
      <c r="S111" s="40" t="s">
        <v>45</v>
      </c>
      <c r="T111" s="40">
        <v>12.0</v>
      </c>
      <c r="U111" s="40">
        <v>180.0</v>
      </c>
      <c r="V111" s="40" t="s">
        <v>42</v>
      </c>
      <c r="W111" s="40">
        <v>1220.0</v>
      </c>
      <c r="X111" s="40" t="s">
        <v>42</v>
      </c>
      <c r="Y111" s="32">
        <v>2.64</v>
      </c>
      <c r="Z111" s="32" t="s">
        <v>46</v>
      </c>
      <c r="AA111" s="40" t="s">
        <v>44</v>
      </c>
      <c r="AB111" s="32">
        <v>19.0</v>
      </c>
      <c r="AC111" s="40" t="s">
        <v>61</v>
      </c>
      <c r="AD111" s="57">
        <f t="shared" si="1"/>
        <v>50.16</v>
      </c>
      <c r="AE111" s="32">
        <v>55.0</v>
      </c>
      <c r="AF111" s="32">
        <v>25.0</v>
      </c>
      <c r="AH111" s="32">
        <v>1407.1</v>
      </c>
      <c r="AN111" s="43" t="str">
        <f>IFERROR(__xludf.DUMMYFUNCTION("AI(""Completa un valor adecuado para esta celda en función del contexto de la tabla"")"),"Este piso vinílico tipo SPC cuenta con un espesor total de 5,5 mm y una capa de uso de 0,5 mm, diseñado para un uso comercial. Presenta un sistema de colocación Click que facilita su instalación e incluye un manto incorporado para mayor confort acústico. "&amp;"Fabricado en China bajo la marca MaxCore y la línea Antique, cada caja rinde 2,64 m2 y contiene 12 tablas de 180 mm por 1220 mm.")</f>
        <v>Este piso vinílico tipo SPC cuenta con un espesor total de 5,5 mm y una capa de uso de 0,5 mm, diseñado para un uso comercial. Presenta un sistema de colocación Click que facilita su instalación e incluye un manto incorporado para mayor confort acústico. Fabricado en China bajo la marca MaxCore y la línea Antique, cada caja rinde 2,64 m2 y contiene 12 tablas de 180 mm por 1220 mm.</v>
      </c>
    </row>
    <row r="112" ht="15.75" customHeight="1">
      <c r="A112" s="58">
        <v>20311.0</v>
      </c>
      <c r="B112" s="40">
        <v>2.0</v>
      </c>
      <c r="C112" s="32" t="s">
        <v>33</v>
      </c>
      <c r="D112" s="32" t="s">
        <v>34</v>
      </c>
      <c r="E112" s="32" t="s">
        <v>899</v>
      </c>
      <c r="F112" s="40" t="s">
        <v>900</v>
      </c>
      <c r="G112" s="40" t="s">
        <v>977</v>
      </c>
      <c r="H112" s="40" t="s">
        <v>50</v>
      </c>
      <c r="I112" s="40" t="s">
        <v>1047</v>
      </c>
      <c r="J112" s="40">
        <v>5003.0</v>
      </c>
      <c r="K112" s="32" t="s">
        <v>961</v>
      </c>
      <c r="L112" s="40" t="s">
        <v>1046</v>
      </c>
      <c r="M112" s="40" t="s">
        <v>54</v>
      </c>
      <c r="N112" s="40">
        <v>5.5</v>
      </c>
      <c r="O112" s="40" t="s">
        <v>42</v>
      </c>
      <c r="P112" s="40" t="s">
        <v>915</v>
      </c>
      <c r="Q112" s="32" t="s">
        <v>42</v>
      </c>
      <c r="R112" s="40">
        <v>0.5</v>
      </c>
      <c r="S112" s="40" t="s">
        <v>45</v>
      </c>
      <c r="T112" s="40">
        <v>12.0</v>
      </c>
      <c r="U112" s="40">
        <v>180.0</v>
      </c>
      <c r="V112" s="40" t="s">
        <v>42</v>
      </c>
      <c r="W112" s="40">
        <v>1220.0</v>
      </c>
      <c r="X112" s="40" t="s">
        <v>42</v>
      </c>
      <c r="Y112" s="32">
        <v>2.64</v>
      </c>
      <c r="Z112" s="32" t="s">
        <v>46</v>
      </c>
      <c r="AA112" s="40" t="s">
        <v>44</v>
      </c>
      <c r="AB112" s="32">
        <v>19.0</v>
      </c>
      <c r="AC112" s="40" t="s">
        <v>61</v>
      </c>
      <c r="AD112" s="57">
        <f t="shared" si="1"/>
        <v>50.16</v>
      </c>
      <c r="AE112" s="32">
        <v>55.0</v>
      </c>
      <c r="AF112" s="32">
        <v>25.0</v>
      </c>
      <c r="AH112" s="32">
        <v>2938.31</v>
      </c>
      <c r="AN112" s="43" t="str">
        <f>IFERROR(__xludf.DUMMYFUNCTION("AI(""Completa un valor adecuado para esta celda en función del contexto de la tabla"")"),"Este piso vinílico tipo SPC de la marca MaxCore, línea Antique, presenta un espesor total de 5,5 mm (4 mm + 1,5 mm de manto incorporado) y una capa de uso de 0,5 mm, lo que lo hace apto para uso comercial. Su sistema de colocación Click permite una instal"&amp;"ación rápida y sencilla sin adhesivos. Fabricado en China, cada caja rinde 2,64 m2 y contiene 12 tablas de 180 mm por 1220 mm.")</f>
        <v>Este piso vinílico tipo SPC de la marca MaxCore, línea Antique, presenta un espesor total de 5,5 mm (4 mm + 1,5 mm de manto incorporado) y una capa de uso de 0,5 mm, lo que lo hace apto para uso comercial. Su sistema de colocación Click permite una instalación rápida y sencilla sin adhesivos. Fabricado en China, cada caja rinde 2,64 m2 y contiene 12 tablas de 180 mm por 1220 mm.</v>
      </c>
    </row>
    <row r="113" ht="15.75" customHeight="1">
      <c r="A113" s="58">
        <v>24575.0</v>
      </c>
      <c r="B113" s="40">
        <v>2.0</v>
      </c>
      <c r="C113" s="32" t="s">
        <v>33</v>
      </c>
      <c r="D113" s="32" t="s">
        <v>34</v>
      </c>
      <c r="E113" s="32" t="s">
        <v>899</v>
      </c>
      <c r="F113" s="40" t="s">
        <v>900</v>
      </c>
      <c r="G113" s="40" t="s">
        <v>977</v>
      </c>
      <c r="H113" s="40" t="s">
        <v>50</v>
      </c>
      <c r="I113" s="40" t="s">
        <v>1048</v>
      </c>
      <c r="J113" s="40">
        <v>47107.0</v>
      </c>
      <c r="K113" s="32" t="s">
        <v>961</v>
      </c>
      <c r="L113" s="40" t="s">
        <v>984</v>
      </c>
      <c r="M113" s="40" t="s">
        <v>169</v>
      </c>
      <c r="N113" s="40">
        <v>4.0</v>
      </c>
      <c r="O113" s="40" t="s">
        <v>42</v>
      </c>
      <c r="P113" s="40">
        <v>4.0</v>
      </c>
      <c r="Q113" s="32" t="s">
        <v>42</v>
      </c>
      <c r="R113" s="40">
        <v>0.3</v>
      </c>
      <c r="S113" s="40" t="s">
        <v>44</v>
      </c>
      <c r="T113" s="40">
        <v>20.0</v>
      </c>
      <c r="U113" s="40">
        <v>150.0</v>
      </c>
      <c r="V113" s="40" t="s">
        <v>42</v>
      </c>
      <c r="W113" s="40">
        <v>935.0</v>
      </c>
      <c r="X113" s="40" t="s">
        <v>42</v>
      </c>
      <c r="Y113" s="32">
        <v>2.81</v>
      </c>
      <c r="Z113" s="32" t="s">
        <v>46</v>
      </c>
      <c r="AA113" s="40" t="s">
        <v>44</v>
      </c>
      <c r="AB113" s="32">
        <v>15.8</v>
      </c>
      <c r="AC113" s="40" t="s">
        <v>61</v>
      </c>
      <c r="AD113" s="57">
        <f t="shared" si="1"/>
        <v>44.398</v>
      </c>
      <c r="AE113" s="32">
        <v>55.0</v>
      </c>
      <c r="AF113" s="32">
        <v>25.0</v>
      </c>
      <c r="AN113"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Economy, cada caja rinde 2,81 m2"&amp;" y contiene 20 tablas de 150 mm por 935 mm.")</f>
        <v>Este piso vinílico tipo SPC cuenta con un espesor total de 4 mm y una capa de uso de 0,3 mm, ideal para uso residencial. Presenta un sistema de colocación Click que facilita su instalación. Fabricado en China bajo la línea Economy, cada caja rinde 2,81 m2 y contiene 20 tablas de 150 mm por 935 mm.</v>
      </c>
    </row>
    <row r="114" ht="15.75" customHeight="1">
      <c r="A114" s="58">
        <v>19954.0</v>
      </c>
      <c r="B114" s="40">
        <v>2.0</v>
      </c>
      <c r="C114" s="32" t="s">
        <v>33</v>
      </c>
      <c r="D114" s="32" t="s">
        <v>34</v>
      </c>
      <c r="E114" s="32" t="s">
        <v>899</v>
      </c>
      <c r="F114" s="40" t="s">
        <v>900</v>
      </c>
      <c r="G114" s="40" t="s">
        <v>977</v>
      </c>
      <c r="H114" s="40" t="s">
        <v>50</v>
      </c>
      <c r="I114" s="40" t="s">
        <v>1049</v>
      </c>
      <c r="J114" s="40">
        <v>8892.0</v>
      </c>
      <c r="K114" s="32" t="s">
        <v>961</v>
      </c>
      <c r="L114" s="40" t="s">
        <v>989</v>
      </c>
      <c r="M114" s="40" t="s">
        <v>169</v>
      </c>
      <c r="N114" s="40">
        <v>4.0</v>
      </c>
      <c r="O114" s="40" t="s">
        <v>42</v>
      </c>
      <c r="P114" s="40">
        <v>4.0</v>
      </c>
      <c r="Q114" s="32" t="s">
        <v>42</v>
      </c>
      <c r="R114" s="40">
        <v>0.3</v>
      </c>
      <c r="S114" s="40" t="s">
        <v>44</v>
      </c>
      <c r="T114" s="40">
        <v>12.0</v>
      </c>
      <c r="U114" s="40">
        <v>180.0</v>
      </c>
      <c r="V114" s="40" t="s">
        <v>42</v>
      </c>
      <c r="W114" s="40">
        <v>1220.0</v>
      </c>
      <c r="X114" s="40" t="s">
        <v>42</v>
      </c>
      <c r="Y114" s="32">
        <v>2.64</v>
      </c>
      <c r="Z114" s="32" t="s">
        <v>46</v>
      </c>
      <c r="AA114" s="40" t="s">
        <v>44</v>
      </c>
      <c r="AB114" s="32">
        <v>19.0</v>
      </c>
      <c r="AC114" s="40" t="s">
        <v>61</v>
      </c>
      <c r="AD114" s="57">
        <f t="shared" si="1"/>
        <v>50.16</v>
      </c>
      <c r="AE114" s="32">
        <v>55.0</v>
      </c>
      <c r="AF114" s="32">
        <v>25.0</v>
      </c>
      <c r="AH114" s="32">
        <v>1061.28</v>
      </c>
      <c r="AN114"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Home de la marca MaxCore, cada c"&amp;"aja rinde 2,64 m2 y contiene 12 tablas de 180 mm por 1220 mm.")</f>
        <v>Este piso vinílico tipo SPC cuenta con un espesor total de 4 mm y una capa de uso de 0,3 mm, ideal para uso residencial. Presenta un sistema de colocación Click que facilita su instalación. Fabricado en China bajo la línea Home de la marca MaxCore, cada caja rinde 2,64 m2 y contiene 12 tablas de 180 mm por 1220 mm.</v>
      </c>
    </row>
    <row r="115" ht="15.75" customHeight="1">
      <c r="A115" s="58">
        <v>19816.0</v>
      </c>
      <c r="B115" s="40">
        <v>2.0</v>
      </c>
      <c r="C115" s="32" t="s">
        <v>33</v>
      </c>
      <c r="D115" s="32" t="s">
        <v>34</v>
      </c>
      <c r="E115" s="32" t="s">
        <v>899</v>
      </c>
      <c r="F115" s="40" t="s">
        <v>900</v>
      </c>
      <c r="G115" s="40" t="s">
        <v>977</v>
      </c>
      <c r="H115" s="40" t="s">
        <v>50</v>
      </c>
      <c r="I115" s="40" t="s">
        <v>1050</v>
      </c>
      <c r="J115" s="40" t="s">
        <v>1050</v>
      </c>
      <c r="K115" s="32" t="s">
        <v>961</v>
      </c>
      <c r="L115" s="40" t="s">
        <v>9</v>
      </c>
      <c r="M115" s="40" t="s">
        <v>169</v>
      </c>
      <c r="N115" s="40">
        <v>4.0</v>
      </c>
      <c r="O115" s="40" t="s">
        <v>42</v>
      </c>
      <c r="P115" s="40">
        <v>4.0</v>
      </c>
      <c r="Q115" s="32" t="s">
        <v>42</v>
      </c>
      <c r="R115" s="40">
        <v>0.3</v>
      </c>
      <c r="S115" s="40" t="s">
        <v>44</v>
      </c>
      <c r="T115" s="40">
        <v>10.0</v>
      </c>
      <c r="U115" s="40">
        <v>230.0</v>
      </c>
      <c r="V115" s="40" t="s">
        <v>42</v>
      </c>
      <c r="W115" s="40">
        <v>1540.0</v>
      </c>
      <c r="X115" s="40" t="s">
        <v>42</v>
      </c>
      <c r="Y115" s="32">
        <v>3.54</v>
      </c>
      <c r="Z115" s="32" t="s">
        <v>46</v>
      </c>
      <c r="AA115" s="40" t="s">
        <v>45</v>
      </c>
      <c r="AB115" s="32">
        <v>21.4</v>
      </c>
      <c r="AC115" s="40" t="s">
        <v>61</v>
      </c>
      <c r="AD115" s="57">
        <f t="shared" si="1"/>
        <v>75.756</v>
      </c>
      <c r="AE115" s="32">
        <v>63.0</v>
      </c>
      <c r="AF115" s="32">
        <v>25.0</v>
      </c>
      <c r="AH115" s="32">
        <v>757.56</v>
      </c>
      <c r="AN115"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y cuenta con bisel para una terminación más realista. Fabricado en"&amp;" China bajo la marca MaxCore en su línea Linea, cada caja rinde 3,54 m2 y contiene 10 tablas de 230 mm por 1540 mm.")</f>
        <v>Este piso vinílico tipo SPC cuenta con un espesor total de 4 mm y una capa de uso de 0,3 mm, ideal para uso residencial. Presenta un sistema de colocación Click que facilita su instalación y cuenta con bisel para una terminación más realista. Fabricado en China bajo la marca MaxCore en su línea Linea, cada caja rinde 3,54 m2 y contiene 10 tablas de 230 mm por 1540 mm.</v>
      </c>
    </row>
    <row r="116" ht="15.75" customHeight="1">
      <c r="A116" s="58">
        <v>24576.0</v>
      </c>
      <c r="B116" s="40">
        <v>2.0</v>
      </c>
      <c r="C116" s="32" t="s">
        <v>33</v>
      </c>
      <c r="D116" s="32" t="s">
        <v>34</v>
      </c>
      <c r="E116" s="32" t="s">
        <v>899</v>
      </c>
      <c r="F116" s="40" t="s">
        <v>900</v>
      </c>
      <c r="G116" s="40" t="s">
        <v>977</v>
      </c>
      <c r="H116" s="40" t="s">
        <v>50</v>
      </c>
      <c r="I116" s="40" t="s">
        <v>1051</v>
      </c>
      <c r="J116" s="40">
        <v>47110.0</v>
      </c>
      <c r="K116" s="32" t="s">
        <v>961</v>
      </c>
      <c r="L116" s="40" t="s">
        <v>984</v>
      </c>
      <c r="M116" s="40" t="s">
        <v>169</v>
      </c>
      <c r="N116" s="40">
        <v>4.0</v>
      </c>
      <c r="O116" s="40" t="s">
        <v>42</v>
      </c>
      <c r="P116" s="40">
        <v>4.0</v>
      </c>
      <c r="Q116" s="32" t="s">
        <v>42</v>
      </c>
      <c r="R116" s="40">
        <v>0.3</v>
      </c>
      <c r="S116" s="40" t="s">
        <v>44</v>
      </c>
      <c r="T116" s="40">
        <v>20.0</v>
      </c>
      <c r="U116" s="40">
        <v>150.0</v>
      </c>
      <c r="V116" s="40" t="s">
        <v>42</v>
      </c>
      <c r="W116" s="40">
        <v>935.0</v>
      </c>
      <c r="X116" s="40" t="s">
        <v>42</v>
      </c>
      <c r="Y116" s="32">
        <v>2.81</v>
      </c>
      <c r="Z116" s="32" t="s">
        <v>46</v>
      </c>
      <c r="AA116" s="40" t="s">
        <v>44</v>
      </c>
      <c r="AB116" s="32">
        <v>15.8</v>
      </c>
      <c r="AC116" s="40" t="s">
        <v>61</v>
      </c>
      <c r="AD116" s="57">
        <f t="shared" si="1"/>
        <v>44.398</v>
      </c>
      <c r="AE116" s="32">
        <v>62.0</v>
      </c>
      <c r="AF116" s="32">
        <v>25.0</v>
      </c>
      <c r="AN116"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aunque no incluye manto incorporado. Fabricado en China bajo la l"&amp;"ínea Economy, cada caja rinde 2.81 m2 y contiene 20 tablas de 150 mm por 935 mm.")</f>
        <v>Este piso vinílico tipo spc cuenta con un espesor total de 4 mm y una capa de uso de 0.3 mm, ideal para uso residencial. Presenta un sistema de colocación Click que facilita su instalación, aunque no incluye manto incorporado. Fabricado en China bajo la línea Economy, cada caja rinde 2.81 m2 y contiene 20 tablas de 150 mm por 935 mm.</v>
      </c>
    </row>
    <row r="117" ht="15.75" customHeight="1">
      <c r="A117" s="58">
        <v>20227.0</v>
      </c>
      <c r="B117" s="40">
        <v>2.0</v>
      </c>
      <c r="C117" s="32" t="s">
        <v>33</v>
      </c>
      <c r="D117" s="32" t="s">
        <v>34</v>
      </c>
      <c r="E117" s="32" t="s">
        <v>899</v>
      </c>
      <c r="F117" s="40" t="s">
        <v>900</v>
      </c>
      <c r="G117" s="40" t="s">
        <v>977</v>
      </c>
      <c r="H117" s="40" t="s">
        <v>50</v>
      </c>
      <c r="I117" s="40" t="s">
        <v>1052</v>
      </c>
      <c r="J117" s="40">
        <v>1106.0</v>
      </c>
      <c r="K117" s="32" t="s">
        <v>961</v>
      </c>
      <c r="L117" s="40" t="s">
        <v>1025</v>
      </c>
      <c r="M117" s="40" t="s">
        <v>54</v>
      </c>
      <c r="N117" s="40">
        <v>4.5</v>
      </c>
      <c r="O117" s="40" t="s">
        <v>42</v>
      </c>
      <c r="P117" s="40">
        <v>4.5</v>
      </c>
      <c r="Q117" s="32" t="s">
        <v>42</v>
      </c>
      <c r="R117" s="40">
        <v>0.5</v>
      </c>
      <c r="S117" s="40" t="s">
        <v>44</v>
      </c>
      <c r="T117" s="40">
        <v>12.0</v>
      </c>
      <c r="U117" s="40">
        <v>125.0</v>
      </c>
      <c r="V117" s="40" t="s">
        <v>42</v>
      </c>
      <c r="W117" s="40">
        <v>1220.0</v>
      </c>
      <c r="X117" s="40" t="s">
        <v>42</v>
      </c>
      <c r="Y117" s="32">
        <v>1.83</v>
      </c>
      <c r="Z117" s="32" t="s">
        <v>46</v>
      </c>
      <c r="AA117" s="40" t="s">
        <v>45</v>
      </c>
      <c r="AB117" s="32">
        <v>21.7</v>
      </c>
      <c r="AC117" s="40" t="s">
        <v>61</v>
      </c>
      <c r="AD117" s="57">
        <f t="shared" si="1"/>
        <v>39.711</v>
      </c>
      <c r="AE117" s="32">
        <v>70.0</v>
      </c>
      <c r="AF117" s="32">
        <v>25.0</v>
      </c>
      <c r="AH117" s="32">
        <v>118.94</v>
      </c>
      <c r="AN117" s="43" t="str">
        <f>IFERROR(__xludf.DUMMYFUNCTION("AI(""Completa un valor adecuado para esta celda en función del contexto de la tabla"")"),"Este piso vinílico tipo SPC cuenta con un espesor total de 4,5 mm y una capa de uso de 0,5 mm, ideal para uso comercial. Presenta un sistema de colocación Click que facilita su instalación y cuenta con bisel para un acabado más realista. Fabricado en Chin"&amp;"a bajo la línea Narrow de MaxCore, cada caja rinde 1,83 m2 y contiene 12 tablas de 125 mm por 1220 mm.")</f>
        <v>Este piso vinílico tipo SPC cuenta con un espesor total de 4,5 mm y una capa de uso de 0,5 mm, ideal para uso comercial. Presenta un sistema de colocación Click que facilita su instalación y cuenta con bisel para un acabado más realista. Fabricado en China bajo la línea Narrow de MaxCore, cada caja rinde 1,83 m2 y contiene 12 tablas de 125 mm por 1220 mm.</v>
      </c>
    </row>
    <row r="118" ht="15.75" customHeight="1">
      <c r="A118" s="58">
        <v>21680.0</v>
      </c>
      <c r="B118" s="40">
        <v>2.0</v>
      </c>
      <c r="C118" s="32" t="s">
        <v>33</v>
      </c>
      <c r="D118" s="32" t="s">
        <v>34</v>
      </c>
      <c r="E118" s="32" t="s">
        <v>899</v>
      </c>
      <c r="F118" s="40" t="s">
        <v>900</v>
      </c>
      <c r="G118" s="40" t="s">
        <v>977</v>
      </c>
      <c r="H118" s="40" t="s">
        <v>50</v>
      </c>
      <c r="I118" s="40" t="s">
        <v>1053</v>
      </c>
      <c r="J118" s="40">
        <v>2205.0</v>
      </c>
      <c r="K118" s="32" t="s">
        <v>961</v>
      </c>
      <c r="L118" s="40" t="s">
        <v>987</v>
      </c>
      <c r="M118" s="40" t="s">
        <v>54</v>
      </c>
      <c r="N118" s="40">
        <v>4.0</v>
      </c>
      <c r="O118" s="40" t="s">
        <v>42</v>
      </c>
      <c r="P118" s="40">
        <v>4.0</v>
      </c>
      <c r="Q118" s="32" t="s">
        <v>42</v>
      </c>
      <c r="R118" s="40">
        <v>0.5</v>
      </c>
      <c r="S118" s="40" t="s">
        <v>44</v>
      </c>
      <c r="T118" s="40">
        <v>12.0</v>
      </c>
      <c r="U118" s="40">
        <v>180.0</v>
      </c>
      <c r="V118" s="40" t="s">
        <v>42</v>
      </c>
      <c r="W118" s="40">
        <v>1220.0</v>
      </c>
      <c r="X118" s="40" t="s">
        <v>42</v>
      </c>
      <c r="Y118" s="32">
        <v>2.64</v>
      </c>
      <c r="Z118" s="32" t="s">
        <v>46</v>
      </c>
      <c r="AA118" s="40" t="s">
        <v>44</v>
      </c>
      <c r="AB118" s="32">
        <v>15.9</v>
      </c>
      <c r="AC118" s="40" t="s">
        <v>61</v>
      </c>
      <c r="AD118" s="57">
        <f t="shared" si="1"/>
        <v>41.976</v>
      </c>
      <c r="AE118" s="32">
        <v>55.0</v>
      </c>
      <c r="AF118" s="32">
        <v>25.0</v>
      </c>
      <c r="AN118" s="43" t="str">
        <f>IFERROR(__xludf.DUMMYFUNCTION("AI(""Completa un valor adecuado para esta celda en función del contexto de la tabla"")"),"Este piso vinílico tipo SPC cuenta con un espesor total de 4 mm y una capa de uso de 0,5 mm, ideal para uso comercial. Presenta un sistema de colocación Click que facilita su instalación, sin manto incorporado. Fabricado en China bajo la línea Traffic de "&amp;"MaxCore, cada caja rinde 2,64 m2 y contiene 12 tablas de 180 mm por 1220 mm.")</f>
        <v>Este piso vinílico tipo SPC cuenta con un espesor total de 4 mm y una capa de uso de 0,5 mm, ideal para uso comercial. Presenta un sistema de colocación Click que facilita su instalación, sin manto incorporado. Fabricado en China bajo la línea Traffic de MaxCore, cada caja rinde 2,64 m2 y contiene 12 tablas de 180 mm por 1220 mm.</v>
      </c>
    </row>
    <row r="119" ht="15.75" customHeight="1">
      <c r="A119" s="58">
        <v>21681.0</v>
      </c>
      <c r="B119" s="40">
        <v>2.0</v>
      </c>
      <c r="C119" s="32" t="s">
        <v>33</v>
      </c>
      <c r="D119" s="32" t="s">
        <v>34</v>
      </c>
      <c r="E119" s="32" t="s">
        <v>899</v>
      </c>
      <c r="F119" s="40" t="s">
        <v>900</v>
      </c>
      <c r="G119" s="40" t="s">
        <v>977</v>
      </c>
      <c r="H119" s="40" t="s">
        <v>50</v>
      </c>
      <c r="I119" s="40" t="s">
        <v>1054</v>
      </c>
      <c r="J119" s="40">
        <v>2207.0</v>
      </c>
      <c r="K119" s="32" t="s">
        <v>961</v>
      </c>
      <c r="L119" s="40" t="s">
        <v>987</v>
      </c>
      <c r="M119" s="40" t="s">
        <v>54</v>
      </c>
      <c r="N119" s="40">
        <v>4.0</v>
      </c>
      <c r="O119" s="40" t="s">
        <v>42</v>
      </c>
      <c r="P119" s="40">
        <v>4.0</v>
      </c>
      <c r="Q119" s="32" t="s">
        <v>42</v>
      </c>
      <c r="R119" s="40">
        <v>0.5</v>
      </c>
      <c r="S119" s="40" t="s">
        <v>44</v>
      </c>
      <c r="T119" s="40">
        <v>12.0</v>
      </c>
      <c r="U119" s="40">
        <v>180.0</v>
      </c>
      <c r="V119" s="40" t="s">
        <v>42</v>
      </c>
      <c r="W119" s="40">
        <v>1220.0</v>
      </c>
      <c r="X119" s="40" t="s">
        <v>42</v>
      </c>
      <c r="Y119" s="32">
        <v>2.64</v>
      </c>
      <c r="Z119" s="32" t="s">
        <v>46</v>
      </c>
      <c r="AA119" s="40" t="s">
        <v>44</v>
      </c>
      <c r="AB119" s="32">
        <v>19.0</v>
      </c>
      <c r="AC119" s="40" t="s">
        <v>61</v>
      </c>
      <c r="AD119" s="57">
        <f t="shared" si="1"/>
        <v>50.16</v>
      </c>
      <c r="AE119" s="32">
        <v>55.0</v>
      </c>
      <c r="AF119" s="32">
        <v>25.0</v>
      </c>
      <c r="AH119" s="32">
        <v>1103.5</v>
      </c>
      <c r="AN119" s="43" t="str">
        <f>IFERROR(__xludf.DUMMYFUNCTION("AI(""Completa un valor adecuado para esta celda en función del contexto de la tabla"")"),"Este piso vinílico tipo SPC cuenta con un espesor total de 4 mm y una capa de uso de 0,5 mm, diseñado para un uso comercial de la línea Traffic. Presenta un sistema de colocación Click para una instalación sencilla y no incluye manto incorporado. Fabricad"&amp;"o en China bajo la marca MaxCore, cada caja rinde 2,64 m2 y contiene 12 tablas de 180 mm por 1220 mm.")</f>
        <v>Este piso vinílico tipo SPC cuenta con un espesor total de 4 mm y una capa de uso de 0,5 mm, diseñado para un uso comercial de la línea Traffic. Presenta un sistema de colocación Click para una instalación sencilla y no incluye manto incorporado. Fabricado en China bajo la marca MaxCore, cada caja rinde 2,64 m2 y contiene 12 tablas de 180 mm por 1220 mm.</v>
      </c>
    </row>
    <row r="120" ht="15.75" customHeight="1">
      <c r="A120" s="58">
        <v>21685.0</v>
      </c>
      <c r="B120" s="40">
        <v>2.0</v>
      </c>
      <c r="C120" s="32" t="s">
        <v>33</v>
      </c>
      <c r="D120" s="32" t="s">
        <v>34</v>
      </c>
      <c r="E120" s="32" t="s">
        <v>899</v>
      </c>
      <c r="F120" s="40" t="s">
        <v>900</v>
      </c>
      <c r="G120" s="40" t="s">
        <v>977</v>
      </c>
      <c r="H120" s="40" t="s">
        <v>50</v>
      </c>
      <c r="I120" s="40" t="s">
        <v>1055</v>
      </c>
      <c r="J120" s="40">
        <v>2208.0</v>
      </c>
      <c r="K120" s="32" t="s">
        <v>961</v>
      </c>
      <c r="L120" s="40" t="s">
        <v>987</v>
      </c>
      <c r="M120" s="40" t="s">
        <v>54</v>
      </c>
      <c r="N120" s="40">
        <v>4.0</v>
      </c>
      <c r="O120" s="40" t="s">
        <v>42</v>
      </c>
      <c r="P120" s="40">
        <v>4.0</v>
      </c>
      <c r="Q120" s="32" t="s">
        <v>42</v>
      </c>
      <c r="R120" s="40">
        <v>0.5</v>
      </c>
      <c r="S120" s="40" t="s">
        <v>44</v>
      </c>
      <c r="T120" s="40">
        <v>12.0</v>
      </c>
      <c r="U120" s="40">
        <v>180.0</v>
      </c>
      <c r="V120" s="40" t="s">
        <v>42</v>
      </c>
      <c r="W120" s="40">
        <v>1220.0</v>
      </c>
      <c r="X120" s="40" t="s">
        <v>42</v>
      </c>
      <c r="Y120" s="32">
        <v>2.64</v>
      </c>
      <c r="Z120" s="32" t="s">
        <v>46</v>
      </c>
      <c r="AA120" s="40" t="s">
        <v>44</v>
      </c>
      <c r="AB120" s="32">
        <v>15.9</v>
      </c>
      <c r="AC120" s="40" t="s">
        <v>61</v>
      </c>
      <c r="AD120" s="57">
        <f t="shared" si="1"/>
        <v>41.976</v>
      </c>
      <c r="AE120" s="32">
        <v>55.0</v>
      </c>
      <c r="AF120" s="32">
        <v>25.0</v>
      </c>
      <c r="AN120" s="43" t="str">
        <f>IFERROR(__xludf.DUMMYFUNCTION("AI(""Completa un valor adecuado para esta celda en función del contexto de la tabla"")"),"Este piso vinílico tipo SPC cuenta con un espesor total de 4 mm y una capa de uso de 0,5 mm, ideal para uso comercial. Presenta un sistema de colocación Click que facilita su instalación, sin manto incorporado. Fabricado en China bajo la línea Traffic de "&amp;"MaxCore, cada caja rinde 2,64 m2 y contiene 12 tablas de 180 mm por 1220 mm.")</f>
        <v>Este piso vinílico tipo SPC cuenta con un espesor total de 4 mm y una capa de uso de 0,5 mm, ideal para uso comercial. Presenta un sistema de colocación Click que facilita su instalación, sin manto incorporado. Fabricado en China bajo la línea Traffic de MaxCore, cada caja rinde 2,64 m2 y contiene 12 tablas de 180 mm por 1220 mm.</v>
      </c>
    </row>
    <row r="121" ht="15.75" customHeight="1">
      <c r="A121" s="58">
        <v>24192.0</v>
      </c>
      <c r="B121" s="40">
        <v>2.0</v>
      </c>
      <c r="C121" s="32" t="s">
        <v>33</v>
      </c>
      <c r="D121" s="32" t="s">
        <v>34</v>
      </c>
      <c r="E121" s="32" t="s">
        <v>899</v>
      </c>
      <c r="F121" s="40" t="s">
        <v>900</v>
      </c>
      <c r="G121" s="40" t="s">
        <v>977</v>
      </c>
      <c r="H121" s="40" t="s">
        <v>50</v>
      </c>
      <c r="I121" s="40" t="s">
        <v>1056</v>
      </c>
      <c r="J121" s="40" t="s">
        <v>1056</v>
      </c>
      <c r="K121" s="32" t="s">
        <v>1057</v>
      </c>
      <c r="L121" s="40" t="s">
        <v>1058</v>
      </c>
      <c r="M121" s="40" t="s">
        <v>54</v>
      </c>
      <c r="N121" s="40">
        <v>5.0</v>
      </c>
      <c r="O121" s="40" t="s">
        <v>42</v>
      </c>
      <c r="P121" s="40" t="s">
        <v>904</v>
      </c>
      <c r="Q121" s="32" t="s">
        <v>42</v>
      </c>
      <c r="R121" s="40">
        <v>0.5</v>
      </c>
      <c r="S121" s="40" t="s">
        <v>45</v>
      </c>
      <c r="T121" s="40">
        <v>8.0</v>
      </c>
      <c r="U121" s="40">
        <v>228.0</v>
      </c>
      <c r="V121" s="40" t="s">
        <v>42</v>
      </c>
      <c r="W121" s="40">
        <v>1540.0</v>
      </c>
      <c r="X121" s="40" t="s">
        <v>42</v>
      </c>
      <c r="Y121" s="32">
        <v>2.78</v>
      </c>
      <c r="Z121" s="32" t="s">
        <v>46</v>
      </c>
      <c r="AA121" s="40" t="s">
        <v>44</v>
      </c>
      <c r="AB121" s="32">
        <v>21.9</v>
      </c>
      <c r="AC121" s="40" t="s">
        <v>61</v>
      </c>
      <c r="AD121" s="57">
        <f t="shared" si="1"/>
        <v>60.882</v>
      </c>
      <c r="AE121" s="32">
        <v>48.0</v>
      </c>
      <c r="AF121" s="32">
        <v>25.0</v>
      </c>
      <c r="AH121" s="32">
        <v>2071.1</v>
      </c>
      <c r="AN121" s="43"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Royale, cada caja rinde 2,78 m2 y contiene 8 tablas de 228 mm por 1540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Royale, cada caja rinde 2,78 m2 y contiene 8 tablas de 228 mm por 1540 mm.</v>
      </c>
    </row>
    <row r="122" ht="15.75" customHeight="1">
      <c r="A122" s="58">
        <v>20312.0</v>
      </c>
      <c r="B122" s="40">
        <v>2.0</v>
      </c>
      <c r="C122" s="32" t="s">
        <v>33</v>
      </c>
      <c r="D122" s="32" t="s">
        <v>34</v>
      </c>
      <c r="E122" s="32" t="s">
        <v>899</v>
      </c>
      <c r="F122" s="40" t="s">
        <v>900</v>
      </c>
      <c r="G122" s="40" t="s">
        <v>977</v>
      </c>
      <c r="H122" s="40" t="s">
        <v>50</v>
      </c>
      <c r="I122" s="40" t="s">
        <v>1059</v>
      </c>
      <c r="J122" s="40">
        <v>5004.0</v>
      </c>
      <c r="K122" s="32" t="s">
        <v>961</v>
      </c>
      <c r="L122" s="40" t="s">
        <v>1046</v>
      </c>
      <c r="M122" s="40" t="s">
        <v>54</v>
      </c>
      <c r="N122" s="40">
        <v>5.5</v>
      </c>
      <c r="O122" s="40" t="s">
        <v>42</v>
      </c>
      <c r="P122" s="40" t="s">
        <v>915</v>
      </c>
      <c r="Q122" s="32" t="s">
        <v>42</v>
      </c>
      <c r="R122" s="40">
        <v>0.5</v>
      </c>
      <c r="S122" s="40" t="s">
        <v>45</v>
      </c>
      <c r="T122" s="40">
        <v>12.0</v>
      </c>
      <c r="U122" s="40">
        <v>180.0</v>
      </c>
      <c r="V122" s="40" t="s">
        <v>42</v>
      </c>
      <c r="W122" s="40">
        <v>1220.0</v>
      </c>
      <c r="X122" s="40" t="s">
        <v>42</v>
      </c>
      <c r="Y122" s="32">
        <v>2.64</v>
      </c>
      <c r="Z122" s="32" t="s">
        <v>46</v>
      </c>
      <c r="AA122" s="40" t="s">
        <v>44</v>
      </c>
      <c r="AB122" s="32">
        <v>19.0</v>
      </c>
      <c r="AC122" s="40" t="s">
        <v>61</v>
      </c>
      <c r="AD122" s="57">
        <f t="shared" si="1"/>
        <v>50.16</v>
      </c>
      <c r="AE122" s="32">
        <v>55.0</v>
      </c>
      <c r="AF122" s="32">
        <v>25.0</v>
      </c>
      <c r="AH122" s="32">
        <v>8334.47</v>
      </c>
      <c r="AN122" s="43" t="str">
        <f>IFERROR(__xludf.DUMMYFUNCTION("AI(""Completa un valor adecuado para esta celda en función del contexto de la tabla"")"),"Este piso vinílico tipo SPC cuenta con un espesor total de 5,5 mm y una capa de uso de 0,5 mm, diseñado para un uso comercial de alto tránsito. Presenta un sistema de colocación Click que facilita su instalación, además de incluir un manto incorporado de "&amp;"1,5 mm para mayor confort acústico. Fabricado en China bajo la línea Antique de MaxCore, cada caja rinde 2,64 m2 y contiene 12 tablas de 180 mm por 1220 mm.")</f>
        <v>Este piso vinílico tipo SPC cuenta con un espesor total de 5,5 mm y una capa de uso de 0,5 mm, diseñado para un uso comercial de alto tránsito. Presenta un sistema de colocación Click que facilita su instalación, además de incluir un manto incorporado de 1,5 mm para mayor confort acústico. Fabricado en China bajo la línea Antique de MaxCore, cada caja rinde 2,64 m2 y contiene 12 tablas de 180 mm por 1220 mm.</v>
      </c>
    </row>
    <row r="123" ht="15.75" customHeight="1">
      <c r="A123" s="58">
        <v>20180.0</v>
      </c>
      <c r="B123" s="40">
        <v>2.0</v>
      </c>
      <c r="C123" s="32" t="s">
        <v>33</v>
      </c>
      <c r="D123" s="32" t="s">
        <v>34</v>
      </c>
      <c r="E123" s="32" t="s">
        <v>899</v>
      </c>
      <c r="F123" s="40" t="s">
        <v>900</v>
      </c>
      <c r="G123" s="40" t="s">
        <v>977</v>
      </c>
      <c r="H123" s="40" t="s">
        <v>50</v>
      </c>
      <c r="I123" s="40" t="s">
        <v>1060</v>
      </c>
      <c r="J123" s="40">
        <v>2203.0</v>
      </c>
      <c r="K123" s="32" t="s">
        <v>961</v>
      </c>
      <c r="L123" s="40" t="s">
        <v>987</v>
      </c>
      <c r="M123" s="40" t="s">
        <v>54</v>
      </c>
      <c r="N123" s="40">
        <v>4.0</v>
      </c>
      <c r="O123" s="40" t="s">
        <v>42</v>
      </c>
      <c r="P123" s="40">
        <v>4.0</v>
      </c>
      <c r="Q123" s="32" t="s">
        <v>42</v>
      </c>
      <c r="R123" s="40">
        <v>0.5</v>
      </c>
      <c r="S123" s="40" t="s">
        <v>44</v>
      </c>
      <c r="T123" s="40">
        <v>12.0</v>
      </c>
      <c r="U123" s="40">
        <v>180.0</v>
      </c>
      <c r="V123" s="40" t="s">
        <v>42</v>
      </c>
      <c r="W123" s="40">
        <v>1220.0</v>
      </c>
      <c r="X123" s="40" t="s">
        <v>42</v>
      </c>
      <c r="Y123" s="32">
        <v>2.64</v>
      </c>
      <c r="Z123" s="32" t="s">
        <v>46</v>
      </c>
      <c r="AA123" s="40" t="s">
        <v>44</v>
      </c>
      <c r="AB123" s="32">
        <v>19.0</v>
      </c>
      <c r="AC123" s="40" t="s">
        <v>61</v>
      </c>
      <c r="AD123" s="57">
        <f t="shared" si="1"/>
        <v>50.16</v>
      </c>
      <c r="AE123" s="32">
        <v>55.0</v>
      </c>
      <c r="AF123" s="32">
        <v>25.0</v>
      </c>
      <c r="AH123" s="32">
        <v>401.28</v>
      </c>
      <c r="AN123" s="43" t="str">
        <f>IFERROR(__xludf.DUMMYFUNCTION("AI(""Completa un valor adecuado para esta celda en función del contexto de la tabla"")"),"Este piso vinílico tipo SPC cuenta con un espesor total de 4 mm y una capa de uso de 0,5 mm, diseñado para uso comercial. Presenta un sistema de colocación Click que facilita su instalación sin necesidad de adhesivos. Fabricado en China bajo la marca MaxC"&amp;"ore y la línea Traffic, cada caja rinde 2,64 m2 y contiene 12 tablas de 180 mm por 1220 mm.")</f>
        <v>Este piso vinílico tipo SPC cuenta con un espesor total de 4 mm y una capa de uso de 0,5 mm, diseñado para uso comercial. Presenta un sistema de colocación Click que facilita su instalación sin necesidad de adhesivos. Fabricado en China bajo la marca MaxCore y la línea Traffic, cada caja rinde 2,64 m2 y contiene 12 tablas de 180 mm por 1220 mm.</v>
      </c>
    </row>
    <row r="124" ht="15.75" customHeight="1">
      <c r="A124" s="58">
        <v>21687.0</v>
      </c>
      <c r="B124" s="40">
        <v>2.0</v>
      </c>
      <c r="C124" s="32" t="s">
        <v>33</v>
      </c>
      <c r="D124" s="32" t="s">
        <v>34</v>
      </c>
      <c r="E124" s="32" t="s">
        <v>899</v>
      </c>
      <c r="F124" s="40" t="s">
        <v>900</v>
      </c>
      <c r="G124" s="40" t="s">
        <v>977</v>
      </c>
      <c r="H124" s="40" t="s">
        <v>50</v>
      </c>
      <c r="I124" s="40" t="s">
        <v>1061</v>
      </c>
      <c r="J124" s="40">
        <v>2209.0</v>
      </c>
      <c r="K124" s="32" t="s">
        <v>961</v>
      </c>
      <c r="L124" s="40" t="s">
        <v>987</v>
      </c>
      <c r="M124" s="40" t="s">
        <v>54</v>
      </c>
      <c r="N124" s="40">
        <v>4.0</v>
      </c>
      <c r="O124" s="40" t="s">
        <v>42</v>
      </c>
      <c r="P124" s="40">
        <v>4.0</v>
      </c>
      <c r="Q124" s="32" t="s">
        <v>42</v>
      </c>
      <c r="R124" s="40">
        <v>0.5</v>
      </c>
      <c r="S124" s="40" t="s">
        <v>44</v>
      </c>
      <c r="T124" s="40">
        <v>12.0</v>
      </c>
      <c r="U124" s="40">
        <v>180.0</v>
      </c>
      <c r="V124" s="40" t="s">
        <v>42</v>
      </c>
      <c r="W124" s="40">
        <v>1220.0</v>
      </c>
      <c r="X124" s="40" t="s">
        <v>42</v>
      </c>
      <c r="Y124" s="32">
        <v>2.64</v>
      </c>
      <c r="Z124" s="32" t="s">
        <v>46</v>
      </c>
      <c r="AA124" s="40" t="s">
        <v>44</v>
      </c>
      <c r="AB124" s="32">
        <v>15.9</v>
      </c>
      <c r="AC124" s="40" t="s">
        <v>61</v>
      </c>
      <c r="AD124" s="57">
        <f t="shared" si="1"/>
        <v>41.976</v>
      </c>
      <c r="AE124" s="32">
        <v>55.0</v>
      </c>
      <c r="AF124" s="32">
        <v>25.0</v>
      </c>
      <c r="AN124" s="43" t="str">
        <f>IFERROR(__xludf.DUMMYFUNCTION("AI(""Completa un valor adecuado para esta celda en función del contexto de la tabla"")"),"Este piso vinílico tipo SPC cuenta con un espesor total de 4 mm y una capa de uso de 0,5 mm, ideal para uso comercial. Presenta un sistema de colocación Click que facilita su instalación, sin incluir un manto incorporado. Fabricado en China bajo la línea "&amp;"Traffic, cada caja rinde 2,64 m2 y contiene 12 tablas de 180 mm por 1220 mm.")</f>
        <v>Este piso vinílico tipo SPC cuenta con un espesor total de 4 mm y una capa de uso de 0,5 mm, ideal para uso comercial. Presenta un sistema de colocación Click que facilita su instalación, sin incluir un manto incorporado. Fabricado en China bajo la línea Traffic, cada caja rinde 2,64 m2 y contiene 12 tablas de 180 mm por 1220 mm.</v>
      </c>
    </row>
    <row r="125" ht="15.75" customHeight="1">
      <c r="A125" s="58">
        <v>21682.0</v>
      </c>
      <c r="B125" s="40">
        <v>2.0</v>
      </c>
      <c r="C125" s="32" t="s">
        <v>33</v>
      </c>
      <c r="D125" s="32" t="s">
        <v>34</v>
      </c>
      <c r="E125" s="32" t="s">
        <v>899</v>
      </c>
      <c r="F125" s="40" t="s">
        <v>900</v>
      </c>
      <c r="G125" s="40" t="s">
        <v>977</v>
      </c>
      <c r="H125" s="40" t="s">
        <v>50</v>
      </c>
      <c r="I125" s="40" t="s">
        <v>1062</v>
      </c>
      <c r="J125" s="40">
        <v>2212.0</v>
      </c>
      <c r="K125" s="32" t="s">
        <v>961</v>
      </c>
      <c r="L125" s="40" t="s">
        <v>987</v>
      </c>
      <c r="M125" s="40" t="s">
        <v>54</v>
      </c>
      <c r="N125" s="40">
        <v>4.0</v>
      </c>
      <c r="O125" s="40" t="s">
        <v>42</v>
      </c>
      <c r="P125" s="40">
        <v>4.0</v>
      </c>
      <c r="Q125" s="32" t="s">
        <v>42</v>
      </c>
      <c r="R125" s="40">
        <v>0.5</v>
      </c>
      <c r="S125" s="40" t="s">
        <v>44</v>
      </c>
      <c r="T125" s="40">
        <v>12.0</v>
      </c>
      <c r="U125" s="40">
        <v>180.0</v>
      </c>
      <c r="V125" s="40" t="s">
        <v>42</v>
      </c>
      <c r="W125" s="40">
        <v>1220.0</v>
      </c>
      <c r="X125" s="40" t="s">
        <v>42</v>
      </c>
      <c r="Y125" s="32">
        <v>2.64</v>
      </c>
      <c r="Z125" s="32" t="s">
        <v>46</v>
      </c>
      <c r="AA125" s="40" t="s">
        <v>44</v>
      </c>
      <c r="AB125" s="32">
        <v>19.0</v>
      </c>
      <c r="AC125" s="40" t="s">
        <v>61</v>
      </c>
      <c r="AD125" s="57">
        <f t="shared" si="1"/>
        <v>50.16</v>
      </c>
      <c r="AE125" s="32">
        <v>55.0</v>
      </c>
      <c r="AF125" s="32">
        <v>25.0</v>
      </c>
      <c r="AH125" s="32">
        <v>620.37</v>
      </c>
      <c r="AN125" s="43" t="str">
        <f>IFERROR(__xludf.DUMMYFUNCTION("AI(""Completa un valor adecuado para esta celda en función del contexto de la tabla"")"),"Este piso vinílico tipo SPC cuenta con un espesor total de 4 mm y una capa de uso de 0,5 mm, ideal para uso comercial. Presenta un sistema de colocación Click que facilita su instalación y no incluye manto incorporado. Fabricado en China bajo la línea Tra"&amp;"ffic de la marca MaxCore, cada caja rinde 2,64 m2 y contiene 12 tablas de 180 mm por 1220 mm.")</f>
        <v>Este piso vinílico tipo SPC cuenta con un espesor total de 4 mm y una capa de uso de 0,5 mm, ideal para uso comercial. Presenta un sistema de colocación Click que facilita su instalación y no incluye manto incorporado. Fabricado en China bajo la línea Traffic de la marca MaxCore, cada caja rinde 2,64 m2 y contiene 12 tablas de 180 mm por 1220 mm.</v>
      </c>
    </row>
    <row r="126" ht="15.75" customHeight="1">
      <c r="A126" s="58">
        <v>21683.0</v>
      </c>
      <c r="B126" s="40">
        <v>2.0</v>
      </c>
      <c r="C126" s="32" t="s">
        <v>33</v>
      </c>
      <c r="D126" s="32" t="s">
        <v>34</v>
      </c>
      <c r="E126" s="32" t="s">
        <v>899</v>
      </c>
      <c r="F126" s="40" t="s">
        <v>900</v>
      </c>
      <c r="G126" s="40" t="s">
        <v>977</v>
      </c>
      <c r="H126" s="40" t="s">
        <v>50</v>
      </c>
      <c r="I126" s="40" t="s">
        <v>1063</v>
      </c>
      <c r="J126" s="40">
        <v>2210.0</v>
      </c>
      <c r="K126" s="32" t="s">
        <v>961</v>
      </c>
      <c r="L126" s="40" t="s">
        <v>987</v>
      </c>
      <c r="M126" s="40" t="s">
        <v>54</v>
      </c>
      <c r="N126" s="40">
        <v>4.0</v>
      </c>
      <c r="O126" s="40" t="s">
        <v>42</v>
      </c>
      <c r="P126" s="40">
        <v>4.0</v>
      </c>
      <c r="Q126" s="32" t="s">
        <v>42</v>
      </c>
      <c r="R126" s="40">
        <v>0.5</v>
      </c>
      <c r="S126" s="40" t="s">
        <v>44</v>
      </c>
      <c r="T126" s="40">
        <v>12.0</v>
      </c>
      <c r="U126" s="40">
        <v>180.0</v>
      </c>
      <c r="V126" s="40" t="s">
        <v>42</v>
      </c>
      <c r="W126" s="40">
        <v>1220.0</v>
      </c>
      <c r="X126" s="40" t="s">
        <v>42</v>
      </c>
      <c r="Y126" s="32">
        <v>2.64</v>
      </c>
      <c r="Z126" s="32" t="s">
        <v>46</v>
      </c>
      <c r="AA126" s="40" t="s">
        <v>44</v>
      </c>
      <c r="AB126" s="32">
        <v>19.0</v>
      </c>
      <c r="AC126" s="40" t="s">
        <v>61</v>
      </c>
      <c r="AD126" s="57">
        <f t="shared" si="1"/>
        <v>50.16</v>
      </c>
      <c r="AE126" s="32">
        <v>55.0</v>
      </c>
      <c r="AF126" s="32">
        <v>25.0</v>
      </c>
      <c r="AH126" s="32">
        <v>314.14</v>
      </c>
      <c r="AN126" s="43" t="str">
        <f>IFERROR(__xludf.DUMMYFUNCTION("AI(""Completa un valor adecuado para esta celda en función del contexto de la tabla"")"),"Este piso vinílico tipo SPC de la línea Traffic está diseñado para uso comercial, con un espesor total de 4 mm y una capa de uso de 0,5 mm que garantiza alta resistencia. Cuenta con un sistema de colocación Click para una instalación rápida sin adhesivos "&amp;"y no incluye manto incorporado. Fabricado en China, cada caja rinde 2,64 m2 y contiene 12 tablas de 180 mm por 1220 mm.")</f>
        <v>Este piso vinílico tipo SPC de la línea Traffic está diseñado para uso comercial, con un espesor total de 4 mm y una capa de uso de 0,5 mm que garantiza alta resistencia. Cuenta con un sistema de colocación Click para una instalación rápida sin adhesivos y no incluye manto incorporado. Fabricado en China, cada caja rinde 2,64 m2 y contiene 12 tablas de 180 mm por 1220 mm.</v>
      </c>
    </row>
    <row r="127" ht="15.75" customHeight="1">
      <c r="A127" s="58">
        <v>20313.0</v>
      </c>
      <c r="B127" s="40">
        <v>2.0</v>
      </c>
      <c r="C127" s="32" t="s">
        <v>33</v>
      </c>
      <c r="D127" s="32" t="s">
        <v>34</v>
      </c>
      <c r="E127" s="32" t="s">
        <v>899</v>
      </c>
      <c r="F127" s="40" t="s">
        <v>900</v>
      </c>
      <c r="G127" s="40" t="s">
        <v>977</v>
      </c>
      <c r="H127" s="40" t="s">
        <v>50</v>
      </c>
      <c r="I127" s="40" t="s">
        <v>1064</v>
      </c>
      <c r="J127" s="40">
        <v>6001.0</v>
      </c>
      <c r="K127" s="32" t="s">
        <v>961</v>
      </c>
      <c r="L127" s="40" t="s">
        <v>1065</v>
      </c>
      <c r="M127" s="40" t="s">
        <v>54</v>
      </c>
      <c r="N127" s="40">
        <v>5.5</v>
      </c>
      <c r="O127" s="40" t="s">
        <v>42</v>
      </c>
      <c r="P127" s="40" t="s">
        <v>915</v>
      </c>
      <c r="Q127" s="32" t="s">
        <v>42</v>
      </c>
      <c r="R127" s="40">
        <v>0.5</v>
      </c>
      <c r="S127" s="40" t="s">
        <v>45</v>
      </c>
      <c r="T127" s="40">
        <v>8.0</v>
      </c>
      <c r="U127" s="40">
        <v>228.0</v>
      </c>
      <c r="V127" s="40" t="s">
        <v>42</v>
      </c>
      <c r="W127" s="40">
        <v>1500.0</v>
      </c>
      <c r="X127" s="40" t="s">
        <v>42</v>
      </c>
      <c r="Y127" s="32">
        <v>2.74</v>
      </c>
      <c r="Z127" s="32" t="s">
        <v>46</v>
      </c>
      <c r="AA127" s="40" t="s">
        <v>44</v>
      </c>
      <c r="AB127" s="32">
        <v>19.0</v>
      </c>
      <c r="AC127" s="40" t="s">
        <v>61</v>
      </c>
      <c r="AD127" s="57">
        <f t="shared" si="1"/>
        <v>52.06</v>
      </c>
      <c r="AE127" s="32">
        <v>76.0</v>
      </c>
      <c r="AF127" s="32">
        <v>25.0</v>
      </c>
      <c r="AH127" s="32">
        <v>1138.84</v>
      </c>
      <c r="AN127" s="43" t="str">
        <f>IFERROR(__xludf.DUMMYFUNCTION("AI(""Completa un valor adecuado para esta celda en función del contexto de la tabla"")"),"Este piso vinílico tipo SPC cuenta con un espesor total de 5.5 mm y una capa de uso de 0.5 mm, ideal para uso comercial. Presenta un sistema de colocación Click que facilita su instalación, además de incluir un manto incorporado para mayor confort. Fabric"&amp;"ado en China bajo la línea Pino, cada caja rinde 2.74 m2 y contiene 8 tablas de 228 mm por 1500 mm.")</f>
        <v>Este piso vinílico tipo SPC cuenta con un espesor total de 5.5 mm y una capa de uso de 0.5 mm, ideal para uso comercial. Presenta un sistema de colocación Click que facilita su instalación, además de incluir un manto incorporado para mayor confort. Fabricado en China bajo la línea Pino, cada caja rinde 2.74 m2 y contiene 8 tablas de 228 mm por 1500 mm.</v>
      </c>
    </row>
    <row r="128" ht="15.75" customHeight="1">
      <c r="A128" s="58">
        <v>21684.0</v>
      </c>
      <c r="B128" s="40">
        <v>2.0</v>
      </c>
      <c r="C128" s="32" t="s">
        <v>33</v>
      </c>
      <c r="D128" s="32" t="s">
        <v>34</v>
      </c>
      <c r="E128" s="32" t="s">
        <v>899</v>
      </c>
      <c r="F128" s="40" t="s">
        <v>900</v>
      </c>
      <c r="G128" s="40" t="s">
        <v>977</v>
      </c>
      <c r="H128" s="40" t="s">
        <v>50</v>
      </c>
      <c r="I128" s="40" t="s">
        <v>1066</v>
      </c>
      <c r="J128" s="40">
        <v>2206.0</v>
      </c>
      <c r="K128" s="32" t="s">
        <v>961</v>
      </c>
      <c r="L128" s="40" t="s">
        <v>987</v>
      </c>
      <c r="M128" s="40" t="s">
        <v>54</v>
      </c>
      <c r="N128" s="40">
        <v>4.0</v>
      </c>
      <c r="O128" s="40" t="s">
        <v>42</v>
      </c>
      <c r="P128" s="40">
        <v>4.0</v>
      </c>
      <c r="Q128" s="32" t="s">
        <v>42</v>
      </c>
      <c r="R128" s="40">
        <v>0.5</v>
      </c>
      <c r="S128" s="40" t="s">
        <v>44</v>
      </c>
      <c r="T128" s="40">
        <v>12.0</v>
      </c>
      <c r="U128" s="40">
        <v>180.0</v>
      </c>
      <c r="V128" s="40" t="s">
        <v>42</v>
      </c>
      <c r="W128" s="40">
        <v>1220.0</v>
      </c>
      <c r="X128" s="40" t="s">
        <v>42</v>
      </c>
      <c r="Y128" s="32">
        <v>2.64</v>
      </c>
      <c r="Z128" s="32" t="s">
        <v>46</v>
      </c>
      <c r="AA128" s="40" t="s">
        <v>44</v>
      </c>
      <c r="AB128" s="32">
        <v>15.9</v>
      </c>
      <c r="AC128" s="40" t="s">
        <v>61</v>
      </c>
      <c r="AD128" s="57">
        <f t="shared" si="1"/>
        <v>41.976</v>
      </c>
      <c r="AE128" s="32">
        <v>55.0</v>
      </c>
      <c r="AF128" s="32">
        <v>25.0</v>
      </c>
      <c r="AN128" s="43" t="str">
        <f>IFERROR(__xludf.DUMMYFUNCTION("AI(""Completa un valor adecuado para esta celda en función del contexto de la tabla"")"),"Este piso vinílico tipo SPC cuenta con un espesor total de 4 mm y una capa de uso de 0,5 mm, ideal para uso comercial. Presenta un sistema de colocación Click que facilita su instalación, sin manto incorporado. Fabricado en China bajo la línea Traffic, ca"&amp;"da caja rinde 2,64 m2 y contiene 12 tablas de 180 mm por 1220 mm.")</f>
        <v>Este piso vinílico tipo SPC cuenta con un espesor total de 4 mm y una capa de uso de 0,5 mm, ideal para uso comercial. Presenta un sistema de colocación Click que facilita su instalación, sin manto incorporado. Fabricado en China bajo la línea Traffic, cada caja rinde 2,64 m2 y contiene 12 tablas de 180 mm por 1220 mm.</v>
      </c>
    </row>
    <row r="129" ht="15.75" customHeight="1">
      <c r="A129" s="58">
        <v>21292.0</v>
      </c>
      <c r="B129" s="40">
        <v>2.0</v>
      </c>
      <c r="C129" s="32" t="s">
        <v>33</v>
      </c>
      <c r="D129" s="32" t="s">
        <v>34</v>
      </c>
      <c r="E129" s="32" t="s">
        <v>899</v>
      </c>
      <c r="F129" s="40" t="s">
        <v>900</v>
      </c>
      <c r="G129" s="40" t="s">
        <v>977</v>
      </c>
      <c r="H129" s="40" t="s">
        <v>50</v>
      </c>
      <c r="I129" s="40" t="s">
        <v>1067</v>
      </c>
      <c r="J129" s="40">
        <v>1103.0</v>
      </c>
      <c r="K129" s="32" t="s">
        <v>961</v>
      </c>
      <c r="L129" s="40" t="s">
        <v>1025</v>
      </c>
      <c r="M129" s="40" t="s">
        <v>54</v>
      </c>
      <c r="N129" s="40">
        <v>4.5</v>
      </c>
      <c r="O129" s="40" t="s">
        <v>42</v>
      </c>
      <c r="P129" s="40">
        <v>4.5</v>
      </c>
      <c r="Q129" s="32" t="s">
        <v>42</v>
      </c>
      <c r="R129" s="40">
        <v>0.5</v>
      </c>
      <c r="S129" s="40" t="s">
        <v>44</v>
      </c>
      <c r="T129" s="40">
        <v>12.0</v>
      </c>
      <c r="U129" s="40">
        <v>125.0</v>
      </c>
      <c r="V129" s="40" t="s">
        <v>42</v>
      </c>
      <c r="W129" s="40">
        <v>1220.0</v>
      </c>
      <c r="X129" s="40" t="s">
        <v>42</v>
      </c>
      <c r="Y129" s="32">
        <v>1.83</v>
      </c>
      <c r="Z129" s="32" t="s">
        <v>46</v>
      </c>
      <c r="AA129" s="40" t="s">
        <v>44</v>
      </c>
      <c r="AB129" s="32">
        <v>16.0</v>
      </c>
      <c r="AC129" s="40" t="s">
        <v>61</v>
      </c>
      <c r="AD129" s="57">
        <f t="shared" si="1"/>
        <v>29.28</v>
      </c>
      <c r="AE129" s="32">
        <v>70.0</v>
      </c>
      <c r="AF129" s="32">
        <v>25.0</v>
      </c>
      <c r="AN129" s="43" t="str">
        <f>IFERROR(__xludf.DUMMYFUNCTION("AI(""Completa un valor adecuado para esta celda en función del contexto de la tabla"")"),"Este piso vinílico tipo SPC cuenta con un espesor total de 4,5 mm y una capa de uso de 0,5 mm, ideal para uso comercial. Presenta un sistema de colocación Click que facilita su instalación. Fabricado en China bajo la línea Narrow de la marca MaxCore, cada"&amp;" caja rinde 1,83 m2 y contiene 12 tablas de 125 mm por 1220 mm.")</f>
        <v>Este piso vinílico tipo SPC cuenta con un espesor total de 4,5 mm y una capa de uso de 0,5 mm, ideal para uso comercial. Presenta un sistema de colocación Click que facilita su instalación. Fabricado en China bajo la línea Narrow de la marca MaxCore, cada caja rinde 1,83 m2 y contiene 12 tablas de 125 mm por 1220 mm.</v>
      </c>
    </row>
    <row r="130" ht="15.75" customHeight="1">
      <c r="A130" s="58">
        <v>20183.0</v>
      </c>
      <c r="B130" s="40">
        <v>2.0</v>
      </c>
      <c r="C130" s="32" t="s">
        <v>33</v>
      </c>
      <c r="D130" s="32" t="s">
        <v>34</v>
      </c>
      <c r="E130" s="32" t="s">
        <v>899</v>
      </c>
      <c r="F130" s="40" t="s">
        <v>900</v>
      </c>
      <c r="G130" s="40" t="s">
        <v>977</v>
      </c>
      <c r="H130" s="40" t="s">
        <v>50</v>
      </c>
      <c r="I130" s="40" t="s">
        <v>1068</v>
      </c>
      <c r="J130" s="40" t="s">
        <v>1068</v>
      </c>
      <c r="K130" s="32" t="s">
        <v>961</v>
      </c>
      <c r="L130" s="40" t="s">
        <v>9</v>
      </c>
      <c r="M130" s="40" t="s">
        <v>169</v>
      </c>
      <c r="N130" s="40">
        <v>4.0</v>
      </c>
      <c r="O130" s="40" t="s">
        <v>42</v>
      </c>
      <c r="P130" s="40">
        <v>4.0</v>
      </c>
      <c r="Q130" s="32" t="s">
        <v>42</v>
      </c>
      <c r="R130" s="40">
        <v>0.3</v>
      </c>
      <c r="S130" s="40" t="s">
        <v>44</v>
      </c>
      <c r="T130" s="40">
        <v>12.0</v>
      </c>
      <c r="U130" s="40">
        <v>129.0</v>
      </c>
      <c r="V130" s="40" t="s">
        <v>42</v>
      </c>
      <c r="W130" s="40">
        <v>1220.0</v>
      </c>
      <c r="X130" s="40" t="s">
        <v>42</v>
      </c>
      <c r="Y130" s="32">
        <v>1.89</v>
      </c>
      <c r="Z130" s="32" t="s">
        <v>46</v>
      </c>
      <c r="AA130" s="40" t="s">
        <v>45</v>
      </c>
      <c r="AB130" s="32">
        <v>19.3</v>
      </c>
      <c r="AC130" s="40" t="s">
        <v>61</v>
      </c>
      <c r="AD130" s="57">
        <f t="shared" si="1"/>
        <v>36.477</v>
      </c>
      <c r="AE130" s="32">
        <v>63.0</v>
      </c>
      <c r="AF130" s="32">
        <v>25.0</v>
      </c>
      <c r="AH130" s="32">
        <v>1062.17</v>
      </c>
      <c r="AN130"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y cuenta con bisel para una terminación más realista. Fabricado en"&amp;" China bajo la línea MaxCore, cada caja rinde 1,89 m2 y contiene 12 tablas de 129 mm por 1220 mm.")</f>
        <v>Este piso vinílico tipo SPC cuenta con un espesor total de 4 mm y una capa de uso de 0,3 mm, ideal para uso residencial. Presenta un sistema de colocación Click que facilita su instalación y cuenta con bisel para una terminación más realista. Fabricado en China bajo la línea MaxCore, cada caja rinde 1,89 m2 y contiene 12 tablas de 129 mm por 1220 mm.</v>
      </c>
    </row>
    <row r="131" ht="15.75" customHeight="1">
      <c r="A131" s="58">
        <v>24195.0</v>
      </c>
      <c r="B131" s="40">
        <v>2.0</v>
      </c>
      <c r="C131" s="32" t="s">
        <v>33</v>
      </c>
      <c r="D131" s="32" t="s">
        <v>34</v>
      </c>
      <c r="E131" s="32" t="s">
        <v>899</v>
      </c>
      <c r="F131" s="40" t="s">
        <v>900</v>
      </c>
      <c r="G131" s="40" t="s">
        <v>977</v>
      </c>
      <c r="H131" s="40" t="s">
        <v>50</v>
      </c>
      <c r="I131" s="40" t="s">
        <v>1069</v>
      </c>
      <c r="J131" s="40" t="s">
        <v>1069</v>
      </c>
      <c r="K131" s="32" t="s">
        <v>961</v>
      </c>
      <c r="L131" s="40" t="s">
        <v>1058</v>
      </c>
      <c r="M131" s="40" t="s">
        <v>54</v>
      </c>
      <c r="N131" s="40">
        <v>5.0</v>
      </c>
      <c r="O131" s="40" t="s">
        <v>42</v>
      </c>
      <c r="P131" s="40" t="s">
        <v>904</v>
      </c>
      <c r="Q131" s="32" t="s">
        <v>42</v>
      </c>
      <c r="R131" s="40">
        <v>0.5</v>
      </c>
      <c r="S131" s="40" t="s">
        <v>45</v>
      </c>
      <c r="T131" s="40">
        <v>8.0</v>
      </c>
      <c r="U131" s="40">
        <v>228.0</v>
      </c>
      <c r="V131" s="40" t="s">
        <v>42</v>
      </c>
      <c r="W131" s="40">
        <v>1540.0</v>
      </c>
      <c r="X131" s="40" t="s">
        <v>42</v>
      </c>
      <c r="Y131" s="32">
        <v>2.78</v>
      </c>
      <c r="Z131" s="32" t="s">
        <v>46</v>
      </c>
      <c r="AA131" s="40" t="s">
        <v>44</v>
      </c>
      <c r="AB131" s="32">
        <v>21.9</v>
      </c>
      <c r="AC131" s="40" t="s">
        <v>61</v>
      </c>
      <c r="AD131" s="57">
        <f t="shared" si="1"/>
        <v>60.882</v>
      </c>
      <c r="AE131" s="32">
        <v>48.0</v>
      </c>
      <c r="AF131" s="32">
        <v>25.0</v>
      </c>
      <c r="AH131" s="32">
        <v>4923.0</v>
      </c>
      <c r="AN131" s="43"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Royale, cada caja rinde 2,78 m2 y contiene 8 tablas de 228 mm por 1540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Royale, cada caja rinde 2,78 m2 y contiene 8 tablas de 228 mm por 1540 mm.</v>
      </c>
    </row>
    <row r="132" ht="15.75" customHeight="1">
      <c r="A132" s="58">
        <v>20184.0</v>
      </c>
      <c r="B132" s="40">
        <v>2.0</v>
      </c>
      <c r="C132" s="32" t="s">
        <v>33</v>
      </c>
      <c r="D132" s="32" t="s">
        <v>34</v>
      </c>
      <c r="E132" s="32" t="s">
        <v>899</v>
      </c>
      <c r="F132" s="40" t="s">
        <v>900</v>
      </c>
      <c r="G132" s="40" t="s">
        <v>977</v>
      </c>
      <c r="H132" s="40" t="s">
        <v>50</v>
      </c>
      <c r="I132" s="40" t="s">
        <v>1070</v>
      </c>
      <c r="J132" s="40" t="s">
        <v>1070</v>
      </c>
      <c r="K132" s="32" t="s">
        <v>961</v>
      </c>
      <c r="L132" s="40" t="s">
        <v>9</v>
      </c>
      <c r="M132" s="40" t="s">
        <v>169</v>
      </c>
      <c r="N132" s="40">
        <v>4.0</v>
      </c>
      <c r="O132" s="40" t="s">
        <v>42</v>
      </c>
      <c r="P132" s="40">
        <v>4.0</v>
      </c>
      <c r="Q132" s="32" t="s">
        <v>42</v>
      </c>
      <c r="R132" s="40">
        <v>0.3</v>
      </c>
      <c r="S132" s="40" t="s">
        <v>44</v>
      </c>
      <c r="T132" s="40">
        <v>12.0</v>
      </c>
      <c r="U132" s="40">
        <v>129.0</v>
      </c>
      <c r="V132" s="40" t="s">
        <v>42</v>
      </c>
      <c r="W132" s="40">
        <v>1220.0</v>
      </c>
      <c r="X132" s="40" t="s">
        <v>42</v>
      </c>
      <c r="Y132" s="32">
        <v>1.89</v>
      </c>
      <c r="Z132" s="32" t="s">
        <v>46</v>
      </c>
      <c r="AA132" s="40" t="s">
        <v>45</v>
      </c>
      <c r="AB132" s="32">
        <v>19.3</v>
      </c>
      <c r="AC132" s="40" t="s">
        <v>61</v>
      </c>
      <c r="AD132" s="57">
        <f t="shared" si="1"/>
        <v>36.477</v>
      </c>
      <c r="AE132" s="32">
        <v>63.0</v>
      </c>
      <c r="AF132" s="32">
        <v>25.0</v>
      </c>
      <c r="AH132" s="32">
        <v>748.43</v>
      </c>
      <c r="AN132"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y diseño con bisel para un acabado más realista. Fabricado en Chin"&amp;"a por MaxCore, cada caja rinde 1,89 m2 y contiene 12 tablas de 129 mm por 1220 mm.")</f>
        <v>Este piso vinílico tipo SPC cuenta con un espesor total de 4 mm y una capa de uso de 0,3 mm, ideal para uso residencial. Presenta un sistema de colocación Click que facilita su instalación y diseño con bisel para un acabado más realista. Fabricado en China por MaxCore, cada caja rinde 1,89 m2 y contiene 12 tablas de 129 mm por 1220 mm.</v>
      </c>
    </row>
    <row r="133" ht="15.75" customHeight="1">
      <c r="A133" s="58">
        <v>20179.0</v>
      </c>
      <c r="B133" s="40">
        <v>2.0</v>
      </c>
      <c r="C133" s="32" t="s">
        <v>33</v>
      </c>
      <c r="D133" s="32" t="s">
        <v>34</v>
      </c>
      <c r="E133" s="32" t="s">
        <v>899</v>
      </c>
      <c r="F133" s="40" t="s">
        <v>900</v>
      </c>
      <c r="G133" s="40" t="s">
        <v>977</v>
      </c>
      <c r="H133" s="40" t="s">
        <v>50</v>
      </c>
      <c r="I133" s="40" t="s">
        <v>1071</v>
      </c>
      <c r="J133" s="40">
        <v>2204.0</v>
      </c>
      <c r="K133" s="32" t="s">
        <v>961</v>
      </c>
      <c r="L133" s="40" t="s">
        <v>987</v>
      </c>
      <c r="M133" s="40" t="s">
        <v>54</v>
      </c>
      <c r="N133" s="40">
        <v>4.0</v>
      </c>
      <c r="O133" s="40" t="s">
        <v>42</v>
      </c>
      <c r="P133" s="40">
        <v>4.0</v>
      </c>
      <c r="Q133" s="32" t="s">
        <v>42</v>
      </c>
      <c r="R133" s="40">
        <v>0.5</v>
      </c>
      <c r="S133" s="40" t="s">
        <v>44</v>
      </c>
      <c r="T133" s="40">
        <v>12.0</v>
      </c>
      <c r="U133" s="40">
        <v>180.0</v>
      </c>
      <c r="V133" s="40" t="s">
        <v>42</v>
      </c>
      <c r="W133" s="40">
        <v>1220.0</v>
      </c>
      <c r="X133" s="40" t="s">
        <v>42</v>
      </c>
      <c r="Y133" s="32">
        <v>2.64</v>
      </c>
      <c r="Z133" s="32" t="s">
        <v>46</v>
      </c>
      <c r="AA133" s="40" t="s">
        <v>44</v>
      </c>
      <c r="AB133" s="32">
        <v>21.9</v>
      </c>
      <c r="AC133" s="40" t="s">
        <v>61</v>
      </c>
      <c r="AD133" s="57">
        <f t="shared" si="1"/>
        <v>57.816</v>
      </c>
      <c r="AE133" s="32">
        <v>55.0</v>
      </c>
      <c r="AF133" s="32">
        <v>25.0</v>
      </c>
      <c r="AH133" s="32">
        <v>2669.0</v>
      </c>
      <c r="AN133" s="43" t="str">
        <f>IFERROR(__xludf.DUMMYFUNCTION("AI(""Completa un valor adecuado para esta celda en función del contexto de la tabla"")"),"Este piso vinílico tipo SPC cuenta con un espesor total de 4 mm y una capa de uso de 0,5 mm, ideal para uso comercial. Presenta un sistema de colocación Click que facilita su instalación, sin incluir manto incorporado. Fabricado en China por MaxCore bajo "&amp;"la línea Traffic, cada caja rinde 2,64 m2 y contiene 12 tablas de 180 mm por 1220 mm.")</f>
        <v>Este piso vinílico tipo SPC cuenta con un espesor total de 4 mm y una capa de uso de 0,5 mm, ideal para uso comercial. Presenta un sistema de colocación Click que facilita su instalación, sin incluir manto incorporado. Fabricado en China por MaxCore bajo la línea Traffic, cada caja rinde 2,64 m2 y contiene 12 tablas de 180 mm por 1220 mm.</v>
      </c>
    </row>
    <row r="134" ht="15.75" customHeight="1">
      <c r="A134" s="58">
        <v>25330.0</v>
      </c>
      <c r="B134" s="40">
        <v>2.0</v>
      </c>
      <c r="C134" s="32" t="s">
        <v>33</v>
      </c>
      <c r="D134" s="32" t="s">
        <v>34</v>
      </c>
      <c r="E134" s="32" t="s">
        <v>899</v>
      </c>
      <c r="F134" s="40" t="s">
        <v>900</v>
      </c>
      <c r="G134" s="40" t="s">
        <v>977</v>
      </c>
      <c r="H134" s="40" t="s">
        <v>50</v>
      </c>
      <c r="I134" s="40" t="s">
        <v>1072</v>
      </c>
      <c r="J134" s="40" t="s">
        <v>1072</v>
      </c>
      <c r="K134" s="32" t="s">
        <v>1073</v>
      </c>
      <c r="L134" s="40" t="s">
        <v>1074</v>
      </c>
      <c r="M134" s="40" t="s">
        <v>54</v>
      </c>
      <c r="N134" s="40">
        <v>7.5</v>
      </c>
      <c r="O134" s="40" t="s">
        <v>42</v>
      </c>
      <c r="P134" s="40" t="s">
        <v>1075</v>
      </c>
      <c r="Q134" s="32" t="s">
        <v>42</v>
      </c>
      <c r="R134" s="40">
        <v>0.5</v>
      </c>
      <c r="S134" s="40" t="s">
        <v>45</v>
      </c>
      <c r="T134" s="40">
        <v>8.0</v>
      </c>
      <c r="U134" s="40">
        <v>180.0</v>
      </c>
      <c r="V134" s="40" t="s">
        <v>42</v>
      </c>
      <c r="W134" s="40">
        <v>1220.0</v>
      </c>
      <c r="X134" s="40" t="s">
        <v>42</v>
      </c>
      <c r="Y134" s="32">
        <v>1.75</v>
      </c>
      <c r="Z134" s="32" t="s">
        <v>46</v>
      </c>
      <c r="AA134" s="40" t="s">
        <v>45</v>
      </c>
      <c r="AB134" s="32">
        <v>19.9</v>
      </c>
      <c r="AC134" s="40" t="s">
        <v>61</v>
      </c>
      <c r="AD134" s="57">
        <f t="shared" si="1"/>
        <v>34.825</v>
      </c>
      <c r="AE134" s="32">
        <v>60.0</v>
      </c>
      <c r="AF134" s="32">
        <v>30.0</v>
      </c>
      <c r="AH134" s="32">
        <v>2.17</v>
      </c>
      <c r="AN134" s="43" t="str">
        <f>IFERROR(__xludf.DUMMYFUNCTION("AI(""Completa un valor adecuado para esta celda en función del contexto de la tabla"")"),"Este piso vinílico tipo SPC cuenta con un espesor total de 7,5 mm y una capa de uso de 0,5 mm, ideal para uso comercial. Presenta un sistema de colocación Click que facilita su instalación, además de incluir un manto incorporado para mayor confort. Fabric"&amp;"ado en China bajo la línea Premium, cada caja rinde 1,75 m2 y contiene 8 tablas de 180 mm por 1220 mm.")</f>
        <v>Este piso vinílico tipo SPC cuenta con un espesor total de 7,5 mm y una capa de uso de 0,5 mm, ideal para uso comercial. Presenta un sistema de colocación Click que facilita su instalación, además de incluir un manto incorporado para mayor confort. Fabricado en China bajo la línea Premium, cada caja rinde 1,75 m2 y contiene 8 tablas de 180 mm por 1220 mm.</v>
      </c>
    </row>
    <row r="135" ht="15.75" customHeight="1">
      <c r="A135" s="58">
        <v>20306.0</v>
      </c>
      <c r="B135" s="40">
        <v>2.0</v>
      </c>
      <c r="C135" s="32" t="s">
        <v>33</v>
      </c>
      <c r="D135" s="32" t="s">
        <v>34</v>
      </c>
      <c r="E135" s="32" t="s">
        <v>899</v>
      </c>
      <c r="F135" s="40" t="s">
        <v>900</v>
      </c>
      <c r="G135" s="40" t="s">
        <v>977</v>
      </c>
      <c r="H135" s="40" t="s">
        <v>50</v>
      </c>
      <c r="I135" s="40" t="s">
        <v>1076</v>
      </c>
      <c r="J135" s="40">
        <v>3002.0</v>
      </c>
      <c r="K135" s="32" t="s">
        <v>961</v>
      </c>
      <c r="L135" s="40" t="s">
        <v>1077</v>
      </c>
      <c r="M135" s="40" t="s">
        <v>169</v>
      </c>
      <c r="N135" s="40">
        <v>4.0</v>
      </c>
      <c r="O135" s="40" t="s">
        <v>42</v>
      </c>
      <c r="P135" s="40">
        <v>4.0</v>
      </c>
      <c r="Q135" s="32" t="s">
        <v>42</v>
      </c>
      <c r="R135" s="40">
        <v>0.3</v>
      </c>
      <c r="S135" s="40" t="s">
        <v>44</v>
      </c>
      <c r="T135" s="40">
        <v>10.0</v>
      </c>
      <c r="U135" s="40">
        <v>180.0</v>
      </c>
      <c r="V135" s="40" t="s">
        <v>42</v>
      </c>
      <c r="W135" s="40">
        <v>1540.0</v>
      </c>
      <c r="X135" s="40" t="s">
        <v>42</v>
      </c>
      <c r="Y135" s="32">
        <v>2.7</v>
      </c>
      <c r="Z135" s="32" t="s">
        <v>46</v>
      </c>
      <c r="AA135" s="40" t="s">
        <v>45</v>
      </c>
      <c r="AB135" s="32">
        <v>16.0</v>
      </c>
      <c r="AC135" s="40" t="s">
        <v>61</v>
      </c>
      <c r="AD135" s="57">
        <f t="shared" si="1"/>
        <v>43.2</v>
      </c>
      <c r="AE135" s="32">
        <v>70.0</v>
      </c>
      <c r="AF135" s="32">
        <v>25.0</v>
      </c>
      <c r="AN135"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además de contar con bisel para un acabado más estético. Fabricad"&amp;"o en China bajo la marca MaxCore y la línea Rustic, cada caja rinde 2,7 m2 y contiene 10 tablas de 180 mm por 1540 mm.")</f>
        <v>Este piso vinílico tipo SPC cuenta con un espesor total de 4 mm y una capa de uso de 0,3 mm, ideal para uso residencial. Presenta un sistema de colocación Click que facilita su instalación, además de contar con bisel para un acabado más estético. Fabricado en China bajo la marca MaxCore y la línea Rustic, cada caja rinde 2,7 m2 y contiene 10 tablas de 180 mm por 1540 mm.</v>
      </c>
    </row>
    <row r="136" ht="15.75" customHeight="1">
      <c r="A136" s="58">
        <v>25333.0</v>
      </c>
      <c r="B136" s="40">
        <v>2.0</v>
      </c>
      <c r="C136" s="32" t="s">
        <v>33</v>
      </c>
      <c r="D136" s="32" t="s">
        <v>34</v>
      </c>
      <c r="E136" s="32" t="s">
        <v>899</v>
      </c>
      <c r="F136" s="40" t="s">
        <v>900</v>
      </c>
      <c r="G136" s="40" t="s">
        <v>977</v>
      </c>
      <c r="H136" s="40" t="s">
        <v>50</v>
      </c>
      <c r="I136" s="40" t="s">
        <v>1078</v>
      </c>
      <c r="J136" s="40" t="s">
        <v>1078</v>
      </c>
      <c r="K136" s="32" t="s">
        <v>1073</v>
      </c>
      <c r="L136" s="40" t="s">
        <v>1074</v>
      </c>
      <c r="M136" s="40" t="s">
        <v>54</v>
      </c>
      <c r="N136" s="40">
        <v>7.5</v>
      </c>
      <c r="O136" s="40" t="s">
        <v>42</v>
      </c>
      <c r="P136" s="40" t="s">
        <v>1075</v>
      </c>
      <c r="Q136" s="32" t="s">
        <v>42</v>
      </c>
      <c r="R136" s="40">
        <v>0.5</v>
      </c>
      <c r="S136" s="40" t="s">
        <v>45</v>
      </c>
      <c r="T136" s="40">
        <v>8.0</v>
      </c>
      <c r="U136" s="40">
        <v>180.0</v>
      </c>
      <c r="V136" s="40" t="s">
        <v>42</v>
      </c>
      <c r="W136" s="40">
        <v>1220.0</v>
      </c>
      <c r="X136" s="40" t="s">
        <v>42</v>
      </c>
      <c r="Y136" s="32">
        <v>1.75</v>
      </c>
      <c r="Z136" s="32" t="s">
        <v>46</v>
      </c>
      <c r="AA136" s="40" t="s">
        <v>45</v>
      </c>
      <c r="AB136" s="32">
        <v>19.9</v>
      </c>
      <c r="AC136" s="40" t="s">
        <v>61</v>
      </c>
      <c r="AD136" s="57">
        <f t="shared" si="1"/>
        <v>34.825</v>
      </c>
      <c r="AE136" s="32">
        <v>60.0</v>
      </c>
      <c r="AF136" s="32">
        <v>30.0</v>
      </c>
      <c r="AH136" s="32">
        <v>3.5</v>
      </c>
      <c r="AN136" s="43" t="str">
        <f>IFERROR(__xludf.DUMMYFUNCTION("AI(""Completa un valor adecuado para esta celda en función del contexto de la tabla"")"),"Este piso vinílico tipo SPC cuenta con un espesor total de 7,5 mm y una capa de uso de 0,5 mm, ideal para uso comercial. Presenta un sistema de colocación Click que facilita su instalación, además de incluir un manto incorporado para mayor confort y bisel"&amp;" para un acabado realista. Fabricado en China bajo la marca Aqua Blue de la línea Premium, cada caja rinde 1,75 m2 y contiene 8 tablas de 180 mm por 1220 mm.")</f>
        <v>Este piso vinílico tipo SPC cuenta con un espesor total de 7,5 mm y una capa de uso de 0,5 mm, ideal para uso comercial. Presenta un sistema de colocación Click que facilita su instalación, además de incluir un manto incorporado para mayor confort y bisel para un acabado realista. Fabricado en China bajo la marca Aqua Blue de la línea Premium, cada caja rinde 1,75 m2 y contiene 8 tablas de 180 mm por 1220 mm.</v>
      </c>
    </row>
    <row r="137" ht="15.75" customHeight="1">
      <c r="A137" s="58">
        <v>20305.0</v>
      </c>
      <c r="B137" s="40">
        <v>2.0</v>
      </c>
      <c r="C137" s="32" t="s">
        <v>33</v>
      </c>
      <c r="D137" s="32" t="s">
        <v>34</v>
      </c>
      <c r="E137" s="32" t="s">
        <v>899</v>
      </c>
      <c r="F137" s="40" t="s">
        <v>900</v>
      </c>
      <c r="G137" s="40" t="s">
        <v>977</v>
      </c>
      <c r="H137" s="40" t="s">
        <v>50</v>
      </c>
      <c r="I137" s="40" t="s">
        <v>1079</v>
      </c>
      <c r="J137" s="40">
        <v>3001.0</v>
      </c>
      <c r="K137" s="32" t="s">
        <v>961</v>
      </c>
      <c r="L137" s="40" t="s">
        <v>1077</v>
      </c>
      <c r="M137" s="40" t="s">
        <v>169</v>
      </c>
      <c r="N137" s="40">
        <v>4.0</v>
      </c>
      <c r="O137" s="40" t="s">
        <v>42</v>
      </c>
      <c r="P137" s="40">
        <v>4.0</v>
      </c>
      <c r="Q137" s="32" t="s">
        <v>42</v>
      </c>
      <c r="R137" s="40">
        <v>0.3</v>
      </c>
      <c r="S137" s="40" t="s">
        <v>44</v>
      </c>
      <c r="T137" s="40">
        <v>10.0</v>
      </c>
      <c r="U137" s="40">
        <v>180.0</v>
      </c>
      <c r="V137" s="40" t="s">
        <v>42</v>
      </c>
      <c r="W137" s="40">
        <v>1220.0</v>
      </c>
      <c r="X137" s="40" t="s">
        <v>42</v>
      </c>
      <c r="Y137" s="32">
        <v>2.7</v>
      </c>
      <c r="Z137" s="32" t="s">
        <v>46</v>
      </c>
      <c r="AA137" s="40" t="s">
        <v>45</v>
      </c>
      <c r="AB137" s="32">
        <v>16.0</v>
      </c>
      <c r="AC137" s="40" t="s">
        <v>61</v>
      </c>
      <c r="AD137" s="57">
        <f t="shared" si="1"/>
        <v>43.2</v>
      </c>
      <c r="AE137" s="32">
        <v>70.0</v>
      </c>
      <c r="AF137" s="32">
        <v>25.0</v>
      </c>
      <c r="AN137"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marca MaxCore y línea Rustic, cada caj"&amp;"a rinde 2,7 m2 y contiene 10 tablas de 180 mm por 1220 mm con bisel.")</f>
        <v>Este piso vinílico tipo SPC cuenta con un espesor total de 4 mm y una capa de uso de 0,3 mm, ideal para uso residencial. Presenta un sistema de colocación Click que facilita su instalación. Fabricado en China bajo la marca MaxCore y línea Rustic, cada caja rinde 2,7 m2 y contiene 10 tablas de 180 mm por 1220 mm con bisel.</v>
      </c>
    </row>
    <row r="138" ht="15.75" customHeight="1">
      <c r="A138" s="58">
        <v>25332.0</v>
      </c>
      <c r="B138" s="40">
        <v>2.0</v>
      </c>
      <c r="C138" s="32" t="s">
        <v>33</v>
      </c>
      <c r="D138" s="32" t="s">
        <v>34</v>
      </c>
      <c r="E138" s="32" t="s">
        <v>899</v>
      </c>
      <c r="F138" s="40" t="s">
        <v>900</v>
      </c>
      <c r="G138" s="40" t="s">
        <v>977</v>
      </c>
      <c r="H138" s="40" t="s">
        <v>50</v>
      </c>
      <c r="I138" s="40" t="s">
        <v>1080</v>
      </c>
      <c r="J138" s="40" t="s">
        <v>1080</v>
      </c>
      <c r="K138" s="32" t="s">
        <v>1073</v>
      </c>
      <c r="L138" s="40" t="s">
        <v>1074</v>
      </c>
      <c r="M138" s="40" t="s">
        <v>54</v>
      </c>
      <c r="N138" s="40">
        <v>7.5</v>
      </c>
      <c r="O138" s="40" t="s">
        <v>42</v>
      </c>
      <c r="P138" s="40" t="s">
        <v>1075</v>
      </c>
      <c r="Q138" s="32" t="s">
        <v>42</v>
      </c>
      <c r="R138" s="40">
        <v>0.5</v>
      </c>
      <c r="S138" s="40" t="s">
        <v>45</v>
      </c>
      <c r="T138" s="40">
        <v>8.0</v>
      </c>
      <c r="U138" s="40">
        <v>180.0</v>
      </c>
      <c r="V138" s="40" t="s">
        <v>42</v>
      </c>
      <c r="W138" s="40">
        <v>1220.0</v>
      </c>
      <c r="X138" s="40" t="s">
        <v>42</v>
      </c>
      <c r="Y138" s="32">
        <v>1.75</v>
      </c>
      <c r="Z138" s="32" t="s">
        <v>46</v>
      </c>
      <c r="AA138" s="40" t="s">
        <v>45</v>
      </c>
      <c r="AB138" s="32">
        <v>19.9</v>
      </c>
      <c r="AC138" s="40" t="s">
        <v>61</v>
      </c>
      <c r="AD138" s="57">
        <f t="shared" si="1"/>
        <v>34.825</v>
      </c>
      <c r="AE138" s="32">
        <v>60.0</v>
      </c>
      <c r="AF138" s="32">
        <v>30.0</v>
      </c>
      <c r="AH138" s="32">
        <v>1030.75</v>
      </c>
      <c r="AN138" s="43" t="str">
        <f>IFERROR(__xludf.DUMMYFUNCTION("AI(""Completa un valor adecuado para esta celda en función del contexto de la tabla"")"),"Este piso vinílico tipo SPC cuenta con un espesor total de 7,5 mm y una capa de uso de 0,5 mm, lo que lo hace apto para un uso comercial de alto tránsito. Presenta un sistema de colocación Click que facilita su instalación y cuenta con un bisel que resalt"&amp;"a la terminación de cada tabla. Incluye un manto incorporado para mayor confort acústico. Fabricado en China bajo la línea Premium de la marca Aqua Blue, cada caja rinde 1,75 m2 y contiene 8 tablas de 180 mm por 1220 mm.")</f>
        <v>Este piso vinílico tipo SPC cuenta con un espesor total de 7,5 mm y una capa de uso de 0,5 mm, lo que lo hace apto para un uso comercial de alto tránsito. Presenta un sistema de colocación Click que facilita su instalación y cuenta con un bisel que resalta la terminación de cada tabla. Incluye un manto incorporado para mayor confort acústico. Fabricado en China bajo la línea Premium de la marca Aqua Blue, cada caja rinde 1,75 m2 y contiene 8 tablas de 180 mm por 1220 mm.</v>
      </c>
    </row>
    <row r="139" ht="15.75" customHeight="1">
      <c r="A139" s="58">
        <v>25334.0</v>
      </c>
      <c r="B139" s="40">
        <v>2.0</v>
      </c>
      <c r="C139" s="32" t="s">
        <v>33</v>
      </c>
      <c r="D139" s="32" t="s">
        <v>34</v>
      </c>
      <c r="E139" s="32" t="s">
        <v>899</v>
      </c>
      <c r="F139" s="40" t="s">
        <v>900</v>
      </c>
      <c r="G139" s="40" t="s">
        <v>977</v>
      </c>
      <c r="H139" s="40" t="s">
        <v>50</v>
      </c>
      <c r="I139" s="40" t="s">
        <v>1081</v>
      </c>
      <c r="J139" s="40" t="s">
        <v>1081</v>
      </c>
      <c r="K139" s="32" t="s">
        <v>1073</v>
      </c>
      <c r="L139" s="40" t="s">
        <v>1074</v>
      </c>
      <c r="M139" s="40" t="s">
        <v>54</v>
      </c>
      <c r="N139" s="40">
        <v>7.5</v>
      </c>
      <c r="O139" s="40" t="s">
        <v>42</v>
      </c>
      <c r="P139" s="40" t="s">
        <v>1075</v>
      </c>
      <c r="Q139" s="32" t="s">
        <v>42</v>
      </c>
      <c r="R139" s="40">
        <v>0.5</v>
      </c>
      <c r="S139" s="40" t="s">
        <v>45</v>
      </c>
      <c r="T139" s="40">
        <v>8.0</v>
      </c>
      <c r="U139" s="40">
        <v>180.0</v>
      </c>
      <c r="V139" s="40" t="s">
        <v>42</v>
      </c>
      <c r="W139" s="40">
        <v>1220.0</v>
      </c>
      <c r="X139" s="40" t="s">
        <v>42</v>
      </c>
      <c r="Y139" s="32">
        <v>1.75</v>
      </c>
      <c r="Z139" s="32" t="s">
        <v>46</v>
      </c>
      <c r="AA139" s="40" t="s">
        <v>45</v>
      </c>
      <c r="AB139" s="32">
        <v>19.9</v>
      </c>
      <c r="AC139" s="40" t="s">
        <v>61</v>
      </c>
      <c r="AD139" s="57">
        <f t="shared" si="1"/>
        <v>34.825</v>
      </c>
      <c r="AE139" s="32">
        <v>60.0</v>
      </c>
      <c r="AF139" s="32">
        <v>30.0</v>
      </c>
      <c r="AH139" s="32">
        <v>679.0</v>
      </c>
      <c r="AN139" s="43" t="str">
        <f>IFERROR(__xludf.DUMMYFUNCTION("AI(""Completa un valor adecuado para esta celda en función del contexto de la tabla"")"),"Este piso vinílico tipo SPC cuenta con un espesor total de 7,5 mm y una capa de uso de 0,5 mm, ideal para uso comercial. Presenta un sistema de colocación Click que facilita su instalación, además de incluir un manto incorporado para mayor confort. Fabric"&amp;"ado en China bajo la línea Premium, cada caja rinde 1,75 m2 y contiene 8 tablas de 180 mm por 1220 mm.")</f>
        <v>Este piso vinílico tipo SPC cuenta con un espesor total de 7,5 mm y una capa de uso de 0,5 mm, ideal para uso comercial. Presenta un sistema de colocación Click que facilita su instalación, además de incluir un manto incorporado para mayor confort. Fabricado en China bajo la línea Premium, cada caja rinde 1,75 m2 y contiene 8 tablas de 180 mm por 1220 mm.</v>
      </c>
    </row>
    <row r="140" ht="15.75" customHeight="1">
      <c r="A140" s="58">
        <v>25331.0</v>
      </c>
      <c r="B140" s="40">
        <v>2.0</v>
      </c>
      <c r="C140" s="32" t="s">
        <v>33</v>
      </c>
      <c r="D140" s="32" t="s">
        <v>34</v>
      </c>
      <c r="E140" s="32" t="s">
        <v>899</v>
      </c>
      <c r="F140" s="40" t="s">
        <v>900</v>
      </c>
      <c r="G140" s="40" t="s">
        <v>977</v>
      </c>
      <c r="H140" s="40" t="s">
        <v>50</v>
      </c>
      <c r="I140" s="40" t="s">
        <v>1082</v>
      </c>
      <c r="J140" s="40" t="s">
        <v>1082</v>
      </c>
      <c r="K140" s="32" t="s">
        <v>1073</v>
      </c>
      <c r="L140" s="40" t="s">
        <v>1074</v>
      </c>
      <c r="M140" s="40" t="s">
        <v>54</v>
      </c>
      <c r="N140" s="40">
        <v>7.5</v>
      </c>
      <c r="O140" s="40" t="s">
        <v>42</v>
      </c>
      <c r="P140" s="40" t="s">
        <v>1075</v>
      </c>
      <c r="Q140" s="32" t="s">
        <v>42</v>
      </c>
      <c r="R140" s="40">
        <v>0.5</v>
      </c>
      <c r="S140" s="40" t="s">
        <v>45</v>
      </c>
      <c r="T140" s="40">
        <v>8.0</v>
      </c>
      <c r="U140" s="40">
        <v>180.0</v>
      </c>
      <c r="V140" s="40" t="s">
        <v>42</v>
      </c>
      <c r="W140" s="40">
        <v>1220.0</v>
      </c>
      <c r="X140" s="40" t="s">
        <v>42</v>
      </c>
      <c r="Y140" s="32">
        <v>1.75</v>
      </c>
      <c r="Z140" s="32" t="s">
        <v>46</v>
      </c>
      <c r="AA140" s="40" t="s">
        <v>45</v>
      </c>
      <c r="AB140" s="32">
        <v>19.9</v>
      </c>
      <c r="AC140" s="40" t="s">
        <v>61</v>
      </c>
      <c r="AD140" s="57">
        <f t="shared" si="1"/>
        <v>34.825</v>
      </c>
      <c r="AE140" s="32">
        <v>60.0</v>
      </c>
      <c r="AF140" s="32">
        <v>30.0</v>
      </c>
      <c r="AH140" s="32">
        <v>906.5</v>
      </c>
      <c r="AN140" s="43" t="str">
        <f>IFERROR(__xludf.DUMMYFUNCTION("AI(""Completa un valor adecuado para esta celda en función del contexto de la tabla"")"),"Este piso vinílico tipo SPC cuenta con un espesor total de 7,5 mm y una capa de uso de 0,5 mm, ideal para uso comercial. Presenta un sistema de colocación Click que facilita su instalación, además de incluir un manto incorporado para mayor confort. Fabric"&amp;"ado en China bajo la línea Premium, cada caja rinde 1,75 m2 y contiene 8 tablas de 180 mm por 1220 mm.")</f>
        <v>Este piso vinílico tipo SPC cuenta con un espesor total de 7,5 mm y una capa de uso de 0,5 mm, ideal para uso comercial. Presenta un sistema de colocación Click que facilita su instalación, además de incluir un manto incorporado para mayor confort. Fabricado en China bajo la línea Premium, cada caja rinde 1,75 m2 y contiene 8 tablas de 180 mm por 1220 mm.</v>
      </c>
    </row>
    <row r="141" ht="15.75" customHeight="1">
      <c r="A141" s="58">
        <v>20225.0</v>
      </c>
      <c r="B141" s="40">
        <v>2.0</v>
      </c>
      <c r="C141" s="32" t="s">
        <v>33</v>
      </c>
      <c r="D141" s="32" t="s">
        <v>34</v>
      </c>
      <c r="E141" s="32" t="s">
        <v>899</v>
      </c>
      <c r="F141" s="40" t="s">
        <v>900</v>
      </c>
      <c r="G141" s="40" t="s">
        <v>977</v>
      </c>
      <c r="H141" s="40" t="s">
        <v>50</v>
      </c>
      <c r="I141" s="40" t="s">
        <v>1083</v>
      </c>
      <c r="J141" s="40">
        <v>1104.0</v>
      </c>
      <c r="K141" s="32" t="s">
        <v>961</v>
      </c>
      <c r="L141" s="40" t="s">
        <v>1025</v>
      </c>
      <c r="M141" s="40" t="s">
        <v>54</v>
      </c>
      <c r="N141" s="40">
        <v>4.5</v>
      </c>
      <c r="O141" s="40" t="s">
        <v>42</v>
      </c>
      <c r="P141" s="40">
        <v>4.5</v>
      </c>
      <c r="Q141" s="32" t="s">
        <v>42</v>
      </c>
      <c r="R141" s="40">
        <v>0.5</v>
      </c>
      <c r="S141" s="40" t="s">
        <v>44</v>
      </c>
      <c r="T141" s="40">
        <v>12.0</v>
      </c>
      <c r="U141" s="40">
        <v>125.0</v>
      </c>
      <c r="V141" s="40" t="s">
        <v>42</v>
      </c>
      <c r="W141" s="40">
        <v>1220.0</v>
      </c>
      <c r="X141" s="40" t="s">
        <v>42</v>
      </c>
      <c r="Y141" s="32">
        <v>1.83</v>
      </c>
      <c r="Z141" s="32" t="s">
        <v>46</v>
      </c>
      <c r="AA141" s="40" t="s">
        <v>44</v>
      </c>
      <c r="AB141" s="32">
        <v>16.0</v>
      </c>
      <c r="AC141" s="40" t="s">
        <v>61</v>
      </c>
      <c r="AD141" s="57">
        <f t="shared" si="1"/>
        <v>29.28</v>
      </c>
      <c r="AE141" s="32">
        <v>70.0</v>
      </c>
      <c r="AF141" s="32">
        <v>25.0</v>
      </c>
      <c r="AN141" s="43" t="str">
        <f>IFERROR(__xludf.DUMMYFUNCTION("AI(""Completa un valor adecuado para esta celda en función del contexto de la tabla"")"),"Este piso vinílico tipo SPC cuenta con un espesor total de 4.5 mm y una capa de uso de 0.5 mm, ideal para uso comercial. Presenta un sistema de colocación Click que facilita su instalación y no incluye manto incorporado. Fabricado en China bajo la línea N"&amp;"arrow de la marca MaxCore, cada caja rinde 1.83 m2 y contiene 12 tablas de 125 mm por 1220 mm.")</f>
        <v>Este piso vinílico tipo SPC cuenta con un espesor total de 4.5 mm y una capa de uso de 0.5 mm, ideal para uso comercial. Presenta un sistema de colocación Click que facilita su instalación y no incluye manto incorporado. Fabricado en China bajo la línea Narrow de la marca MaxCore, cada caja rinde 1.83 m2 y contiene 12 tablas de 125 mm por 1220 mm.</v>
      </c>
    </row>
    <row r="142" ht="15.75" customHeight="1">
      <c r="A142" s="58">
        <v>24556.0</v>
      </c>
      <c r="B142" s="40">
        <v>2.0</v>
      </c>
      <c r="C142" s="32" t="s">
        <v>33</v>
      </c>
      <c r="D142" s="32" t="s">
        <v>34</v>
      </c>
      <c r="E142" s="32" t="s">
        <v>899</v>
      </c>
      <c r="F142" s="40" t="s">
        <v>900</v>
      </c>
      <c r="G142" s="40" t="s">
        <v>977</v>
      </c>
      <c r="H142" s="40" t="s">
        <v>50</v>
      </c>
      <c r="I142" s="40" t="s">
        <v>1084</v>
      </c>
      <c r="J142" s="40" t="s">
        <v>1084</v>
      </c>
      <c r="K142" s="32" t="s">
        <v>1073</v>
      </c>
      <c r="L142" s="40" t="s">
        <v>1074</v>
      </c>
      <c r="M142" s="40" t="s">
        <v>54</v>
      </c>
      <c r="N142" s="40">
        <v>7.5</v>
      </c>
      <c r="O142" s="40" t="s">
        <v>42</v>
      </c>
      <c r="P142" s="40" t="s">
        <v>1075</v>
      </c>
      <c r="Q142" s="32" t="s">
        <v>42</v>
      </c>
      <c r="R142" s="40">
        <v>0.5</v>
      </c>
      <c r="S142" s="40" t="s">
        <v>45</v>
      </c>
      <c r="T142" s="40">
        <v>8.0</v>
      </c>
      <c r="U142" s="40">
        <v>182.0</v>
      </c>
      <c r="V142" s="40" t="s">
        <v>42</v>
      </c>
      <c r="W142" s="40">
        <v>1220.0</v>
      </c>
      <c r="X142" s="40" t="s">
        <v>42</v>
      </c>
      <c r="Y142" s="32">
        <v>1.78</v>
      </c>
      <c r="Z142" s="32" t="s">
        <v>46</v>
      </c>
      <c r="AA142" s="40" t="s">
        <v>44</v>
      </c>
      <c r="AB142" s="32">
        <v>19.9</v>
      </c>
      <c r="AC142" s="40" t="s">
        <v>61</v>
      </c>
      <c r="AD142" s="57">
        <f t="shared" si="1"/>
        <v>35.422</v>
      </c>
      <c r="AE142" s="32">
        <v>60.0</v>
      </c>
      <c r="AF142" s="32">
        <v>30.0</v>
      </c>
      <c r="AH142" s="32">
        <v>0.0</v>
      </c>
      <c r="AN142" s="43" t="str">
        <f>IFERROR(__xludf.DUMMYFUNCTION("AI(""Completa un valor adecuado para esta celda en función del contexto de la tabla"")"),"Este piso vinílico tipo SPC cuenta con un espesor total de 7,5 mm y una capa de uso de 0,5 mm, lo que lo hace apto para un uso comercial de alto tránsito. Presenta un sistema de colocación Click que facilita su instalación, además de incluir un manto inco"&amp;"rporado de 1,5 mm para mayor confort acústico. Fabricado en China bajo la línea Premium de la marca Aqua Blue, cada caja rinde 1,78 m2 y contiene 8 tablas de 182 mm por 1220 mm.")</f>
        <v>Este piso vinílico tipo SPC cuenta con un espesor total de 7,5 mm y una capa de uso de 0,5 mm, lo que lo hace apto para un uso comercial de alto tránsito. Presenta un sistema de colocación Click que facilita su instalación, además de incluir un manto incorporado de 1,5 mm para mayor confort acústico. Fabricado en China bajo la línea Premium de la marca Aqua Blue, cada caja rinde 1,78 m2 y contiene 8 tablas de 182 mm por 1220 mm.</v>
      </c>
    </row>
    <row r="143" ht="15.75" customHeight="1">
      <c r="A143" s="58">
        <v>24560.0</v>
      </c>
      <c r="B143" s="40">
        <v>2.0</v>
      </c>
      <c r="C143" s="32" t="s">
        <v>33</v>
      </c>
      <c r="D143" s="32" t="s">
        <v>34</v>
      </c>
      <c r="E143" s="32" t="s">
        <v>899</v>
      </c>
      <c r="F143" s="40" t="s">
        <v>900</v>
      </c>
      <c r="G143" s="40" t="s">
        <v>977</v>
      </c>
      <c r="H143" s="40" t="s">
        <v>50</v>
      </c>
      <c r="I143" s="40" t="s">
        <v>1085</v>
      </c>
      <c r="J143" s="40" t="s">
        <v>1085</v>
      </c>
      <c r="K143" s="32" t="s">
        <v>1073</v>
      </c>
      <c r="L143" s="40" t="s">
        <v>1074</v>
      </c>
      <c r="M143" s="40" t="s">
        <v>54</v>
      </c>
      <c r="N143" s="40">
        <v>7.5</v>
      </c>
      <c r="O143" s="40" t="s">
        <v>42</v>
      </c>
      <c r="P143" s="40" t="s">
        <v>1075</v>
      </c>
      <c r="Q143" s="32" t="s">
        <v>42</v>
      </c>
      <c r="R143" s="40">
        <v>0.5</v>
      </c>
      <c r="S143" s="40" t="s">
        <v>45</v>
      </c>
      <c r="T143" s="40">
        <v>8.0</v>
      </c>
      <c r="U143" s="40">
        <v>182.0</v>
      </c>
      <c r="V143" s="40" t="s">
        <v>42</v>
      </c>
      <c r="W143" s="40">
        <v>1220.0</v>
      </c>
      <c r="X143" s="40" t="s">
        <v>42</v>
      </c>
      <c r="Y143" s="32">
        <v>1.78</v>
      </c>
      <c r="Z143" s="32" t="s">
        <v>46</v>
      </c>
      <c r="AA143" s="40" t="s">
        <v>44</v>
      </c>
      <c r="AB143" s="32">
        <v>19.9</v>
      </c>
      <c r="AC143" s="40" t="s">
        <v>61</v>
      </c>
      <c r="AD143" s="57">
        <f t="shared" si="1"/>
        <v>35.422</v>
      </c>
      <c r="AE143" s="32">
        <v>60.0</v>
      </c>
      <c r="AF143" s="32">
        <v>30.0</v>
      </c>
      <c r="AH143" s="32">
        <v>0.0</v>
      </c>
      <c r="AN143" s="43" t="str">
        <f>IFERROR(__xludf.DUMMYFUNCTION("AI(""Completa un valor adecuado para esta celda en función del contexto de la tabla"")"),"Este piso vinílico tipo SPC cuenta con un espesor total de 7,5 mm y una capa de uso de 0,5 mm, ideal para uso comercial. Presenta un sistema de colocación Click que facilita su instalación, además de incluir un manto incorporado para mayor confort. Fabric"&amp;"ado en China bajo la línea Premium de Aqua Blue, cada caja rinde 1,78 m2 y contiene 8 tablas de 182 mm por 1220 mm.")</f>
        <v>Este piso vinílico tipo SPC cuenta con un espesor total de 7,5 mm y una capa de uso de 0,5 mm, ideal para uso comercial. Presenta un sistema de colocación Click que facilita su instalación, además de incluir un manto incorporado para mayor confort. Fabricado en China bajo la línea Premium de Aqua Blue, cada caja rinde 1,78 m2 y contiene 8 tablas de 182 mm por 1220 mm.</v>
      </c>
    </row>
    <row r="144" ht="15.75" customHeight="1">
      <c r="A144" s="58">
        <v>24559.0</v>
      </c>
      <c r="B144" s="40">
        <v>2.0</v>
      </c>
      <c r="C144" s="32" t="s">
        <v>33</v>
      </c>
      <c r="D144" s="32" t="s">
        <v>34</v>
      </c>
      <c r="E144" s="32" t="s">
        <v>899</v>
      </c>
      <c r="F144" s="40" t="s">
        <v>900</v>
      </c>
      <c r="G144" s="40" t="s">
        <v>977</v>
      </c>
      <c r="H144" s="40" t="s">
        <v>50</v>
      </c>
      <c r="I144" s="40" t="s">
        <v>1086</v>
      </c>
      <c r="J144" s="40" t="s">
        <v>1086</v>
      </c>
      <c r="K144" s="32" t="s">
        <v>1073</v>
      </c>
      <c r="L144" s="40" t="s">
        <v>1074</v>
      </c>
      <c r="M144" s="40" t="s">
        <v>54</v>
      </c>
      <c r="N144" s="40">
        <v>7.5</v>
      </c>
      <c r="O144" s="40" t="s">
        <v>42</v>
      </c>
      <c r="P144" s="40" t="s">
        <v>1075</v>
      </c>
      <c r="Q144" s="32" t="s">
        <v>42</v>
      </c>
      <c r="R144" s="40">
        <v>0.5</v>
      </c>
      <c r="S144" s="40" t="s">
        <v>45</v>
      </c>
      <c r="T144" s="40">
        <v>8.0</v>
      </c>
      <c r="U144" s="40">
        <v>182.0</v>
      </c>
      <c r="V144" s="40" t="s">
        <v>42</v>
      </c>
      <c r="W144" s="40">
        <v>1220.0</v>
      </c>
      <c r="X144" s="40" t="s">
        <v>42</v>
      </c>
      <c r="Y144" s="32">
        <v>1.78</v>
      </c>
      <c r="Z144" s="32" t="s">
        <v>46</v>
      </c>
      <c r="AA144" s="40" t="s">
        <v>44</v>
      </c>
      <c r="AB144" s="32">
        <v>19.9</v>
      </c>
      <c r="AC144" s="40" t="s">
        <v>61</v>
      </c>
      <c r="AD144" s="57">
        <f t="shared" si="1"/>
        <v>35.422</v>
      </c>
      <c r="AE144" s="32">
        <v>60.0</v>
      </c>
      <c r="AF144" s="32">
        <v>30.0</v>
      </c>
      <c r="AH144" s="32">
        <v>0.0</v>
      </c>
      <c r="AN144" s="43" t="str">
        <f>IFERROR(__xludf.DUMMYFUNCTION("AI(""Completa un valor adecuado para esta celda en función del contexto de la tabla"")"),"Este piso vinílico tipo SPC cuenta con un espesor total de 7.5 mm y una capa de uso de 0.5 mm, ideal para uso comercial. Presenta un sistema de colocación Click que facilita su instalación, además de incluir un manto incorporado para mayor confort. Fabric"&amp;"ado en China bajo la línea Premium, cada caja rinde 1.78 m2 y contiene 8 tablas de 182 mm por 1220 mm.")</f>
        <v>Este piso vinílico tipo SPC cuenta con un espesor total de 7.5 mm y una capa de uso de 0.5 mm, ideal para uso comercial. Presenta un sistema de colocación Click que facilita su instalación, además de incluir un manto incorporado para mayor confort. Fabricado en China bajo la línea Premium, cada caja rinde 1.78 m2 y contiene 8 tablas de 182 mm por 1220 mm.</v>
      </c>
    </row>
    <row r="145" ht="15.75" customHeight="1">
      <c r="A145" s="58">
        <v>24899.0</v>
      </c>
      <c r="B145" s="40">
        <v>2.0</v>
      </c>
      <c r="C145" s="32" t="s">
        <v>33</v>
      </c>
      <c r="D145" s="32" t="s">
        <v>34</v>
      </c>
      <c r="E145" s="32" t="s">
        <v>899</v>
      </c>
      <c r="F145" s="40" t="s">
        <v>900</v>
      </c>
      <c r="G145" s="40" t="s">
        <v>977</v>
      </c>
      <c r="H145" s="40" t="s">
        <v>50</v>
      </c>
      <c r="I145" s="40" t="s">
        <v>1087</v>
      </c>
      <c r="J145" s="40" t="s">
        <v>1087</v>
      </c>
      <c r="K145" s="32" t="s">
        <v>1073</v>
      </c>
      <c r="L145" s="40" t="s">
        <v>1074</v>
      </c>
      <c r="M145" s="40" t="s">
        <v>54</v>
      </c>
      <c r="N145" s="40">
        <v>7.5</v>
      </c>
      <c r="O145" s="40" t="s">
        <v>42</v>
      </c>
      <c r="P145" s="40" t="s">
        <v>1075</v>
      </c>
      <c r="Q145" s="32" t="s">
        <v>42</v>
      </c>
      <c r="R145" s="40">
        <v>0.5</v>
      </c>
      <c r="S145" s="40" t="s">
        <v>45</v>
      </c>
      <c r="T145" s="40">
        <v>8.0</v>
      </c>
      <c r="U145" s="40">
        <v>182.0</v>
      </c>
      <c r="V145" s="40" t="s">
        <v>42</v>
      </c>
      <c r="W145" s="40">
        <v>1220.0</v>
      </c>
      <c r="X145" s="40" t="s">
        <v>42</v>
      </c>
      <c r="Y145" s="32">
        <v>1.78</v>
      </c>
      <c r="Z145" s="32" t="s">
        <v>46</v>
      </c>
      <c r="AA145" s="40" t="s">
        <v>44</v>
      </c>
      <c r="AB145" s="32">
        <v>19.9</v>
      </c>
      <c r="AC145" s="40" t="s">
        <v>61</v>
      </c>
      <c r="AD145" s="57">
        <f t="shared" si="1"/>
        <v>35.422</v>
      </c>
      <c r="AE145" s="32">
        <v>60.0</v>
      </c>
      <c r="AF145" s="32">
        <v>30.0</v>
      </c>
      <c r="AH145" s="32">
        <v>0.0</v>
      </c>
      <c r="AN145" s="43" t="str">
        <f>IFERROR(__xludf.DUMMYFUNCTION("AI(""Completa un valor adecuado para esta celda en función del contexto de la tabla"")"),"Este piso vinílico tipo SPC cuenta con un espesor total de 7,5 mm y una capa de uso de 0,5 mm, ideal para uso comercial. Presenta un sistema de colocación Click que facilita su instalación, además de incluir un manto incorporado para mayor confort. Fabric"&amp;"ado en China bajo la línea Premium de Aqua Blue, cada caja rinde 1,78 m2 y contiene 8 tablas de 182 mm por 1220 mm.")</f>
        <v>Este piso vinílico tipo SPC cuenta con un espesor total de 7,5 mm y una capa de uso de 0,5 mm, ideal para uso comercial. Presenta un sistema de colocación Click que facilita su instalación, además de incluir un manto incorporado para mayor confort. Fabricado en China bajo la línea Premium de Aqua Blue, cada caja rinde 1,78 m2 y contiene 8 tablas de 182 mm por 1220 mm.</v>
      </c>
    </row>
    <row r="146" ht="15.75" customHeight="1">
      <c r="A146" s="58">
        <v>24557.0</v>
      </c>
      <c r="B146" s="40">
        <v>2.0</v>
      </c>
      <c r="C146" s="32" t="s">
        <v>33</v>
      </c>
      <c r="D146" s="32" t="s">
        <v>34</v>
      </c>
      <c r="E146" s="32" t="s">
        <v>899</v>
      </c>
      <c r="F146" s="40" t="s">
        <v>900</v>
      </c>
      <c r="G146" s="40" t="s">
        <v>977</v>
      </c>
      <c r="H146" s="40" t="s">
        <v>50</v>
      </c>
      <c r="I146" s="40" t="s">
        <v>1033</v>
      </c>
      <c r="J146" s="40" t="s">
        <v>1033</v>
      </c>
      <c r="K146" s="32" t="s">
        <v>1073</v>
      </c>
      <c r="L146" s="40" t="s">
        <v>1074</v>
      </c>
      <c r="M146" s="40" t="s">
        <v>54</v>
      </c>
      <c r="N146" s="40">
        <v>7.5</v>
      </c>
      <c r="O146" s="40" t="s">
        <v>42</v>
      </c>
      <c r="P146" s="40" t="s">
        <v>1075</v>
      </c>
      <c r="Q146" s="32" t="s">
        <v>42</v>
      </c>
      <c r="R146" s="40">
        <v>0.5</v>
      </c>
      <c r="S146" s="40" t="s">
        <v>45</v>
      </c>
      <c r="T146" s="40">
        <v>8.0</v>
      </c>
      <c r="U146" s="40">
        <v>182.0</v>
      </c>
      <c r="V146" s="40" t="s">
        <v>42</v>
      </c>
      <c r="W146" s="40">
        <v>1220.0</v>
      </c>
      <c r="X146" s="40" t="s">
        <v>42</v>
      </c>
      <c r="Y146" s="32">
        <v>1.78</v>
      </c>
      <c r="Z146" s="32" t="s">
        <v>46</v>
      </c>
      <c r="AA146" s="40" t="s">
        <v>44</v>
      </c>
      <c r="AB146" s="32">
        <v>19.9</v>
      </c>
      <c r="AC146" s="40" t="s">
        <v>61</v>
      </c>
      <c r="AD146" s="57">
        <f t="shared" si="1"/>
        <v>35.422</v>
      </c>
      <c r="AE146" s="32">
        <v>60.0</v>
      </c>
      <c r="AF146" s="32">
        <v>30.0</v>
      </c>
      <c r="AH146" s="32">
        <v>0.0</v>
      </c>
      <c r="AN146" s="43" t="str">
        <f>IFERROR(__xludf.DUMMYFUNCTION("AI(""Completa un valor adecuado para esta celda en función del contexto de la tabla"")"),"Este piso vinílico tipo SPC cuenta con un espesor total de 7,5 mm y una capa de uso de 0,5 mm, ideal para uso comercial. Presenta un sistema de colocación Click que facilita su instalación, además de incluir un manto incorporado para mayor confort. Fabric"&amp;"ado en China bajo la línea Premium de Aqua Blue, cada caja rinde 1,78 m2 y contiene 8 tablas de 182 mm por 1220 mm.")</f>
        <v>Este piso vinílico tipo SPC cuenta con un espesor total de 7,5 mm y una capa de uso de 0,5 mm, ideal para uso comercial. Presenta un sistema de colocación Click que facilita su instalación, además de incluir un manto incorporado para mayor confort. Fabricado en China bajo la línea Premium de Aqua Blue, cada caja rinde 1,78 m2 y contiene 8 tablas de 182 mm por 1220 mm.</v>
      </c>
    </row>
    <row r="147" ht="15.75" customHeight="1">
      <c r="A147" s="63">
        <v>20224.0</v>
      </c>
      <c r="B147" s="40">
        <v>2.0</v>
      </c>
      <c r="C147" s="32" t="s">
        <v>33</v>
      </c>
      <c r="D147" s="32" t="s">
        <v>34</v>
      </c>
      <c r="E147" s="48" t="s">
        <v>899</v>
      </c>
      <c r="F147" s="45" t="s">
        <v>900</v>
      </c>
      <c r="G147" s="45" t="s">
        <v>977</v>
      </c>
      <c r="H147" s="45" t="s">
        <v>50</v>
      </c>
      <c r="I147" s="46" t="s">
        <v>1088</v>
      </c>
      <c r="J147" s="46">
        <v>1102.0</v>
      </c>
      <c r="K147" s="48" t="s">
        <v>961</v>
      </c>
      <c r="L147" s="46" t="s">
        <v>1025</v>
      </c>
      <c r="M147" s="40" t="s">
        <v>54</v>
      </c>
      <c r="N147" s="46">
        <v>4.5</v>
      </c>
      <c r="O147" s="45" t="s">
        <v>42</v>
      </c>
      <c r="P147" s="46">
        <v>4.5</v>
      </c>
      <c r="Q147" s="48" t="s">
        <v>42</v>
      </c>
      <c r="R147" s="46">
        <v>0.5</v>
      </c>
      <c r="S147" s="46" t="s">
        <v>44</v>
      </c>
      <c r="T147" s="46">
        <v>12.0</v>
      </c>
      <c r="U147" s="46">
        <v>125.0</v>
      </c>
      <c r="V147" s="45" t="s">
        <v>42</v>
      </c>
      <c r="W147" s="46">
        <v>1220.0</v>
      </c>
      <c r="X147" s="45" t="s">
        <v>42</v>
      </c>
      <c r="Y147" s="64">
        <v>1.83</v>
      </c>
      <c r="Z147" s="48" t="s">
        <v>46</v>
      </c>
      <c r="AA147" s="46" t="s">
        <v>45</v>
      </c>
      <c r="AB147" s="64">
        <v>19.9</v>
      </c>
      <c r="AC147" s="45" t="s">
        <v>61</v>
      </c>
      <c r="AD147" s="57">
        <f t="shared" si="1"/>
        <v>36.417</v>
      </c>
      <c r="AE147" s="49">
        <v>70.0</v>
      </c>
      <c r="AF147" s="57">
        <v>25.0</v>
      </c>
      <c r="AG147" s="57">
        <v>0.0</v>
      </c>
      <c r="AH147" s="49">
        <v>2069.71</v>
      </c>
      <c r="AI147" s="48"/>
      <c r="AJ147" s="48"/>
      <c r="AK147" s="48"/>
      <c r="AL147" s="48"/>
      <c r="AM147" s="48"/>
      <c r="AN147" s="48" t="str">
        <f>IFERROR(__xludf.DUMMYFUNCTION("AI(""Completa un valor adecuado para esta celda en función del contexto de la tabla"")"),"Este piso vinílico tipo SPC cuenta con un espesor total de 4,5 mm y una capa de uso de 0,5 mm, ideal para uso comercial. Presenta un sistema de colocación Click que facilita su instalación y cuenta con terminación con bisel. Fabricado en China bajo la lín"&amp;"ea Narrow de MaxCore, cada caja rinde 1,83 m2 y contiene 12 tablas de 125 mm por 1220 mm.")</f>
        <v>Este piso vinílico tipo SPC cuenta con un espesor total de 4,5 mm y una capa de uso de 0,5 mm, ideal para uso comercial. Presenta un sistema de colocación Click que facilita su instalación y cuenta con terminación con bisel. Fabricado en China bajo la línea Narrow de MaxCore, cada caja rinde 1,83 m2 y contiene 12 tablas de 125 mm por 1220 mm.</v>
      </c>
    </row>
    <row r="148" ht="15.75" customHeight="1">
      <c r="A148" s="63">
        <v>20226.0</v>
      </c>
      <c r="B148" s="40">
        <v>2.0</v>
      </c>
      <c r="C148" s="32" t="s">
        <v>33</v>
      </c>
      <c r="D148" s="32" t="s">
        <v>34</v>
      </c>
      <c r="E148" s="48" t="s">
        <v>899</v>
      </c>
      <c r="F148" s="45" t="s">
        <v>900</v>
      </c>
      <c r="G148" s="45" t="s">
        <v>977</v>
      </c>
      <c r="H148" s="45" t="s">
        <v>50</v>
      </c>
      <c r="I148" s="46" t="s">
        <v>1089</v>
      </c>
      <c r="J148" s="46">
        <v>1105.0</v>
      </c>
      <c r="K148" s="48" t="s">
        <v>961</v>
      </c>
      <c r="L148" s="46" t="s">
        <v>1025</v>
      </c>
      <c r="M148" s="40" t="s">
        <v>54</v>
      </c>
      <c r="N148" s="46">
        <v>4.5</v>
      </c>
      <c r="O148" s="45" t="s">
        <v>42</v>
      </c>
      <c r="P148" s="46">
        <v>4.5</v>
      </c>
      <c r="Q148" s="48" t="s">
        <v>42</v>
      </c>
      <c r="R148" s="46">
        <v>0.5</v>
      </c>
      <c r="S148" s="46" t="s">
        <v>44</v>
      </c>
      <c r="T148" s="46">
        <v>12.0</v>
      </c>
      <c r="U148" s="46">
        <v>125.0</v>
      </c>
      <c r="V148" s="45" t="s">
        <v>42</v>
      </c>
      <c r="W148" s="46">
        <v>1220.0</v>
      </c>
      <c r="X148" s="45" t="s">
        <v>42</v>
      </c>
      <c r="Y148" s="64">
        <v>1.83</v>
      </c>
      <c r="Z148" s="48" t="s">
        <v>46</v>
      </c>
      <c r="AA148" s="46" t="s">
        <v>45</v>
      </c>
      <c r="AB148" s="64">
        <v>19.9</v>
      </c>
      <c r="AC148" s="45" t="s">
        <v>61</v>
      </c>
      <c r="AD148" s="57">
        <f t="shared" si="1"/>
        <v>36.417</v>
      </c>
      <c r="AE148" s="49">
        <v>70.0</v>
      </c>
      <c r="AF148" s="57">
        <v>25.0</v>
      </c>
      <c r="AG148" s="57">
        <v>0.0</v>
      </c>
      <c r="AH148" s="49">
        <v>2107.16</v>
      </c>
      <c r="AI148" s="48"/>
      <c r="AJ148" s="48"/>
      <c r="AK148" s="48"/>
      <c r="AL148" s="48"/>
      <c r="AM148" s="48"/>
      <c r="AN148" s="48" t="str">
        <f>IFERROR(__xludf.DUMMYFUNCTION("AI(""Completa un valor adecuado para esta celda en función del contexto de la tabla"")"),"Este piso vinílico tipo SPC cuenta con un espesor total de 4,5 mm y una capa de uso de 0,5 mm, ideal para uso comercial. Presenta un sistema de colocación Click que facilita su instalación, con un diseño de tablones tipo Narrow. Fabricado en China bajo la"&amp;" marca MaxCore, cada caja rinde 1,83 m2 y contiene 12 tablas de 125 mm por 1220 mm.")</f>
        <v>Este piso vinílico tipo SPC cuenta con un espesor total de 4,5 mm y una capa de uso de 0,5 mm, ideal para uso comercial. Presenta un sistema de colocación Click que facilita su instalación, con un diseño de tablones tipo Narrow. Fabricado en China bajo la marca MaxCore, cada caja rinde 1,83 m2 y contiene 12 tablas de 125 mm por 1220 mm.</v>
      </c>
    </row>
    <row r="149" ht="15.75" customHeight="1">
      <c r="A149" s="58">
        <v>20307.0</v>
      </c>
      <c r="B149" s="40">
        <v>2.0</v>
      </c>
      <c r="C149" s="32" t="s">
        <v>33</v>
      </c>
      <c r="D149" s="32" t="s">
        <v>34</v>
      </c>
      <c r="E149" s="32" t="s">
        <v>899</v>
      </c>
      <c r="F149" s="40" t="s">
        <v>900</v>
      </c>
      <c r="G149" s="40" t="s">
        <v>977</v>
      </c>
      <c r="H149" s="40" t="s">
        <v>50</v>
      </c>
      <c r="I149" s="40" t="s">
        <v>1090</v>
      </c>
      <c r="J149" s="40">
        <v>4001.0</v>
      </c>
      <c r="K149" s="32" t="s">
        <v>961</v>
      </c>
      <c r="L149" s="40" t="s">
        <v>1091</v>
      </c>
      <c r="M149" s="40" t="s">
        <v>169</v>
      </c>
      <c r="N149" s="40">
        <v>4.0</v>
      </c>
      <c r="O149" s="40" t="s">
        <v>42</v>
      </c>
      <c r="P149" s="40">
        <v>4.0</v>
      </c>
      <c r="Q149" s="32" t="s">
        <v>42</v>
      </c>
      <c r="R149" s="40">
        <v>0.3</v>
      </c>
      <c r="S149" s="40" t="s">
        <v>44</v>
      </c>
      <c r="T149" s="40">
        <v>8.0</v>
      </c>
      <c r="U149" s="40">
        <v>230.0</v>
      </c>
      <c r="V149" s="40" t="s">
        <v>42</v>
      </c>
      <c r="W149" s="40">
        <v>1540.0</v>
      </c>
      <c r="X149" s="40" t="s">
        <v>42</v>
      </c>
      <c r="Y149" s="32">
        <v>2.74</v>
      </c>
      <c r="Z149" s="32" t="s">
        <v>46</v>
      </c>
      <c r="AA149" s="40" t="s">
        <v>45</v>
      </c>
      <c r="AB149" s="32">
        <v>21.9</v>
      </c>
      <c r="AC149" s="40" t="s">
        <v>61</v>
      </c>
      <c r="AD149" s="57">
        <f t="shared" si="1"/>
        <v>60.006</v>
      </c>
      <c r="AF149" s="32">
        <v>25.0</v>
      </c>
      <c r="AH149" s="32">
        <v>294.2</v>
      </c>
      <c r="AN149"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y cuenta con bisel para una terminación más realista. Fabricado en"&amp;" China bajo la marca MaxCore y la línea Rustic XL, cada caja rinde 2,74 m2 y contiene 8 tablas de 230 mm por 1540 mm.")</f>
        <v>Este piso vinílico tipo SPC cuenta con un espesor total de 4 mm y una capa de uso de 0,3 mm, ideal para uso residencial. Presenta un sistema de colocación Click que facilita su instalación y cuenta con bisel para una terminación más realista. Fabricado en China bajo la marca MaxCore y la línea Rustic XL, cada caja rinde 2,74 m2 y contiene 8 tablas de 230 mm por 1540 mm.</v>
      </c>
    </row>
    <row r="150" ht="15.75" customHeight="1">
      <c r="A150" s="58">
        <v>24193.0</v>
      </c>
      <c r="B150" s="40">
        <v>2.0</v>
      </c>
      <c r="C150" s="32" t="s">
        <v>33</v>
      </c>
      <c r="D150" s="32" t="s">
        <v>34</v>
      </c>
      <c r="E150" s="32" t="s">
        <v>899</v>
      </c>
      <c r="F150" s="40" t="s">
        <v>900</v>
      </c>
      <c r="G150" s="40" t="s">
        <v>977</v>
      </c>
      <c r="H150" s="40" t="s">
        <v>50</v>
      </c>
      <c r="I150" s="40" t="s">
        <v>1092</v>
      </c>
      <c r="J150" s="40" t="s">
        <v>1092</v>
      </c>
      <c r="K150" s="32" t="s">
        <v>961</v>
      </c>
      <c r="L150" s="40" t="s">
        <v>1058</v>
      </c>
      <c r="M150" s="40" t="s">
        <v>54</v>
      </c>
      <c r="N150" s="40">
        <v>5.0</v>
      </c>
      <c r="O150" s="40" t="s">
        <v>42</v>
      </c>
      <c r="P150" s="40" t="s">
        <v>904</v>
      </c>
      <c r="Q150" s="32" t="s">
        <v>42</v>
      </c>
      <c r="R150" s="40">
        <v>0.5</v>
      </c>
      <c r="S150" s="40" t="s">
        <v>45</v>
      </c>
      <c r="T150" s="40">
        <v>8.0</v>
      </c>
      <c r="U150" s="40">
        <v>228.0</v>
      </c>
      <c r="V150" s="40" t="s">
        <v>42</v>
      </c>
      <c r="W150" s="40">
        <v>1540.0</v>
      </c>
      <c r="X150" s="40" t="s">
        <v>42</v>
      </c>
      <c r="Y150" s="32">
        <v>2.78</v>
      </c>
      <c r="Z150" s="32" t="s">
        <v>46</v>
      </c>
      <c r="AA150" s="40" t="s">
        <v>44</v>
      </c>
      <c r="AB150" s="32">
        <v>21.9</v>
      </c>
      <c r="AC150" s="40" t="s">
        <v>61</v>
      </c>
      <c r="AD150" s="57">
        <f t="shared" si="1"/>
        <v>60.882</v>
      </c>
      <c r="AE150" s="32">
        <v>48.0</v>
      </c>
      <c r="AF150" s="32">
        <v>25.0</v>
      </c>
      <c r="AH150" s="32">
        <v>1865.0</v>
      </c>
      <c r="AN150" s="43"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Royale, cada caja rinde 2,78 m2 y contiene 8 tablas de 228 mm por 1540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Royale, cada caja rinde 2,78 m2 y contiene 8 tablas de 228 mm por 1540 mm.</v>
      </c>
    </row>
    <row r="151" ht="15.75" customHeight="1">
      <c r="A151" s="58">
        <v>20114.0</v>
      </c>
      <c r="B151" s="40">
        <v>2.0</v>
      </c>
      <c r="C151" s="32" t="s">
        <v>33</v>
      </c>
      <c r="D151" s="32" t="s">
        <v>34</v>
      </c>
      <c r="E151" s="32" t="s">
        <v>899</v>
      </c>
      <c r="F151" s="40" t="s">
        <v>900</v>
      </c>
      <c r="G151" s="40" t="s">
        <v>977</v>
      </c>
      <c r="H151" s="40" t="s">
        <v>50</v>
      </c>
      <c r="I151" s="40" t="s">
        <v>1093</v>
      </c>
      <c r="J151" s="40">
        <v>2202.0</v>
      </c>
      <c r="K151" s="32" t="s">
        <v>961</v>
      </c>
      <c r="L151" s="40" t="s">
        <v>987</v>
      </c>
      <c r="M151" s="40" t="s">
        <v>54</v>
      </c>
      <c r="N151" s="40">
        <v>4.0</v>
      </c>
      <c r="O151" s="40" t="s">
        <v>42</v>
      </c>
      <c r="P151" s="40">
        <v>4.0</v>
      </c>
      <c r="Q151" s="32" t="s">
        <v>42</v>
      </c>
      <c r="R151" s="40">
        <v>0.5</v>
      </c>
      <c r="S151" s="40" t="s">
        <v>44</v>
      </c>
      <c r="T151" s="40">
        <v>12.0</v>
      </c>
      <c r="U151" s="40">
        <v>180.0</v>
      </c>
      <c r="V151" s="40" t="s">
        <v>42</v>
      </c>
      <c r="W151" s="40">
        <v>1220.0</v>
      </c>
      <c r="X151" s="40" t="s">
        <v>42</v>
      </c>
      <c r="Y151" s="32">
        <v>2.64</v>
      </c>
      <c r="Z151" s="32" t="s">
        <v>46</v>
      </c>
      <c r="AA151" s="40" t="s">
        <v>44</v>
      </c>
      <c r="AB151" s="32">
        <v>21.9</v>
      </c>
      <c r="AC151" s="40" t="s">
        <v>61</v>
      </c>
      <c r="AD151" s="57">
        <f t="shared" si="1"/>
        <v>57.816</v>
      </c>
      <c r="AE151" s="32">
        <v>55.0</v>
      </c>
      <c r="AF151" s="32">
        <v>25.0</v>
      </c>
      <c r="AH151" s="32">
        <v>438.24</v>
      </c>
      <c r="AN151" s="43" t="str">
        <f>IFERROR(__xludf.DUMMYFUNCTION("AI(""Completa un valor adecuado para esta celda en función del contexto de la tabla"")"),"Este piso vinílico tipo SPC cuenta con un espesor total de 4 mm y una capa de uso de 0,5 mm, ideal para uso comercial. Presenta un sistema de colocación Click que facilita su instalación y no incluye manto incorporado. Fabricado en China bajo la línea Tra"&amp;"ffic, cada caja rinde 2,64 m2 y contiene 12 tablas de 180 mm por 1220 mm.")</f>
        <v>Este piso vinílico tipo SPC cuenta con un espesor total de 4 mm y una capa de uso de 0,5 mm, ideal para uso comercial. Presenta un sistema de colocación Click que facilita su instalación y no incluye manto incorporado. Fabricado en China bajo la línea Traffic, cada caja rinde 2,64 m2 y contiene 12 tablas de 180 mm por 1220 mm.</v>
      </c>
    </row>
    <row r="152" ht="15.75" customHeight="1">
      <c r="A152" s="58">
        <v>24196.0</v>
      </c>
      <c r="B152" s="40">
        <v>2.0</v>
      </c>
      <c r="C152" s="32" t="s">
        <v>33</v>
      </c>
      <c r="D152" s="32" t="s">
        <v>34</v>
      </c>
      <c r="E152" s="32" t="s">
        <v>899</v>
      </c>
      <c r="F152" s="40" t="s">
        <v>900</v>
      </c>
      <c r="G152" s="40" t="s">
        <v>977</v>
      </c>
      <c r="H152" s="40" t="s">
        <v>50</v>
      </c>
      <c r="I152" s="40" t="s">
        <v>1094</v>
      </c>
      <c r="J152" s="40" t="s">
        <v>1094</v>
      </c>
      <c r="K152" s="32" t="s">
        <v>961</v>
      </c>
      <c r="L152" s="40" t="s">
        <v>1058</v>
      </c>
      <c r="M152" s="40" t="s">
        <v>54</v>
      </c>
      <c r="N152" s="40">
        <v>5.0</v>
      </c>
      <c r="O152" s="40" t="s">
        <v>42</v>
      </c>
      <c r="P152" s="40" t="s">
        <v>904</v>
      </c>
      <c r="Q152" s="32" t="s">
        <v>42</v>
      </c>
      <c r="R152" s="40">
        <v>0.5</v>
      </c>
      <c r="S152" s="40" t="s">
        <v>45</v>
      </c>
      <c r="T152" s="40">
        <v>8.0</v>
      </c>
      <c r="U152" s="40">
        <v>228.0</v>
      </c>
      <c r="V152" s="40" t="s">
        <v>42</v>
      </c>
      <c r="W152" s="40">
        <v>1540.0</v>
      </c>
      <c r="X152" s="40" t="s">
        <v>42</v>
      </c>
      <c r="Y152" s="32">
        <v>2.78</v>
      </c>
      <c r="Z152" s="32" t="s">
        <v>46</v>
      </c>
      <c r="AA152" s="40" t="s">
        <v>44</v>
      </c>
      <c r="AB152" s="32">
        <v>21.9</v>
      </c>
      <c r="AC152" s="40" t="s">
        <v>61</v>
      </c>
      <c r="AD152" s="57">
        <f t="shared" si="1"/>
        <v>60.882</v>
      </c>
      <c r="AE152" s="32">
        <v>48.0</v>
      </c>
      <c r="AF152" s="32">
        <v>25.0</v>
      </c>
      <c r="AH152" s="32">
        <v>1604.0</v>
      </c>
      <c r="AN152" s="43"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Royale, cada caja rinde 2,78 m2 y contiene 8 tablas de 228 mm por 1540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Royale, cada caja rinde 2,78 m2 y contiene 8 tablas de 228 mm por 1540 mm.</v>
      </c>
    </row>
    <row r="153" ht="15.75" customHeight="1">
      <c r="A153" s="58">
        <v>24194.0</v>
      </c>
      <c r="B153" s="40">
        <v>2.0</v>
      </c>
      <c r="C153" s="32" t="s">
        <v>33</v>
      </c>
      <c r="D153" s="32" t="s">
        <v>34</v>
      </c>
      <c r="E153" s="32" t="s">
        <v>899</v>
      </c>
      <c r="F153" s="40" t="s">
        <v>900</v>
      </c>
      <c r="G153" s="40" t="s">
        <v>977</v>
      </c>
      <c r="H153" s="40" t="s">
        <v>50</v>
      </c>
      <c r="I153" s="40" t="s">
        <v>1095</v>
      </c>
      <c r="J153" s="40" t="s">
        <v>1095</v>
      </c>
      <c r="K153" s="32" t="s">
        <v>961</v>
      </c>
      <c r="L153" s="40" t="s">
        <v>1058</v>
      </c>
      <c r="M153" s="40" t="s">
        <v>54</v>
      </c>
      <c r="N153" s="40">
        <v>5.0</v>
      </c>
      <c r="O153" s="40" t="s">
        <v>42</v>
      </c>
      <c r="P153" s="40" t="s">
        <v>904</v>
      </c>
      <c r="Q153" s="32" t="s">
        <v>42</v>
      </c>
      <c r="R153" s="40">
        <v>0.5</v>
      </c>
      <c r="S153" s="40" t="s">
        <v>45</v>
      </c>
      <c r="T153" s="40">
        <v>8.0</v>
      </c>
      <c r="U153" s="40">
        <v>228.0</v>
      </c>
      <c r="V153" s="40" t="s">
        <v>42</v>
      </c>
      <c r="W153" s="40">
        <v>1540.0</v>
      </c>
      <c r="X153" s="40" t="s">
        <v>42</v>
      </c>
      <c r="Y153" s="32">
        <v>2.78</v>
      </c>
      <c r="Z153" s="32" t="s">
        <v>46</v>
      </c>
      <c r="AA153" s="40" t="s">
        <v>44</v>
      </c>
      <c r="AB153" s="32">
        <v>21.9</v>
      </c>
      <c r="AC153" s="40" t="s">
        <v>61</v>
      </c>
      <c r="AD153" s="57">
        <f t="shared" si="1"/>
        <v>60.882</v>
      </c>
      <c r="AE153" s="32">
        <v>48.0</v>
      </c>
      <c r="AF153" s="32">
        <v>25.0</v>
      </c>
      <c r="AH153" s="32">
        <v>1467.84</v>
      </c>
      <c r="AN153" s="43"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Royale, cada caja rinde 2,78 m2 y contiene 8 tablas de 228 mm por 1540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Royale, cada caja rinde 2,78 m2 y contiene 8 tablas de 228 mm por 1540 mm.</v>
      </c>
    </row>
    <row r="154" ht="15.75" customHeight="1">
      <c r="A154" s="58">
        <v>20308.0</v>
      </c>
      <c r="B154" s="40">
        <v>2.0</v>
      </c>
      <c r="C154" s="32" t="s">
        <v>33</v>
      </c>
      <c r="D154" s="32" t="s">
        <v>34</v>
      </c>
      <c r="E154" s="32" t="s">
        <v>899</v>
      </c>
      <c r="F154" s="40" t="s">
        <v>900</v>
      </c>
      <c r="G154" s="40" t="s">
        <v>977</v>
      </c>
      <c r="H154" s="40" t="s">
        <v>50</v>
      </c>
      <c r="I154" s="40" t="s">
        <v>1096</v>
      </c>
      <c r="J154" s="40">
        <v>4002.0</v>
      </c>
      <c r="K154" s="32" t="s">
        <v>961</v>
      </c>
      <c r="L154" s="40" t="s">
        <v>1091</v>
      </c>
      <c r="M154" s="40" t="s">
        <v>169</v>
      </c>
      <c r="N154" s="40">
        <v>4.0</v>
      </c>
      <c r="O154" s="40" t="s">
        <v>42</v>
      </c>
      <c r="P154" s="40">
        <v>4.0</v>
      </c>
      <c r="Q154" s="32" t="s">
        <v>42</v>
      </c>
      <c r="R154" s="40">
        <v>0.3</v>
      </c>
      <c r="S154" s="40" t="s">
        <v>44</v>
      </c>
      <c r="T154" s="40">
        <v>8.0</v>
      </c>
      <c r="U154" s="40">
        <v>230.0</v>
      </c>
      <c r="V154" s="40" t="s">
        <v>42</v>
      </c>
      <c r="W154" s="40">
        <v>1540.0</v>
      </c>
      <c r="X154" s="40" t="s">
        <v>42</v>
      </c>
      <c r="Y154" s="32">
        <v>2.74</v>
      </c>
      <c r="Z154" s="32" t="s">
        <v>46</v>
      </c>
      <c r="AA154" s="40" t="s">
        <v>45</v>
      </c>
      <c r="AB154" s="32">
        <v>21.9</v>
      </c>
      <c r="AC154" s="40" t="s">
        <v>61</v>
      </c>
      <c r="AD154" s="57">
        <f t="shared" si="1"/>
        <v>60.006</v>
      </c>
      <c r="AF154" s="32">
        <v>25.0</v>
      </c>
      <c r="AH154" s="32">
        <v>24.65</v>
      </c>
      <c r="AN154"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sin manto incorporado. Fabricado en China bajo la línea Rustic XL"&amp;", cada caja rinde 2,74 m2 y contiene 8 tablas de 230 mm por 1540 mm.")</f>
        <v>Este piso vinílico tipo SPC cuenta con un espesor total de 4 mm y una capa de uso de 0,3 mm, ideal para uso residencial. Presenta un sistema de colocación Click que facilita su instalación, sin manto incorporado. Fabricado en China bajo la línea Rustic XL, cada caja rinde 2,74 m2 y contiene 8 tablas de 230 mm por 1540 mm.</v>
      </c>
    </row>
    <row r="155" ht="15.75" customHeight="1">
      <c r="A155" s="58">
        <v>20309.0</v>
      </c>
      <c r="B155" s="40">
        <v>2.0</v>
      </c>
      <c r="C155" s="32" t="s">
        <v>33</v>
      </c>
      <c r="D155" s="32" t="s">
        <v>34</v>
      </c>
      <c r="E155" s="32" t="s">
        <v>899</v>
      </c>
      <c r="F155" s="40" t="s">
        <v>900</v>
      </c>
      <c r="G155" s="40" t="s">
        <v>977</v>
      </c>
      <c r="H155" s="40" t="s">
        <v>50</v>
      </c>
      <c r="I155" s="40" t="s">
        <v>717</v>
      </c>
      <c r="J155" s="40">
        <v>5001.0</v>
      </c>
      <c r="K155" s="32" t="s">
        <v>961</v>
      </c>
      <c r="L155" s="40" t="s">
        <v>1046</v>
      </c>
      <c r="M155" s="40" t="s">
        <v>54</v>
      </c>
      <c r="N155" s="40">
        <v>5.5</v>
      </c>
      <c r="O155" s="40" t="s">
        <v>42</v>
      </c>
      <c r="P155" s="40" t="s">
        <v>915</v>
      </c>
      <c r="Q155" s="32" t="s">
        <v>42</v>
      </c>
      <c r="R155" s="40">
        <v>0.5</v>
      </c>
      <c r="S155" s="40" t="s">
        <v>45</v>
      </c>
      <c r="T155" s="40">
        <v>12.0</v>
      </c>
      <c r="U155" s="40">
        <v>180.0</v>
      </c>
      <c r="V155" s="40" t="s">
        <v>42</v>
      </c>
      <c r="W155" s="40">
        <v>1220.0</v>
      </c>
      <c r="X155" s="40" t="s">
        <v>42</v>
      </c>
      <c r="Y155" s="32">
        <v>2.64</v>
      </c>
      <c r="Z155" s="32" t="s">
        <v>46</v>
      </c>
      <c r="AA155" s="40" t="s">
        <v>44</v>
      </c>
      <c r="AB155" s="32">
        <v>23.0</v>
      </c>
      <c r="AC155" s="40" t="s">
        <v>61</v>
      </c>
      <c r="AD155" s="57">
        <f t="shared" si="1"/>
        <v>60.72</v>
      </c>
      <c r="AF155" s="32">
        <v>25.0</v>
      </c>
      <c r="AH155" s="32">
        <v>1554.93</v>
      </c>
      <c r="AN155" s="43" t="str">
        <f>IFERROR(__xludf.DUMMYFUNCTION("AI(""Completa un valor adecuado para esta celda en función del contexto de la tabla"")"),"Este piso vinílico tipo SPC cuenta con un espesor total de 5,5 mm y una capa de uso de 0,5 mm, ideal para uso comercial. Presenta un sistema de colocación Click que facilita su instalación, además de incluir un manto incorporado para mayor confort. Fabric"&amp;"ado en China bajo la línea Antique de MaxCore, cada caja rinde 2,64 m2 y contiene 12 tablas de 180 mm por 1220 mm.")</f>
        <v>Este piso vinílico tipo SPC cuenta con un espesor total de 5,5 mm y una capa de uso de 0,5 mm, ideal para uso comercial. Presenta un sistema de colocación Click que facilita su instalación, además de incluir un manto incorporado para mayor confort. Fabricado en China bajo la línea Antique de MaxCore, cada caja rinde 2,64 m2 y contiene 12 tablas de 180 mm por 1220 mm.</v>
      </c>
    </row>
    <row r="156" ht="15.75" customHeight="1">
      <c r="A156" s="58">
        <v>20879.0</v>
      </c>
      <c r="B156" s="40">
        <v>2.0</v>
      </c>
      <c r="C156" s="32" t="s">
        <v>33</v>
      </c>
      <c r="D156" s="32" t="s">
        <v>34</v>
      </c>
      <c r="E156" s="32" t="s">
        <v>899</v>
      </c>
      <c r="F156" s="40" t="s">
        <v>900</v>
      </c>
      <c r="G156" s="40" t="s">
        <v>977</v>
      </c>
      <c r="H156" s="40" t="s">
        <v>50</v>
      </c>
      <c r="I156" s="40" t="s">
        <v>1097</v>
      </c>
      <c r="J156" s="40">
        <v>8001.0</v>
      </c>
      <c r="K156" s="32" t="s">
        <v>961</v>
      </c>
      <c r="L156" s="40" t="s">
        <v>989</v>
      </c>
      <c r="M156" s="40" t="s">
        <v>169</v>
      </c>
      <c r="N156" s="40">
        <v>4.0</v>
      </c>
      <c r="O156" s="40" t="s">
        <v>42</v>
      </c>
      <c r="P156" s="40">
        <v>4.0</v>
      </c>
      <c r="Q156" s="32" t="s">
        <v>42</v>
      </c>
      <c r="R156" s="40">
        <v>0.3</v>
      </c>
      <c r="S156" s="40" t="s">
        <v>44</v>
      </c>
      <c r="T156" s="40">
        <v>12.0</v>
      </c>
      <c r="U156" s="40">
        <v>180.0</v>
      </c>
      <c r="V156" s="40" t="s">
        <v>42</v>
      </c>
      <c r="W156" s="40">
        <v>1220.0</v>
      </c>
      <c r="X156" s="40" t="s">
        <v>42</v>
      </c>
      <c r="Y156" s="32">
        <v>2.64</v>
      </c>
      <c r="Z156" s="32" t="s">
        <v>46</v>
      </c>
      <c r="AA156" s="40" t="s">
        <v>44</v>
      </c>
      <c r="AB156" s="32">
        <v>23.45</v>
      </c>
      <c r="AC156" s="40" t="s">
        <v>61</v>
      </c>
      <c r="AD156" s="57">
        <f t="shared" si="1"/>
        <v>61.908</v>
      </c>
      <c r="AF156" s="32">
        <v>25.0</v>
      </c>
      <c r="AH156" s="32">
        <v>1742.4</v>
      </c>
      <c r="AN156"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sin manto incorporado. Fabricado en China bajo la marca MaxCore y"&amp;" la línea Home, cada caja rinde 2,64 m2 y contiene 12 tablas de 180 mm por 1220 mm.")</f>
        <v>Este piso vinílico tipo SPC cuenta con un espesor total de 4 mm y una capa de uso de 0,3 mm, ideal para uso residencial. Presenta un sistema de colocación Click que facilita su instalación, sin manto incorporado. Fabricado en China bajo la marca MaxCore y la línea Home, cada caja rinde 2,64 m2 y contiene 12 tablas de 180 mm por 1220 mm.</v>
      </c>
    </row>
    <row r="157" ht="15.75" customHeight="1">
      <c r="A157" s="58">
        <v>20715.0</v>
      </c>
      <c r="B157" s="40">
        <v>2.0</v>
      </c>
      <c r="C157" s="32" t="s">
        <v>33</v>
      </c>
      <c r="D157" s="32" t="s">
        <v>34</v>
      </c>
      <c r="E157" s="32" t="s">
        <v>899</v>
      </c>
      <c r="F157" s="40" t="s">
        <v>900</v>
      </c>
      <c r="G157" s="40" t="s">
        <v>977</v>
      </c>
      <c r="H157" s="40" t="s">
        <v>50</v>
      </c>
      <c r="I157" s="40" t="s">
        <v>1098</v>
      </c>
      <c r="J157" s="40">
        <v>8883.0</v>
      </c>
      <c r="K157" s="32" t="s">
        <v>961</v>
      </c>
      <c r="L157" s="40" t="s">
        <v>989</v>
      </c>
      <c r="M157" s="40" t="s">
        <v>169</v>
      </c>
      <c r="N157" s="40">
        <v>4.0</v>
      </c>
      <c r="O157" s="40" t="s">
        <v>42</v>
      </c>
      <c r="P157" s="40">
        <v>4.0</v>
      </c>
      <c r="Q157" s="32" t="s">
        <v>42</v>
      </c>
      <c r="R157" s="40">
        <v>0.3</v>
      </c>
      <c r="S157" s="40" t="s">
        <v>44</v>
      </c>
      <c r="T157" s="40">
        <v>12.0</v>
      </c>
      <c r="U157" s="40">
        <v>180.0</v>
      </c>
      <c r="V157" s="40" t="s">
        <v>42</v>
      </c>
      <c r="W157" s="40">
        <v>1220.0</v>
      </c>
      <c r="X157" s="40" t="s">
        <v>42</v>
      </c>
      <c r="Y157" s="32">
        <v>2.64</v>
      </c>
      <c r="Z157" s="32" t="s">
        <v>46</v>
      </c>
      <c r="AA157" s="40" t="s">
        <v>44</v>
      </c>
      <c r="AB157" s="32">
        <v>23.45</v>
      </c>
      <c r="AC157" s="40" t="s">
        <v>61</v>
      </c>
      <c r="AD157" s="57">
        <f t="shared" si="1"/>
        <v>61.908</v>
      </c>
      <c r="AF157" s="32">
        <v>25.0</v>
      </c>
      <c r="AH157" s="32">
        <v>467.28</v>
      </c>
      <c r="AN157"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y no incluye manto incorporado. Fabricado en China bajo la línea H"&amp;"ome de la marca MaxCore, cada caja rinde 2,64 m2 y contiene 12 tablas de 180 mm por 1220 mm.")</f>
        <v>Este piso vinílico tipo SPC cuenta con un espesor total de 4 mm y una capa de uso de 0,3 mm, ideal para uso residencial. Presenta un sistema de colocación Click que facilita su instalación y no incluye manto incorporado. Fabricado en China bajo la línea Home de la marca MaxCore, cada caja rinde 2,64 m2 y contiene 12 tablas de 180 mm por 1220 mm.</v>
      </c>
    </row>
    <row r="158" ht="15.75" customHeight="1">
      <c r="A158" s="58">
        <v>20228.0</v>
      </c>
      <c r="B158" s="40">
        <v>2.0</v>
      </c>
      <c r="C158" s="32" t="s">
        <v>33</v>
      </c>
      <c r="D158" s="32" t="s">
        <v>34</v>
      </c>
      <c r="E158" s="32" t="s">
        <v>899</v>
      </c>
      <c r="F158" s="40" t="s">
        <v>900</v>
      </c>
      <c r="G158" s="40" t="s">
        <v>977</v>
      </c>
      <c r="H158" s="40" t="s">
        <v>50</v>
      </c>
      <c r="I158" s="40" t="s">
        <v>960</v>
      </c>
      <c r="J158" s="40">
        <v>8007.0</v>
      </c>
      <c r="K158" s="32" t="s">
        <v>961</v>
      </c>
      <c r="L158" s="40" t="s">
        <v>989</v>
      </c>
      <c r="M158" s="40" t="s">
        <v>169</v>
      </c>
      <c r="N158" s="40">
        <v>4.0</v>
      </c>
      <c r="O158" s="40" t="s">
        <v>42</v>
      </c>
      <c r="P158" s="40">
        <v>4.0</v>
      </c>
      <c r="Q158" s="32" t="s">
        <v>42</v>
      </c>
      <c r="R158" s="40">
        <v>0.3</v>
      </c>
      <c r="S158" s="40" t="s">
        <v>44</v>
      </c>
      <c r="T158" s="40">
        <v>12.0</v>
      </c>
      <c r="U158" s="40">
        <v>180.0</v>
      </c>
      <c r="V158" s="40" t="s">
        <v>42</v>
      </c>
      <c r="W158" s="40">
        <v>1220.0</v>
      </c>
      <c r="X158" s="40" t="s">
        <v>42</v>
      </c>
      <c r="Y158" s="32">
        <v>2.64</v>
      </c>
      <c r="Z158" s="32" t="s">
        <v>46</v>
      </c>
      <c r="AA158" s="40" t="s">
        <v>44</v>
      </c>
      <c r="AB158" s="32">
        <v>23.45</v>
      </c>
      <c r="AC158" s="40" t="s">
        <v>61</v>
      </c>
      <c r="AD158" s="57">
        <f t="shared" si="1"/>
        <v>61.908</v>
      </c>
      <c r="AF158" s="32">
        <v>25.0</v>
      </c>
      <c r="AH158" s="32">
        <v>2323.2</v>
      </c>
      <c r="AN158"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y está fabricado en China bajo la marca MaxCore. Cada caja rinde 2"&amp;",64 m2 y contiene 12 tablas de 180 mm por 1220 mm.")</f>
        <v>Este piso vinílico tipo SPC cuenta con un espesor total de 4 mm y una capa de uso de 0,3 mm, ideal para uso residencial. Presenta un sistema de colocación Click que facilita su instalación y está fabricado en China bajo la marca MaxCore. Cada caja rinde 2,64 m2 y contiene 12 tablas de 180 mm por 1220 mm.</v>
      </c>
    </row>
    <row r="159" ht="15.75" customHeight="1">
      <c r="A159" s="58">
        <v>20839.0</v>
      </c>
      <c r="B159" s="40">
        <v>2.0</v>
      </c>
      <c r="C159" s="32" t="s">
        <v>33</v>
      </c>
      <c r="D159" s="32" t="s">
        <v>34</v>
      </c>
      <c r="E159" s="32" t="s">
        <v>899</v>
      </c>
      <c r="F159" s="40" t="s">
        <v>900</v>
      </c>
      <c r="G159" s="40" t="s">
        <v>977</v>
      </c>
      <c r="H159" s="40" t="s">
        <v>50</v>
      </c>
      <c r="I159" s="40" t="s">
        <v>1099</v>
      </c>
      <c r="J159" s="40">
        <v>5083.0</v>
      </c>
      <c r="K159" s="32" t="s">
        <v>961</v>
      </c>
      <c r="L159" s="40" t="s">
        <v>989</v>
      </c>
      <c r="M159" s="40" t="s">
        <v>169</v>
      </c>
      <c r="N159" s="40">
        <v>4.0</v>
      </c>
      <c r="O159" s="40" t="s">
        <v>42</v>
      </c>
      <c r="P159" s="40">
        <v>4.0</v>
      </c>
      <c r="Q159" s="32" t="s">
        <v>42</v>
      </c>
      <c r="R159" s="40">
        <v>0.3</v>
      </c>
      <c r="S159" s="40" t="s">
        <v>44</v>
      </c>
      <c r="T159" s="40">
        <v>12.0</v>
      </c>
      <c r="U159" s="40">
        <v>180.0</v>
      </c>
      <c r="V159" s="40" t="s">
        <v>42</v>
      </c>
      <c r="W159" s="40">
        <v>1220.0</v>
      </c>
      <c r="X159" s="40" t="s">
        <v>42</v>
      </c>
      <c r="Y159" s="32">
        <v>2.64</v>
      </c>
      <c r="Z159" s="32" t="s">
        <v>46</v>
      </c>
      <c r="AA159" s="40" t="s">
        <v>44</v>
      </c>
      <c r="AB159" s="32">
        <v>23.45</v>
      </c>
      <c r="AC159" s="40" t="s">
        <v>61</v>
      </c>
      <c r="AD159" s="57">
        <f t="shared" si="1"/>
        <v>61.908</v>
      </c>
      <c r="AF159" s="32">
        <v>25.0</v>
      </c>
      <c r="AH159" s="32">
        <v>594.0</v>
      </c>
      <c r="AN159" s="43" t="str">
        <f>IFERROR(__xludf.DUMMYFUNCTION("AI(""Completa un valor adecuado para esta celda en función del contexto de la tabla"")"),"Este piso vinilico tipo SPC cuenta con un espesor total de 4 mm y una capa de uso de 0,3 mm, ideal para uso residencial. Presenta un sistema de colocación Click que facilita su instalación. Fabricado en China bajo la línea Home de la marca MaxCore, cada c"&amp;"aja rinde 2,64 m2 y contiene 12 tablas de 180 mm por 1220 mm.")</f>
        <v>Este piso vinilico tipo SPC cuenta con un espesor total de 4 mm y una capa de uso de 0,3 mm, ideal para uso residencial. Presenta un sistema de colocación Click que facilita su instalación. Fabricado en China bajo la línea Home de la marca MaxCore, cada caja rinde 2,64 m2 y contiene 12 tablas de 180 mm por 1220 mm.</v>
      </c>
    </row>
    <row r="160" ht="15.75" customHeight="1">
      <c r="A160" s="58">
        <v>20235.0</v>
      </c>
      <c r="B160" s="40"/>
      <c r="C160" s="32" t="s">
        <v>33</v>
      </c>
      <c r="D160" s="32" t="s">
        <v>34</v>
      </c>
      <c r="E160" s="32" t="s">
        <v>899</v>
      </c>
      <c r="F160" s="40" t="s">
        <v>900</v>
      </c>
      <c r="G160" s="40" t="s">
        <v>977</v>
      </c>
      <c r="H160" s="40" t="s">
        <v>50</v>
      </c>
      <c r="I160" s="40" t="s">
        <v>835</v>
      </c>
      <c r="J160" s="40">
        <v>8889.0</v>
      </c>
      <c r="K160" s="32" t="s">
        <v>961</v>
      </c>
      <c r="L160" s="40" t="s">
        <v>989</v>
      </c>
      <c r="M160" s="40" t="s">
        <v>169</v>
      </c>
      <c r="N160" s="40">
        <v>4.0</v>
      </c>
      <c r="O160" s="40" t="s">
        <v>42</v>
      </c>
      <c r="P160" s="40">
        <v>4.0</v>
      </c>
      <c r="Q160" s="32" t="s">
        <v>42</v>
      </c>
      <c r="R160" s="40">
        <v>0.3</v>
      </c>
      <c r="S160" s="40" t="s">
        <v>44</v>
      </c>
      <c r="T160" s="40">
        <v>12.0</v>
      </c>
      <c r="U160" s="40">
        <v>180.0</v>
      </c>
      <c r="V160" s="40" t="s">
        <v>42</v>
      </c>
      <c r="W160" s="40">
        <v>1220.0</v>
      </c>
      <c r="X160" s="40" t="s">
        <v>42</v>
      </c>
      <c r="Y160" s="32">
        <v>2.64</v>
      </c>
      <c r="Z160" s="32" t="s">
        <v>46</v>
      </c>
      <c r="AA160" s="40" t="s">
        <v>44</v>
      </c>
      <c r="AB160" s="32">
        <v>23.45</v>
      </c>
      <c r="AC160" s="40" t="s">
        <v>61</v>
      </c>
      <c r="AD160" s="57">
        <f t="shared" si="1"/>
        <v>61.908</v>
      </c>
      <c r="AF160" s="32">
        <v>25.0</v>
      </c>
      <c r="AH160" s="32">
        <v>1321.62</v>
      </c>
      <c r="AN160"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marca MaxCore y línea Home, cada caja "&amp;"rinde 2,64 m2 y contiene 12 tablas de 180 mm por 1220 mm.")</f>
        <v>Este piso vinílico tipo SPC cuenta con un espesor total de 4 mm y una capa de uso de 0,3 mm, ideal para uso residencial. Presenta un sistema de colocación Click que facilita su instalación. Fabricado en China bajo la marca MaxCore y línea Home, cada caja rinde 2,64 m2 y contiene 12 tablas de 180 mm por 1220 mm.</v>
      </c>
    </row>
    <row r="161" ht="15.75" customHeight="1">
      <c r="A161" s="58">
        <v>19957.0</v>
      </c>
      <c r="B161" s="40"/>
      <c r="C161" s="32" t="s">
        <v>33</v>
      </c>
      <c r="D161" s="32" t="s">
        <v>34</v>
      </c>
      <c r="E161" s="32" t="s">
        <v>899</v>
      </c>
      <c r="F161" s="40" t="s">
        <v>900</v>
      </c>
      <c r="G161" s="40" t="s">
        <v>977</v>
      </c>
      <c r="H161" s="40" t="s">
        <v>50</v>
      </c>
      <c r="I161" s="40" t="s">
        <v>1100</v>
      </c>
      <c r="J161" s="40">
        <v>8891.0</v>
      </c>
      <c r="K161" s="32" t="s">
        <v>961</v>
      </c>
      <c r="L161" s="40" t="s">
        <v>989</v>
      </c>
      <c r="M161" s="40" t="s">
        <v>169</v>
      </c>
      <c r="N161" s="40">
        <v>4.0</v>
      </c>
      <c r="O161" s="40" t="s">
        <v>42</v>
      </c>
      <c r="P161" s="40">
        <v>4.0</v>
      </c>
      <c r="Q161" s="32" t="s">
        <v>42</v>
      </c>
      <c r="R161" s="40">
        <v>0.3</v>
      </c>
      <c r="S161" s="40" t="s">
        <v>44</v>
      </c>
      <c r="T161" s="40">
        <v>12.0</v>
      </c>
      <c r="U161" s="40">
        <v>180.0</v>
      </c>
      <c r="V161" s="40" t="s">
        <v>42</v>
      </c>
      <c r="W161" s="40">
        <v>1220.0</v>
      </c>
      <c r="X161" s="40" t="s">
        <v>42</v>
      </c>
      <c r="Y161" s="32">
        <v>2.64</v>
      </c>
      <c r="Z161" s="32" t="s">
        <v>46</v>
      </c>
      <c r="AA161" s="40" t="s">
        <v>44</v>
      </c>
      <c r="AB161" s="32">
        <v>23.45</v>
      </c>
      <c r="AC161" s="40" t="s">
        <v>61</v>
      </c>
      <c r="AD161" s="57">
        <f t="shared" si="1"/>
        <v>61.908</v>
      </c>
      <c r="AF161" s="32">
        <v>25.0</v>
      </c>
      <c r="AH161" s="32">
        <v>900.23</v>
      </c>
      <c r="AN161" s="43" t="str">
        <f>IFERROR(__xludf.DUMMYFUNCTION("AI(""Completa un valor adecuado para esta celda en función del contexto de la tabla"")"),"Este piso vinílico tipo SPC de la marca MaxCore y línea Home cuenta con un espesor total de 4 mm y una capa de uso de 0,3 mm, lo que lo hace ideal para un uso residencial. Posee un sistema de colocación Click que facilita su instalación de forma rápida y "&amp;"limpia sin necesidad de adhesivos. Fabricado en China, cada caja rinde 2,64 m2 y contiene 12 tablas de 180 mm de ancho por 1220 mm de largo. Su diseño Atelier ofrece un acabado estético que no se deforma con la luz solar y es altamente resistente a impact"&amp;"os.")</f>
        <v>Este piso vinílico tipo SPC de la marca MaxCore y línea Home cuenta con un espesor total de 4 mm y una capa de uso de 0,3 mm, lo que lo hace ideal para un uso residencial. Posee un sistema de colocación Click que facilita su instalación de forma rápida y limpia sin necesidad de adhesivos. Fabricado en China, cada caja rinde 2,64 m2 y contiene 12 tablas de 180 mm de ancho por 1220 mm de largo. Su diseño Atelier ofrece un acabado estético que no se deforma con la luz solar y es altamente resistente a impactos.</v>
      </c>
    </row>
    <row r="162" ht="15.75" customHeight="1">
      <c r="A162" s="58">
        <v>20231.0</v>
      </c>
      <c r="B162" s="40"/>
      <c r="C162" s="32" t="s">
        <v>33</v>
      </c>
      <c r="D162" s="32" t="s">
        <v>34</v>
      </c>
      <c r="E162" s="32" t="s">
        <v>899</v>
      </c>
      <c r="F162" s="40" t="s">
        <v>900</v>
      </c>
      <c r="G162" s="40" t="s">
        <v>977</v>
      </c>
      <c r="H162" s="40" t="s">
        <v>50</v>
      </c>
      <c r="I162" s="40" t="s">
        <v>1101</v>
      </c>
      <c r="J162" s="40">
        <v>8882.0</v>
      </c>
      <c r="K162" s="32" t="s">
        <v>961</v>
      </c>
      <c r="L162" s="40" t="s">
        <v>989</v>
      </c>
      <c r="M162" s="40" t="s">
        <v>169</v>
      </c>
      <c r="N162" s="40">
        <v>4.0</v>
      </c>
      <c r="O162" s="40" t="s">
        <v>42</v>
      </c>
      <c r="P162" s="40">
        <v>4.0</v>
      </c>
      <c r="Q162" s="32" t="s">
        <v>42</v>
      </c>
      <c r="R162" s="40">
        <v>0.3</v>
      </c>
      <c r="S162" s="40" t="s">
        <v>44</v>
      </c>
      <c r="T162" s="40">
        <v>12.0</v>
      </c>
      <c r="U162" s="40">
        <v>180.0</v>
      </c>
      <c r="V162" s="40" t="s">
        <v>42</v>
      </c>
      <c r="W162" s="40">
        <v>1220.0</v>
      </c>
      <c r="X162" s="40" t="s">
        <v>42</v>
      </c>
      <c r="Y162" s="32">
        <v>2.64</v>
      </c>
      <c r="Z162" s="32" t="s">
        <v>46</v>
      </c>
      <c r="AA162" s="40" t="s">
        <v>44</v>
      </c>
      <c r="AB162" s="32">
        <v>23.45</v>
      </c>
      <c r="AC162" s="40" t="s">
        <v>61</v>
      </c>
      <c r="AD162" s="57">
        <f t="shared" si="1"/>
        <v>61.908</v>
      </c>
      <c r="AF162" s="32">
        <v>25.0</v>
      </c>
      <c r="AH162" s="32">
        <v>2930.4</v>
      </c>
      <c r="AN162"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marca MaxCore y línea Home, cada caja "&amp;"rinde 2,64 m2 y contiene 12 tablas de 180 mm por 1220 mm.")</f>
        <v>Este piso vinílico tipo SPC cuenta con un espesor total de 4 mm y una capa de uso de 0,3 mm, ideal para uso residencial. Presenta un sistema de colocación Click que facilita su instalación. Fabricado en China bajo la marca MaxCore y línea Home, cada caja rinde 2,64 m2 y contiene 12 tablas de 180 mm por 1220 mm.</v>
      </c>
    </row>
    <row r="163" ht="15.75" customHeight="1">
      <c r="A163" s="58">
        <v>20789.0</v>
      </c>
      <c r="B163" s="40"/>
      <c r="C163" s="32" t="s">
        <v>33</v>
      </c>
      <c r="D163" s="32" t="s">
        <v>34</v>
      </c>
      <c r="E163" s="32" t="s">
        <v>899</v>
      </c>
      <c r="F163" s="40" t="s">
        <v>900</v>
      </c>
      <c r="G163" s="40" t="s">
        <v>977</v>
      </c>
      <c r="H163" s="40" t="s">
        <v>50</v>
      </c>
      <c r="I163" s="40" t="s">
        <v>384</v>
      </c>
      <c r="J163" s="40">
        <v>8884.0</v>
      </c>
      <c r="K163" s="32" t="s">
        <v>961</v>
      </c>
      <c r="L163" s="40" t="s">
        <v>989</v>
      </c>
      <c r="M163" s="40" t="s">
        <v>169</v>
      </c>
      <c r="N163" s="40">
        <v>4.0</v>
      </c>
      <c r="O163" s="40" t="s">
        <v>42</v>
      </c>
      <c r="P163" s="40">
        <v>4.0</v>
      </c>
      <c r="Q163" s="32" t="s">
        <v>42</v>
      </c>
      <c r="R163" s="40">
        <v>0.3</v>
      </c>
      <c r="S163" s="40" t="s">
        <v>44</v>
      </c>
      <c r="T163" s="40">
        <v>12.0</v>
      </c>
      <c r="U163" s="40">
        <v>180.0</v>
      </c>
      <c r="V163" s="40" t="s">
        <v>42</v>
      </c>
      <c r="W163" s="40">
        <v>1220.0</v>
      </c>
      <c r="X163" s="40" t="s">
        <v>42</v>
      </c>
      <c r="Y163" s="32">
        <v>2.64</v>
      </c>
      <c r="Z163" s="32" t="s">
        <v>46</v>
      </c>
      <c r="AA163" s="40" t="s">
        <v>44</v>
      </c>
      <c r="AB163" s="32">
        <v>23.45</v>
      </c>
      <c r="AC163" s="40" t="s">
        <v>61</v>
      </c>
      <c r="AD163" s="57">
        <f t="shared" si="1"/>
        <v>61.908</v>
      </c>
      <c r="AF163" s="32">
        <v>25.0</v>
      </c>
      <c r="AH163" s="32">
        <v>211.2</v>
      </c>
      <c r="AN163"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sin manto incorporado. Fabricado en China bajo la línea Home de M"&amp;"axCore, cada caja rinde 2,64 m2 y contiene 12 tablas de 180 mm por 1220 mm.")</f>
        <v>Este piso vinílico tipo SPC cuenta con un espesor total de 4 mm y una capa de uso de 0,3 mm, ideal para uso residencial. Presenta un sistema de colocación Click que facilita su instalación, sin manto incorporado. Fabricado en China bajo la línea Home de MaxCore, cada caja rinde 2,64 m2 y contiene 12 tablas de 180 mm por 1220 mm.</v>
      </c>
    </row>
    <row r="164" ht="15.75" customHeight="1">
      <c r="A164" s="58">
        <v>20316.0</v>
      </c>
      <c r="B164" s="40"/>
      <c r="C164" s="32" t="s">
        <v>33</v>
      </c>
      <c r="D164" s="32" t="s">
        <v>34</v>
      </c>
      <c r="E164" s="32" t="s">
        <v>899</v>
      </c>
      <c r="F164" s="40" t="s">
        <v>900</v>
      </c>
      <c r="G164" s="40" t="s">
        <v>977</v>
      </c>
      <c r="H164" s="40" t="s">
        <v>50</v>
      </c>
      <c r="I164" s="40" t="s">
        <v>1102</v>
      </c>
      <c r="J164" s="40">
        <v>6004.0</v>
      </c>
      <c r="K164" s="32" t="s">
        <v>961</v>
      </c>
      <c r="L164" s="40" t="s">
        <v>1065</v>
      </c>
      <c r="M164" s="40" t="s">
        <v>54</v>
      </c>
      <c r="N164" s="40">
        <v>5.5</v>
      </c>
      <c r="O164" s="40" t="s">
        <v>42</v>
      </c>
      <c r="P164" s="40" t="s">
        <v>915</v>
      </c>
      <c r="Q164" s="32" t="s">
        <v>42</v>
      </c>
      <c r="R164" s="40">
        <v>0.5</v>
      </c>
      <c r="S164" s="40" t="s">
        <v>45</v>
      </c>
      <c r="T164" s="40">
        <v>8.0</v>
      </c>
      <c r="U164" s="40">
        <v>230.0</v>
      </c>
      <c r="V164" s="40" t="s">
        <v>42</v>
      </c>
      <c r="W164" s="40">
        <v>1540.0</v>
      </c>
      <c r="X164" s="40" t="s">
        <v>42</v>
      </c>
      <c r="Y164" s="32">
        <v>2.74</v>
      </c>
      <c r="Z164" s="32" t="s">
        <v>46</v>
      </c>
      <c r="AA164" s="40" t="s">
        <v>45</v>
      </c>
      <c r="AB164" s="32">
        <v>25.35</v>
      </c>
      <c r="AC164" s="33"/>
      <c r="AD164" s="57">
        <f t="shared" si="1"/>
        <v>69.459</v>
      </c>
      <c r="AF164" s="32">
        <v>25.0</v>
      </c>
      <c r="AH164" s="32">
        <v>307.46</v>
      </c>
      <c r="AN164" s="43" t="str">
        <f>IFERROR(__xludf.DUMMYFUNCTION("AI(""Completa un valor adecuado para esta celda en función del contexto de la tabla"")"),"Este piso vinílico tipo SPC cuenta con un espesor total de 5,5 mm y una capa de uso de 0,5 mm, diseñado para uso comercial. Presenta un sistema de colocación Click que facilita su instalación, además de incluir un manto incorporado y bisel para un acabado"&amp;" definido. Fabricado en China bajo la línea Pino de MaxCore, cada caja rinde 2,74 m2 y contiene 8 tablas de 230 mm por 1540 mm.")</f>
        <v>Este piso vinílico tipo SPC cuenta con un espesor total de 5,5 mm y una capa de uso de 0,5 mm, diseñado para uso comercial. Presenta un sistema de colocación Click que facilita su instalación, además de incluir un manto incorporado y bisel para un acabado definido. Fabricado en China bajo la línea Pino de MaxCore, cada caja rinde 2,74 m2 y contiene 8 tablas de 230 mm por 1540 mm.</v>
      </c>
    </row>
    <row r="165" ht="15.75" customHeight="1">
      <c r="A165" s="58">
        <v>20714.0</v>
      </c>
      <c r="B165" s="40"/>
      <c r="C165" s="32" t="s">
        <v>33</v>
      </c>
      <c r="D165" s="32" t="s">
        <v>34</v>
      </c>
      <c r="E165" s="32" t="s">
        <v>899</v>
      </c>
      <c r="F165" s="40" t="s">
        <v>900</v>
      </c>
      <c r="G165" s="40" t="s">
        <v>977</v>
      </c>
      <c r="H165" s="40" t="s">
        <v>50</v>
      </c>
      <c r="I165" s="40" t="s">
        <v>551</v>
      </c>
      <c r="J165" s="40">
        <v>8004.0</v>
      </c>
      <c r="K165" s="32" t="s">
        <v>961</v>
      </c>
      <c r="L165" s="40" t="s">
        <v>989</v>
      </c>
      <c r="M165" s="40" t="s">
        <v>169</v>
      </c>
      <c r="N165" s="40">
        <v>4.0</v>
      </c>
      <c r="O165" s="40" t="s">
        <v>42</v>
      </c>
      <c r="P165" s="40">
        <v>4.0</v>
      </c>
      <c r="Q165" s="32" t="s">
        <v>42</v>
      </c>
      <c r="R165" s="40">
        <v>0.3</v>
      </c>
      <c r="S165" s="40" t="s">
        <v>44</v>
      </c>
      <c r="T165" s="40">
        <v>12.0</v>
      </c>
      <c r="U165" s="40">
        <v>180.0</v>
      </c>
      <c r="V165" s="40" t="s">
        <v>42</v>
      </c>
      <c r="W165" s="40">
        <v>1220.0</v>
      </c>
      <c r="X165" s="40" t="s">
        <v>42</v>
      </c>
      <c r="Y165" s="32">
        <v>2.64</v>
      </c>
      <c r="Z165" s="32" t="s">
        <v>46</v>
      </c>
      <c r="AA165" s="40" t="s">
        <v>44</v>
      </c>
      <c r="AB165" s="32">
        <v>14.0</v>
      </c>
      <c r="AC165" s="40" t="s">
        <v>61</v>
      </c>
      <c r="AD165" s="57">
        <f t="shared" si="1"/>
        <v>36.96</v>
      </c>
      <c r="AF165" s="32">
        <v>25.0</v>
      </c>
      <c r="AH165" s="32">
        <v>1805.75</v>
      </c>
      <c r="AN165"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y no incluye manto incorporado. Fabricado en China bajo la línea H"&amp;"ome de MaxCore, cada caja rinde 2,64 m2 y contiene 12 tablas de 180 mm por 1220 mm.")</f>
        <v>Este piso vinílico tipo SPC cuenta con un espesor total de 4 mm y una capa de uso de 0,3 mm, ideal para uso residencial. Presenta un sistema de colocación Click que facilita su instalación y no incluye manto incorporado. Fabricado en China bajo la línea Home de MaxCore, cada caja rinde 2,64 m2 y contiene 12 tablas de 180 mm por 1220 mm.</v>
      </c>
    </row>
    <row r="166" ht="15.75" customHeight="1">
      <c r="A166" s="58">
        <v>20232.0</v>
      </c>
      <c r="B166" s="40"/>
      <c r="C166" s="32" t="s">
        <v>33</v>
      </c>
      <c r="D166" s="32" t="s">
        <v>34</v>
      </c>
      <c r="E166" s="32" t="s">
        <v>899</v>
      </c>
      <c r="F166" s="40" t="s">
        <v>900</v>
      </c>
      <c r="G166" s="40" t="s">
        <v>977</v>
      </c>
      <c r="H166" s="40" t="s">
        <v>50</v>
      </c>
      <c r="I166" s="40" t="s">
        <v>1103</v>
      </c>
      <c r="J166" s="40">
        <v>8885.0</v>
      </c>
      <c r="K166" s="32" t="s">
        <v>961</v>
      </c>
      <c r="L166" s="40" t="s">
        <v>989</v>
      </c>
      <c r="M166" s="40" t="s">
        <v>169</v>
      </c>
      <c r="N166" s="40">
        <v>4.0</v>
      </c>
      <c r="O166" s="40" t="s">
        <v>42</v>
      </c>
      <c r="P166" s="40">
        <v>4.0</v>
      </c>
      <c r="Q166" s="32" t="s">
        <v>42</v>
      </c>
      <c r="R166" s="40">
        <v>0.3</v>
      </c>
      <c r="S166" s="40" t="s">
        <v>44</v>
      </c>
      <c r="T166" s="40">
        <v>12.0</v>
      </c>
      <c r="U166" s="40">
        <v>180.0</v>
      </c>
      <c r="V166" s="40" t="s">
        <v>42</v>
      </c>
      <c r="W166" s="40">
        <v>1220.0</v>
      </c>
      <c r="X166" s="40" t="s">
        <v>42</v>
      </c>
      <c r="Y166" s="32">
        <v>2.64</v>
      </c>
      <c r="Z166" s="32" t="s">
        <v>46</v>
      </c>
      <c r="AA166" s="40" t="s">
        <v>44</v>
      </c>
      <c r="AB166" s="32">
        <v>14.0</v>
      </c>
      <c r="AC166" s="40" t="s">
        <v>61</v>
      </c>
      <c r="AD166" s="57">
        <f t="shared" si="1"/>
        <v>36.96</v>
      </c>
      <c r="AF166" s="32">
        <v>25.0</v>
      </c>
      <c r="AH166" s="32">
        <v>1140.0</v>
      </c>
      <c r="AN166"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Home de MaxCore, cada caja rinde"&amp;" 2,64 m2 y contiene 12 tablas de 180 mm por 1220 mm.")</f>
        <v>Este piso vinílico tipo SPC cuenta con un espesor total de 4 mm y una capa de uso de 0,3 mm, ideal para uso residencial. Presenta un sistema de colocación Click que facilita su instalación. Fabricado en China bajo la línea Home de MaxCore, cada caja rinde 2,64 m2 y contiene 12 tablas de 180 mm por 1220 mm.</v>
      </c>
    </row>
    <row r="167" ht="15.75" customHeight="1">
      <c r="A167" s="58">
        <v>23342.0</v>
      </c>
      <c r="B167" s="40"/>
      <c r="C167" s="32" t="s">
        <v>33</v>
      </c>
      <c r="D167" s="32" t="s">
        <v>34</v>
      </c>
      <c r="E167" s="32" t="s">
        <v>899</v>
      </c>
      <c r="F167" s="40" t="s">
        <v>900</v>
      </c>
      <c r="G167" s="40" t="s">
        <v>977</v>
      </c>
      <c r="H167" s="40" t="s">
        <v>50</v>
      </c>
      <c r="I167" s="40" t="s">
        <v>1104</v>
      </c>
      <c r="J167" s="40" t="s">
        <v>1104</v>
      </c>
      <c r="K167" s="32" t="s">
        <v>982</v>
      </c>
      <c r="L167" s="40" t="s">
        <v>982</v>
      </c>
      <c r="M167" s="40" t="s">
        <v>169</v>
      </c>
      <c r="N167" s="40">
        <v>4.0</v>
      </c>
      <c r="O167" s="40" t="s">
        <v>42</v>
      </c>
      <c r="P167" s="40">
        <v>4.0</v>
      </c>
      <c r="Q167" s="32" t="s">
        <v>42</v>
      </c>
      <c r="R167" s="40">
        <v>0.3</v>
      </c>
      <c r="S167" s="40" t="s">
        <v>44</v>
      </c>
      <c r="T167" s="40">
        <v>12.0</v>
      </c>
      <c r="U167" s="40">
        <v>182.0</v>
      </c>
      <c r="V167" s="40" t="s">
        <v>42</v>
      </c>
      <c r="W167" s="40">
        <v>1220.0</v>
      </c>
      <c r="X167" s="40" t="s">
        <v>42</v>
      </c>
      <c r="Y167" s="32">
        <v>2.67</v>
      </c>
      <c r="Z167" s="32" t="s">
        <v>46</v>
      </c>
      <c r="AA167" s="40" t="s">
        <v>44</v>
      </c>
      <c r="AB167" s="32">
        <v>14.0</v>
      </c>
      <c r="AC167" s="40" t="s">
        <v>61</v>
      </c>
      <c r="AD167" s="57">
        <f t="shared" si="1"/>
        <v>37.38</v>
      </c>
      <c r="AE167" s="32">
        <v>60.0</v>
      </c>
      <c r="AF167" s="32">
        <v>25.0</v>
      </c>
      <c r="AH167" s="32">
        <v>14466.04</v>
      </c>
      <c r="AN167"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marca Aquablue, cada caja rinde 2,67 m"&amp;"2 y contiene 12 tablas de 182 mm por 1220 mm.")</f>
        <v>Este piso vinílico tipo SPC cuenta con un espesor total de 4 mm y una capa de uso de 0,3 mm, ideal para uso residencial. Presenta un sistema de colocación Click que facilita su instalación. Fabricado en China bajo la marca Aquablue, cada caja rinde 2,67 m2 y contiene 12 tablas de 182 mm por 1220 mm.</v>
      </c>
    </row>
    <row r="168" ht="15.75" customHeight="1">
      <c r="A168" s="58">
        <v>22513.0</v>
      </c>
      <c r="B168" s="40"/>
      <c r="C168" s="32" t="s">
        <v>33</v>
      </c>
      <c r="D168" s="32" t="s">
        <v>34</v>
      </c>
      <c r="E168" s="32" t="s">
        <v>899</v>
      </c>
      <c r="F168" s="40" t="s">
        <v>900</v>
      </c>
      <c r="G168" s="40" t="s">
        <v>977</v>
      </c>
      <c r="H168" s="40" t="s">
        <v>50</v>
      </c>
      <c r="I168" s="40" t="s">
        <v>1105</v>
      </c>
      <c r="J168" s="40" t="s">
        <v>1105</v>
      </c>
      <c r="K168" s="32" t="s">
        <v>982</v>
      </c>
      <c r="L168" s="40" t="s">
        <v>982</v>
      </c>
      <c r="M168" s="40" t="s">
        <v>169</v>
      </c>
      <c r="N168" s="40">
        <v>4.0</v>
      </c>
      <c r="O168" s="40" t="s">
        <v>42</v>
      </c>
      <c r="P168" s="40">
        <v>4.0</v>
      </c>
      <c r="Q168" s="32" t="s">
        <v>42</v>
      </c>
      <c r="R168" s="40">
        <v>0.3</v>
      </c>
      <c r="S168" s="40" t="s">
        <v>44</v>
      </c>
      <c r="T168" s="40">
        <v>13.0</v>
      </c>
      <c r="U168" s="40">
        <v>183.0</v>
      </c>
      <c r="V168" s="40" t="s">
        <v>42</v>
      </c>
      <c r="W168" s="40">
        <v>1220.0</v>
      </c>
      <c r="X168" s="40" t="s">
        <v>42</v>
      </c>
      <c r="Y168" s="32">
        <v>2.91</v>
      </c>
      <c r="Z168" s="32" t="s">
        <v>46</v>
      </c>
      <c r="AA168" s="40" t="s">
        <v>44</v>
      </c>
      <c r="AB168" s="32">
        <v>14.0</v>
      </c>
      <c r="AC168" s="40" t="s">
        <v>61</v>
      </c>
      <c r="AD168" s="57">
        <f t="shared" si="1"/>
        <v>40.74</v>
      </c>
      <c r="AF168" s="32">
        <v>25.0</v>
      </c>
      <c r="AH168" s="32">
        <v>9675.74</v>
      </c>
      <c r="AN168"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Aquablue, cada caja rinde 2,91 m"&amp;"2 y contiene 13 tablas de 183 mm por 1220 mm.")</f>
        <v>Este piso vinílico tipo SPC cuenta con un espesor total de 4 mm y una capa de uso de 0,3 mm, ideal para uso residencial. Presenta un sistema de colocación Click que facilita su instalación. Fabricado en China bajo la línea Aquablue, cada caja rinde 2,91 m2 y contiene 13 tablas de 183 mm por 1220 mm.</v>
      </c>
    </row>
    <row r="169" ht="15.75" customHeight="1">
      <c r="A169" s="58">
        <v>20026.0</v>
      </c>
      <c r="B169" s="40"/>
      <c r="C169" s="32" t="s">
        <v>33</v>
      </c>
      <c r="D169" s="32" t="s">
        <v>34</v>
      </c>
      <c r="E169" s="32" t="s">
        <v>899</v>
      </c>
      <c r="F169" s="40" t="s">
        <v>900</v>
      </c>
      <c r="G169" s="40" t="s">
        <v>977</v>
      </c>
      <c r="H169" s="40" t="s">
        <v>50</v>
      </c>
      <c r="I169" s="40" t="s">
        <v>1106</v>
      </c>
      <c r="J169" s="40">
        <v>6611.0</v>
      </c>
      <c r="K169" s="32" t="s">
        <v>982</v>
      </c>
      <c r="L169" s="40" t="s">
        <v>982</v>
      </c>
      <c r="M169" s="40" t="s">
        <v>169</v>
      </c>
      <c r="N169" s="40">
        <v>4.0</v>
      </c>
      <c r="O169" s="40" t="s">
        <v>42</v>
      </c>
      <c r="P169" s="40">
        <v>4.0</v>
      </c>
      <c r="Q169" s="32" t="s">
        <v>42</v>
      </c>
      <c r="R169" s="40">
        <v>0.3</v>
      </c>
      <c r="S169" s="40" t="s">
        <v>44</v>
      </c>
      <c r="T169" s="40">
        <v>12.0</v>
      </c>
      <c r="U169" s="40">
        <v>182.0</v>
      </c>
      <c r="V169" s="40" t="s">
        <v>42</v>
      </c>
      <c r="W169" s="40">
        <v>1220.0</v>
      </c>
      <c r="X169" s="40" t="s">
        <v>42</v>
      </c>
      <c r="Y169" s="32">
        <v>2.67</v>
      </c>
      <c r="Z169" s="32" t="s">
        <v>46</v>
      </c>
      <c r="AA169" s="40" t="s">
        <v>44</v>
      </c>
      <c r="AB169" s="32">
        <v>14.0</v>
      </c>
      <c r="AC169" s="40" t="s">
        <v>61</v>
      </c>
      <c r="AD169" s="57">
        <f t="shared" si="1"/>
        <v>37.38</v>
      </c>
      <c r="AE169" s="32">
        <v>60.0</v>
      </c>
      <c r="AF169" s="32">
        <v>25.0</v>
      </c>
      <c r="AN169"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marca Aquablue, cada caja rinde 2,67 m"&amp;"2 y contiene 12 tablas de 182 mm por 1220 mm.")</f>
        <v>Este piso vinílico tipo SPC cuenta con un espesor total de 4 mm y una capa de uso de 0,3 mm, ideal para uso residencial. Presenta un sistema de colocación Click que facilita su instalación. Fabricado en China bajo la marca Aquablue, cada caja rinde 2,67 m2 y contiene 12 tablas de 182 mm por 1220 mm.</v>
      </c>
    </row>
    <row r="170" ht="15.75" customHeight="1">
      <c r="A170" s="58">
        <v>23043.0</v>
      </c>
      <c r="B170" s="40"/>
      <c r="C170" s="32" t="s">
        <v>33</v>
      </c>
      <c r="D170" s="32" t="s">
        <v>34</v>
      </c>
      <c r="E170" s="32" t="s">
        <v>899</v>
      </c>
      <c r="F170" s="40" t="s">
        <v>900</v>
      </c>
      <c r="G170" s="40" t="s">
        <v>977</v>
      </c>
      <c r="H170" s="40" t="s">
        <v>50</v>
      </c>
      <c r="I170" s="40" t="s">
        <v>1107</v>
      </c>
      <c r="J170" s="40" t="s">
        <v>1107</v>
      </c>
      <c r="K170" s="32" t="s">
        <v>961</v>
      </c>
      <c r="L170" s="40" t="s">
        <v>987</v>
      </c>
      <c r="M170" s="40" t="s">
        <v>54</v>
      </c>
      <c r="N170" s="40">
        <v>4.0</v>
      </c>
      <c r="O170" s="40" t="s">
        <v>42</v>
      </c>
      <c r="P170" s="40">
        <v>4.0</v>
      </c>
      <c r="Q170" s="32" t="s">
        <v>42</v>
      </c>
      <c r="R170" s="40">
        <v>0.5</v>
      </c>
      <c r="S170" s="40" t="s">
        <v>44</v>
      </c>
      <c r="T170" s="40">
        <v>12.0</v>
      </c>
      <c r="U170" s="40">
        <v>180.0</v>
      </c>
      <c r="V170" s="40" t="s">
        <v>42</v>
      </c>
      <c r="W170" s="40">
        <v>1220.0</v>
      </c>
      <c r="X170" s="40" t="s">
        <v>42</v>
      </c>
      <c r="Y170" s="32">
        <v>2.64</v>
      </c>
      <c r="Z170" s="32" t="s">
        <v>46</v>
      </c>
      <c r="AA170" s="40" t="s">
        <v>44</v>
      </c>
      <c r="AB170" s="32">
        <v>14.0</v>
      </c>
      <c r="AC170" s="40" t="s">
        <v>61</v>
      </c>
      <c r="AD170" s="57">
        <f t="shared" si="1"/>
        <v>36.96</v>
      </c>
      <c r="AE170" s="32">
        <v>55.0</v>
      </c>
      <c r="AF170" s="32">
        <v>25.0</v>
      </c>
      <c r="AH170" s="32">
        <v>5839.68</v>
      </c>
      <c r="AN170" s="43" t="str">
        <f>IFERROR(__xludf.DUMMYFUNCTION("AI(""Completa un valor adecuado para esta celda en función del contexto de la tabla"")"),"Este piso vinílico tipo SPC de la línea Traffic cuenta con un espesor total de 4 mm y una capa de uso de 0,5 mm, diseñado para uso comercial. Posee un sistema de colocación Click que prescinde de adhesivos y no incluye manto incorporado. Fabricado en Chin"&amp;"a bajo la marca MaxCore, cada caja rinde 2,64 m2 y contiene 12 tablas de 180 mm por 1220 mm.")</f>
        <v>Este piso vinílico tipo SPC de la línea Traffic cuenta con un espesor total de 4 mm y una capa de uso de 0,5 mm, diseñado para uso comercial. Posee un sistema de colocación Click que prescinde de adhesivos y no incluye manto incorporado. Fabricado en China bajo la marca MaxCore, cada caja rinde 2,64 m2 y contiene 12 tablas de 180 mm por 1220 mm.</v>
      </c>
    </row>
    <row r="171" ht="15.75" customHeight="1">
      <c r="A171" s="58">
        <v>20233.0</v>
      </c>
      <c r="B171" s="40"/>
      <c r="C171" s="32" t="s">
        <v>33</v>
      </c>
      <c r="D171" s="32" t="s">
        <v>34</v>
      </c>
      <c r="E171" s="32" t="s">
        <v>899</v>
      </c>
      <c r="F171" s="40" t="s">
        <v>900</v>
      </c>
      <c r="G171" s="40" t="s">
        <v>977</v>
      </c>
      <c r="H171" s="40" t="s">
        <v>50</v>
      </c>
      <c r="I171" s="40" t="s">
        <v>1108</v>
      </c>
      <c r="J171" s="40">
        <v>8887.0</v>
      </c>
      <c r="K171" s="32" t="s">
        <v>961</v>
      </c>
      <c r="L171" s="40" t="s">
        <v>989</v>
      </c>
      <c r="M171" s="40" t="s">
        <v>169</v>
      </c>
      <c r="N171" s="40">
        <v>4.0</v>
      </c>
      <c r="O171" s="40" t="s">
        <v>42</v>
      </c>
      <c r="P171" s="40">
        <v>4.0</v>
      </c>
      <c r="Q171" s="32" t="s">
        <v>42</v>
      </c>
      <c r="R171" s="40">
        <v>0.3</v>
      </c>
      <c r="S171" s="40" t="s">
        <v>44</v>
      </c>
      <c r="T171" s="40">
        <v>12.0</v>
      </c>
      <c r="U171" s="40">
        <v>180.0</v>
      </c>
      <c r="V171" s="40" t="s">
        <v>42</v>
      </c>
      <c r="W171" s="40">
        <v>1220.0</v>
      </c>
      <c r="X171" s="40" t="s">
        <v>42</v>
      </c>
      <c r="Y171" s="32">
        <v>2.64</v>
      </c>
      <c r="Z171" s="32" t="s">
        <v>46</v>
      </c>
      <c r="AA171" s="40" t="s">
        <v>44</v>
      </c>
      <c r="AB171" s="32">
        <v>14.0</v>
      </c>
      <c r="AC171" s="40" t="s">
        <v>61</v>
      </c>
      <c r="AD171" s="57">
        <f t="shared" si="1"/>
        <v>36.96</v>
      </c>
      <c r="AF171" s="32">
        <v>25.0</v>
      </c>
      <c r="AH171" s="32">
        <v>1396.55</v>
      </c>
      <c r="AN171"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Home de la marca MaxCore, cada c"&amp;"aja rinde 2,64 m2 y contiene 12 tablas de 180 mm por 1220 mm.")</f>
        <v>Este piso vinílico tipo SPC cuenta con un espesor total de 4 mm y una capa de uso de 0,3 mm, ideal para uso residencial. Presenta un sistema de colocación Click que facilita su instalación. Fabricado en China bajo la línea Home de la marca MaxCore, cada caja rinde 2,64 m2 y contiene 12 tablas de 180 mm por 1220 mm.</v>
      </c>
    </row>
    <row r="172" ht="15.75" customHeight="1">
      <c r="A172" s="58">
        <v>24582.0</v>
      </c>
      <c r="B172" s="40"/>
      <c r="C172" s="32" t="s">
        <v>33</v>
      </c>
      <c r="D172" s="32" t="s">
        <v>34</v>
      </c>
      <c r="E172" s="32" t="s">
        <v>899</v>
      </c>
      <c r="F172" s="40" t="s">
        <v>900</v>
      </c>
      <c r="G172" s="40" t="s">
        <v>977</v>
      </c>
      <c r="H172" s="40" t="s">
        <v>50</v>
      </c>
      <c r="I172" s="40" t="s">
        <v>1109</v>
      </c>
      <c r="J172" s="40">
        <v>47101.0</v>
      </c>
      <c r="K172" s="32" t="s">
        <v>961</v>
      </c>
      <c r="L172" s="40" t="s">
        <v>984</v>
      </c>
      <c r="M172" s="40" t="s">
        <v>169</v>
      </c>
      <c r="N172" s="40">
        <v>4.0</v>
      </c>
      <c r="O172" s="40" t="s">
        <v>42</v>
      </c>
      <c r="P172" s="40">
        <v>4.0</v>
      </c>
      <c r="Q172" s="32" t="s">
        <v>42</v>
      </c>
      <c r="R172" s="40">
        <v>0.3</v>
      </c>
      <c r="S172" s="40" t="s">
        <v>44</v>
      </c>
      <c r="T172" s="40">
        <v>20.0</v>
      </c>
      <c r="U172" s="40">
        <v>150.0</v>
      </c>
      <c r="V172" s="40" t="s">
        <v>42</v>
      </c>
      <c r="W172" s="40">
        <v>935.0</v>
      </c>
      <c r="X172" s="40" t="s">
        <v>42</v>
      </c>
      <c r="Y172" s="32">
        <v>2.81</v>
      </c>
      <c r="Z172" s="32" t="s">
        <v>46</v>
      </c>
      <c r="AA172" s="40" t="s">
        <v>44</v>
      </c>
      <c r="AB172" s="32">
        <v>15.2</v>
      </c>
      <c r="AC172" s="40" t="s">
        <v>61</v>
      </c>
      <c r="AD172" s="57">
        <f t="shared" si="1"/>
        <v>42.712</v>
      </c>
      <c r="AE172" s="32">
        <v>62.0</v>
      </c>
      <c r="AF172" s="32">
        <v>25.0</v>
      </c>
      <c r="AH172" s="32">
        <v>134.88</v>
      </c>
      <c r="AN172"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por MaxCore bajo la línea Economy, cada caja r"&amp;"inde 2,81 m2 y contiene 20 tablas de 150 mm por 935 mm.")</f>
        <v>Este piso vinílico tipo SPC cuenta con un espesor total de 4 mm y una capa de uso de 0,3 mm, ideal para uso residencial. Presenta un sistema de colocación Click que facilita su instalación. Fabricado en China por MaxCore bajo la línea Economy, cada caja rinde 2,81 m2 y contiene 20 tablas de 150 mm por 935 mm.</v>
      </c>
    </row>
    <row r="173" ht="15.75" customHeight="1">
      <c r="A173" s="58">
        <v>24584.0</v>
      </c>
      <c r="B173" s="40"/>
      <c r="C173" s="32" t="s">
        <v>33</v>
      </c>
      <c r="D173" s="32" t="s">
        <v>34</v>
      </c>
      <c r="E173" s="32" t="s">
        <v>899</v>
      </c>
      <c r="F173" s="40" t="s">
        <v>900</v>
      </c>
      <c r="G173" s="40" t="s">
        <v>977</v>
      </c>
      <c r="H173" s="40" t="s">
        <v>50</v>
      </c>
      <c r="I173" s="40" t="s">
        <v>802</v>
      </c>
      <c r="J173" s="40">
        <v>47106.0</v>
      </c>
      <c r="K173" s="32" t="s">
        <v>961</v>
      </c>
      <c r="L173" s="40" t="s">
        <v>984</v>
      </c>
      <c r="M173" s="40" t="s">
        <v>169</v>
      </c>
      <c r="N173" s="40">
        <v>4.0</v>
      </c>
      <c r="O173" s="40" t="s">
        <v>42</v>
      </c>
      <c r="P173" s="40">
        <v>4.0</v>
      </c>
      <c r="Q173" s="32" t="s">
        <v>42</v>
      </c>
      <c r="R173" s="40">
        <v>0.3</v>
      </c>
      <c r="S173" s="40" t="s">
        <v>44</v>
      </c>
      <c r="T173" s="40">
        <v>20.0</v>
      </c>
      <c r="U173" s="40">
        <v>150.0</v>
      </c>
      <c r="V173" s="40" t="s">
        <v>42</v>
      </c>
      <c r="W173" s="40">
        <v>935.0</v>
      </c>
      <c r="X173" s="40" t="s">
        <v>42</v>
      </c>
      <c r="Y173" s="32">
        <v>2.81</v>
      </c>
      <c r="Z173" s="32" t="s">
        <v>46</v>
      </c>
      <c r="AA173" s="40" t="s">
        <v>44</v>
      </c>
      <c r="AB173" s="32">
        <v>15.2</v>
      </c>
      <c r="AC173" s="40" t="s">
        <v>61</v>
      </c>
      <c r="AD173" s="57">
        <f t="shared" si="1"/>
        <v>42.712</v>
      </c>
      <c r="AE173" s="32">
        <v>62.0</v>
      </c>
      <c r="AF173" s="32">
        <v>25.0</v>
      </c>
      <c r="AH173" s="32">
        <v>2860.57</v>
      </c>
      <c r="AN173"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Economy de la marca MaxCore, cad"&amp;"a caja rinde 2,81 m2 y contiene 20 tablas de 150 mm por 935 mm. Su diseño en color Roble Gris ofrece una estética moderna y resistente.")</f>
        <v>Este piso vinílico tipo SPC cuenta con un espesor total de 4 mm y una capa de uso de 0,3 mm, ideal para uso residencial. Presenta un sistema de colocación Click que facilita su instalación. Fabricado en China bajo la línea Economy de la marca MaxCore, cada caja rinde 2,81 m2 y contiene 20 tablas de 150 mm por 935 mm. Su diseño en color Roble Gris ofrece una estética moderna y resistente.</v>
      </c>
    </row>
    <row r="174" ht="15.75" customHeight="1">
      <c r="A174" s="58">
        <v>24588.0</v>
      </c>
      <c r="B174" s="40"/>
      <c r="C174" s="32" t="s">
        <v>33</v>
      </c>
      <c r="D174" s="32" t="s">
        <v>34</v>
      </c>
      <c r="E174" s="32" t="s">
        <v>899</v>
      </c>
      <c r="F174" s="40" t="s">
        <v>900</v>
      </c>
      <c r="G174" s="40" t="s">
        <v>977</v>
      </c>
      <c r="H174" s="40" t="s">
        <v>50</v>
      </c>
      <c r="I174" s="40" t="s">
        <v>1110</v>
      </c>
      <c r="J174" s="40">
        <v>281.0</v>
      </c>
      <c r="K174" s="32" t="s">
        <v>961</v>
      </c>
      <c r="L174" s="40" t="s">
        <v>60</v>
      </c>
      <c r="M174" s="40" t="s">
        <v>169</v>
      </c>
      <c r="N174" s="40">
        <v>4.0</v>
      </c>
      <c r="O174" s="40" t="s">
        <v>42</v>
      </c>
      <c r="P174" s="40">
        <v>4.0</v>
      </c>
      <c r="Q174" s="32" t="s">
        <v>42</v>
      </c>
      <c r="R174" s="40">
        <v>0.3</v>
      </c>
      <c r="S174" s="40" t="s">
        <v>44</v>
      </c>
      <c r="T174" s="40">
        <v>20.0</v>
      </c>
      <c r="U174" s="40">
        <v>150.0</v>
      </c>
      <c r="V174" s="40" t="s">
        <v>42</v>
      </c>
      <c r="W174" s="40">
        <v>935.0</v>
      </c>
      <c r="X174" s="40" t="s">
        <v>42</v>
      </c>
      <c r="Y174" s="32">
        <v>2.81</v>
      </c>
      <c r="Z174" s="32" t="s">
        <v>46</v>
      </c>
      <c r="AA174" s="40" t="s">
        <v>44</v>
      </c>
      <c r="AB174" s="32">
        <v>15.5</v>
      </c>
      <c r="AC174" s="40" t="s">
        <v>61</v>
      </c>
      <c r="AD174" s="57">
        <f t="shared" si="1"/>
        <v>43.555</v>
      </c>
      <c r="AE174" s="32">
        <v>62.0</v>
      </c>
      <c r="AF174" s="32">
        <v>25.0</v>
      </c>
      <c r="AH174" s="32">
        <v>946.96</v>
      </c>
      <c r="AN174"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de oferta, cada caja rinde 2,81 "&amp;"m2 y contiene 20 tablas de 150 mm por 935 mm.")</f>
        <v>Este piso vinílico tipo SPC cuenta con un espesor total de 4 mm y una capa de uso de 0,3 mm, ideal para uso residencial. Presenta un sistema de colocación Click que facilita su instalación. Fabricado en China bajo la línea de oferta, cada caja rinde 2,81 m2 y contiene 20 tablas de 150 mm por 935 mm.</v>
      </c>
    </row>
    <row r="175" ht="15.75" customHeight="1">
      <c r="A175" s="58">
        <v>21299.0</v>
      </c>
      <c r="B175" s="40"/>
      <c r="C175" s="32" t="s">
        <v>33</v>
      </c>
      <c r="D175" s="32" t="s">
        <v>34</v>
      </c>
      <c r="E175" s="32" t="s">
        <v>899</v>
      </c>
      <c r="F175" s="40" t="s">
        <v>900</v>
      </c>
      <c r="G175" s="40" t="s">
        <v>977</v>
      </c>
      <c r="H175" s="40" t="s">
        <v>50</v>
      </c>
      <c r="I175" s="40" t="s">
        <v>1111</v>
      </c>
      <c r="J175" s="40">
        <v>3003.0</v>
      </c>
      <c r="K175" s="32" t="s">
        <v>961</v>
      </c>
      <c r="L175" s="40" t="s">
        <v>1018</v>
      </c>
      <c r="M175" s="40" t="s">
        <v>169</v>
      </c>
      <c r="N175" s="40">
        <v>4.0</v>
      </c>
      <c r="O175" s="40" t="s">
        <v>42</v>
      </c>
      <c r="P175" s="40">
        <v>4.0</v>
      </c>
      <c r="Q175" s="32" t="s">
        <v>42</v>
      </c>
      <c r="R175" s="40">
        <v>0.3</v>
      </c>
      <c r="S175" s="40" t="s">
        <v>44</v>
      </c>
      <c r="T175" s="40">
        <v>12.0</v>
      </c>
      <c r="U175" s="40">
        <v>610.0</v>
      </c>
      <c r="V175" s="40" t="s">
        <v>42</v>
      </c>
      <c r="W175" s="40">
        <v>305.0</v>
      </c>
      <c r="X175" s="40" t="s">
        <v>42</v>
      </c>
      <c r="Y175" s="32">
        <v>2.24</v>
      </c>
      <c r="Z175" s="32" t="s">
        <v>46</v>
      </c>
      <c r="AA175" s="40" t="s">
        <v>44</v>
      </c>
      <c r="AB175" s="32">
        <v>17.85</v>
      </c>
      <c r="AC175" s="40" t="s">
        <v>47</v>
      </c>
      <c r="AD175" s="43">
        <f t="shared" si="1"/>
        <v>39.984</v>
      </c>
      <c r="AE175" s="32">
        <v>33.0</v>
      </c>
      <c r="AF175" s="32">
        <v>25.0</v>
      </c>
      <c r="AH175" s="32">
        <v>1176.32</v>
      </c>
      <c r="AN175"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aunque no incluye manto incorporado. Fabricado en China bajo la l"&amp;"ínea Tablet, cada caja rinde 2,24 m2 y contiene 12 tablas de 610 mm por 305 mm.")</f>
        <v>Este piso vinílico tipo spc cuenta con un espesor total de 4 mm y una capa de uso de 0,3 mm, ideal para uso Residencial. Presenta un sistema de colocación Click que facilita su instalación, aunque no incluye manto incorporado. Fabricado en China bajo la línea Tablet, cada caja rinde 2,24 m2 y contiene 12 tablas de 610 mm por 305 mm.</v>
      </c>
    </row>
    <row r="176" ht="15.75" customHeight="1">
      <c r="A176" s="58">
        <v>21297.0</v>
      </c>
      <c r="B176" s="40"/>
      <c r="C176" s="32" t="s">
        <v>33</v>
      </c>
      <c r="D176" s="32" t="s">
        <v>34</v>
      </c>
      <c r="E176" s="32" t="s">
        <v>899</v>
      </c>
      <c r="F176" s="40" t="s">
        <v>900</v>
      </c>
      <c r="G176" s="40" t="s">
        <v>977</v>
      </c>
      <c r="H176" s="40" t="s">
        <v>50</v>
      </c>
      <c r="I176" s="40" t="s">
        <v>1112</v>
      </c>
      <c r="J176" s="40">
        <v>3001.0</v>
      </c>
      <c r="K176" s="32" t="s">
        <v>961</v>
      </c>
      <c r="L176" s="40" t="s">
        <v>1018</v>
      </c>
      <c r="M176" s="40" t="s">
        <v>169</v>
      </c>
      <c r="N176" s="40">
        <v>4.0</v>
      </c>
      <c r="O176" s="40" t="s">
        <v>42</v>
      </c>
      <c r="P176" s="40">
        <v>4.0</v>
      </c>
      <c r="Q176" s="32" t="s">
        <v>42</v>
      </c>
      <c r="R176" s="40">
        <v>0.3</v>
      </c>
      <c r="S176" s="40" t="s">
        <v>44</v>
      </c>
      <c r="T176" s="40">
        <v>12.0</v>
      </c>
      <c r="U176" s="40">
        <v>610.0</v>
      </c>
      <c r="V176" s="40" t="s">
        <v>42</v>
      </c>
      <c r="W176" s="40">
        <v>305.0</v>
      </c>
      <c r="X176" s="40" t="s">
        <v>42</v>
      </c>
      <c r="Y176" s="32">
        <v>2.24</v>
      </c>
      <c r="Z176" s="32" t="s">
        <v>46</v>
      </c>
      <c r="AA176" s="40" t="s">
        <v>44</v>
      </c>
      <c r="AB176" s="32">
        <v>17.85</v>
      </c>
      <c r="AC176" s="40" t="s">
        <v>47</v>
      </c>
      <c r="AD176" s="43">
        <f t="shared" si="1"/>
        <v>39.984</v>
      </c>
      <c r="AE176" s="32">
        <v>33.0</v>
      </c>
      <c r="AF176" s="32">
        <v>25.0</v>
      </c>
      <c r="AH176" s="32">
        <v>2313.89</v>
      </c>
      <c r="AN176" s="43" t="str">
        <f>IFERROR(__xludf.DUMMYFUNCTION("AI(""Completa un valor adecuado para esta celda en función del contexto de la tabla"")"),"Este piso vinílico tipo SPC cuenta con un espesor total de 4 mm y una capa de uso de 0,3 mm, lo que lo hace apto para uso residencial. Presenta un sistema de colocación Click que facilita su instalación. Fabricado en China bajo la línea Tablet de la marca"&amp;" MaxCore, cada caja rinde 2,24 m2 y contiene 12 tablas de 610 mm por 305 mm.")</f>
        <v>Este piso vinílico tipo SPC cuenta con un espesor total de 4 mm y una capa de uso de 0,3 mm, lo que lo hace apto para uso residencial. Presenta un sistema de colocación Click que facilita su instalación. Fabricado en China bajo la línea Tablet de la marca MaxCore, cada caja rinde 2,24 m2 y contiene 12 tablas de 610 mm por 305 mm.</v>
      </c>
    </row>
    <row r="177" ht="15.75" customHeight="1">
      <c r="A177" s="58">
        <v>20712.0</v>
      </c>
      <c r="B177" s="40"/>
      <c r="C177" s="32" t="s">
        <v>33</v>
      </c>
      <c r="D177" s="32" t="s">
        <v>34</v>
      </c>
      <c r="E177" s="32" t="s">
        <v>899</v>
      </c>
      <c r="F177" s="40" t="s">
        <v>900</v>
      </c>
      <c r="G177" s="40" t="s">
        <v>977</v>
      </c>
      <c r="H177" s="40" t="s">
        <v>50</v>
      </c>
      <c r="I177" s="40" t="s">
        <v>1113</v>
      </c>
      <c r="J177" s="40">
        <v>8010.0</v>
      </c>
      <c r="K177" s="32" t="s">
        <v>961</v>
      </c>
      <c r="L177" s="40" t="s">
        <v>989</v>
      </c>
      <c r="M177" s="40" t="s">
        <v>169</v>
      </c>
      <c r="N177" s="40">
        <v>4.0</v>
      </c>
      <c r="O177" s="40" t="s">
        <v>42</v>
      </c>
      <c r="P177" s="40">
        <v>4.0</v>
      </c>
      <c r="Q177" s="32" t="s">
        <v>42</v>
      </c>
      <c r="R177" s="40">
        <v>0.3</v>
      </c>
      <c r="S177" s="40" t="s">
        <v>44</v>
      </c>
      <c r="T177" s="40">
        <v>12.0</v>
      </c>
      <c r="U177" s="40">
        <v>180.0</v>
      </c>
      <c r="V177" s="40" t="s">
        <v>42</v>
      </c>
      <c r="W177" s="40">
        <v>1220.0</v>
      </c>
      <c r="X177" s="40" t="s">
        <v>42</v>
      </c>
      <c r="Y177" s="32">
        <v>2.64</v>
      </c>
      <c r="Z177" s="32" t="s">
        <v>46</v>
      </c>
      <c r="AA177" s="40" t="s">
        <v>44</v>
      </c>
      <c r="AB177" s="32">
        <v>17.9</v>
      </c>
      <c r="AC177" s="40" t="s">
        <v>61</v>
      </c>
      <c r="AD177" s="57">
        <f t="shared" si="1"/>
        <v>47.256</v>
      </c>
      <c r="AF177" s="32">
        <v>25.0</v>
      </c>
      <c r="AH177" s="32">
        <v>1721.29</v>
      </c>
      <c r="AN177"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sin manto incorporado. Fabricado en China bajo la línea Home de l"&amp;"a marca MaxCore, cada caja rinde 2,64 m2 y contiene 12 tablas de 180 mm por 1220 mm.")</f>
        <v>Este piso vinílico tipo SPC cuenta con un espesor total de 4 mm y una capa de uso de 0,3 mm, ideal para uso residencial. Presenta un sistema de colocación Click que facilita su instalación, sin manto incorporado. Fabricado en China bajo la línea Home de la marca MaxCore, cada caja rinde 2,64 m2 y contiene 12 tablas de 180 mm por 1220 mm.</v>
      </c>
    </row>
    <row r="178" ht="15.75" customHeight="1">
      <c r="A178" s="58">
        <v>20230.0</v>
      </c>
      <c r="B178" s="40"/>
      <c r="C178" s="32" t="s">
        <v>33</v>
      </c>
      <c r="D178" s="32" t="s">
        <v>34</v>
      </c>
      <c r="E178" s="32" t="s">
        <v>899</v>
      </c>
      <c r="F178" s="40" t="s">
        <v>900</v>
      </c>
      <c r="G178" s="40" t="s">
        <v>977</v>
      </c>
      <c r="H178" s="40" t="s">
        <v>50</v>
      </c>
      <c r="I178" s="40" t="s">
        <v>963</v>
      </c>
      <c r="J178" s="40">
        <v>8881.0</v>
      </c>
      <c r="K178" s="32" t="s">
        <v>961</v>
      </c>
      <c r="L178" s="40" t="s">
        <v>989</v>
      </c>
      <c r="M178" s="40" t="s">
        <v>169</v>
      </c>
      <c r="N178" s="40">
        <v>4.0</v>
      </c>
      <c r="O178" s="40" t="s">
        <v>42</v>
      </c>
      <c r="P178" s="40">
        <v>4.0</v>
      </c>
      <c r="Q178" s="32" t="s">
        <v>42</v>
      </c>
      <c r="R178" s="40">
        <v>0.3</v>
      </c>
      <c r="S178" s="40" t="s">
        <v>44</v>
      </c>
      <c r="T178" s="40">
        <v>12.0</v>
      </c>
      <c r="U178" s="40">
        <v>180.0</v>
      </c>
      <c r="V178" s="40" t="s">
        <v>42</v>
      </c>
      <c r="W178" s="40">
        <v>1220.0</v>
      </c>
      <c r="X178" s="40" t="s">
        <v>42</v>
      </c>
      <c r="Y178" s="32">
        <v>2.64</v>
      </c>
      <c r="Z178" s="32" t="s">
        <v>46</v>
      </c>
      <c r="AA178" s="40" t="s">
        <v>44</v>
      </c>
      <c r="AB178" s="32">
        <v>17.9</v>
      </c>
      <c r="AC178" s="40" t="s">
        <v>61</v>
      </c>
      <c r="AD178" s="57">
        <f t="shared" si="1"/>
        <v>47.256</v>
      </c>
      <c r="AF178" s="32">
        <v>25.0</v>
      </c>
      <c r="AH178" s="32">
        <v>3313.2</v>
      </c>
      <c r="AN178" s="43" t="str">
        <f>IFERROR(__xludf.DUMMYFUNCTION("AI(""Completa un valor adecuado para esta celda en función del contexto de la tabla"")"),"Este piso vinílico tipo SPC cuenta con un espesor total de 4 mm y una capa de uso de 0,3 mm, ideal para uso residencial. Presenta un sistema de colocación Click que facilita su instalación. Fabricado en China bajo la línea Home de MaxCore, cada caja rinde"&amp;" 2,64 m2 y contiene 12 tablas de 180 mm por 1220 mm.")</f>
        <v>Este piso vinílico tipo SPC cuenta con un espesor total de 4 mm y una capa de uso de 0,3 mm, ideal para uso residencial. Presenta un sistema de colocación Click que facilita su instalación. Fabricado en China bajo la línea Home de MaxCore, cada caja rinde 2,64 m2 y contiene 12 tablas de 180 mm por 1220 mm.</v>
      </c>
    </row>
    <row r="179" ht="15.75" customHeight="1">
      <c r="A179" s="58">
        <v>21686.0</v>
      </c>
      <c r="B179" s="40"/>
      <c r="C179" s="32" t="s">
        <v>33</v>
      </c>
      <c r="D179" s="32" t="s">
        <v>34</v>
      </c>
      <c r="E179" s="32" t="s">
        <v>899</v>
      </c>
      <c r="F179" s="40" t="s">
        <v>900</v>
      </c>
      <c r="G179" s="40" t="s">
        <v>977</v>
      </c>
      <c r="H179" s="40" t="s">
        <v>50</v>
      </c>
      <c r="I179" s="40" t="s">
        <v>1114</v>
      </c>
      <c r="J179" s="40">
        <v>2211.0</v>
      </c>
      <c r="K179" s="32" t="s">
        <v>961</v>
      </c>
      <c r="L179" s="40" t="s">
        <v>987</v>
      </c>
      <c r="M179" s="40" t="s">
        <v>54</v>
      </c>
      <c r="N179" s="40">
        <v>4.0</v>
      </c>
      <c r="O179" s="40" t="s">
        <v>42</v>
      </c>
      <c r="P179" s="40">
        <v>4.0</v>
      </c>
      <c r="Q179" s="32" t="s">
        <v>42</v>
      </c>
      <c r="R179" s="40">
        <v>0.5</v>
      </c>
      <c r="S179" s="40" t="s">
        <v>44</v>
      </c>
      <c r="T179" s="40">
        <v>12.0</v>
      </c>
      <c r="U179" s="40">
        <v>180.0</v>
      </c>
      <c r="V179" s="40" t="s">
        <v>42</v>
      </c>
      <c r="W179" s="40">
        <v>1220.0</v>
      </c>
      <c r="X179" s="40" t="s">
        <v>42</v>
      </c>
      <c r="Y179" s="32">
        <v>2.64</v>
      </c>
      <c r="Z179" s="32" t="s">
        <v>46</v>
      </c>
      <c r="AA179" s="40" t="s">
        <v>44</v>
      </c>
      <c r="AB179" s="32">
        <v>18.0</v>
      </c>
      <c r="AC179" s="40" t="s">
        <v>61</v>
      </c>
      <c r="AD179" s="57">
        <f t="shared" si="1"/>
        <v>47.52</v>
      </c>
      <c r="AE179" s="32">
        <v>55.0</v>
      </c>
      <c r="AF179" s="32">
        <v>25.0</v>
      </c>
      <c r="AH179" s="32">
        <v>1356.93</v>
      </c>
      <c r="AN179" s="43" t="str">
        <f>IFERROR(__xludf.DUMMYFUNCTION("AI(""Completa un valor adecuado para esta celda en función del contexto de la tabla"")"),"Este piso vinílico tipo SPC cuenta con un espesor total de 4 mm y una capa de uso de 0,5 mm, ideal para uso comercial. Presenta un sistema de colocación Click que facilita su instalación. Fabricado en China bajo la línea Traffic, cada caja rinde 2,64 m2 y"&amp;" contiene 12 tablas de 180 mm por 1220 mm.")</f>
        <v>Este piso vinílico tipo SPC cuenta con un espesor total de 4 mm y una capa de uso de 0,5 mm, ideal para uso comercial. Presenta un sistema de colocación Click que facilita su instalación. Fabricado en China bajo la línea Traffic, cada caja rinde 2,64 m2 y contiene 12 tablas de 180 mm por 1220 mm.</v>
      </c>
    </row>
    <row r="180" ht="15.75" customHeight="1">
      <c r="A180" s="58">
        <v>20314.0</v>
      </c>
      <c r="B180" s="40"/>
      <c r="C180" s="32" t="s">
        <v>33</v>
      </c>
      <c r="D180" s="32" t="s">
        <v>34</v>
      </c>
      <c r="E180" s="32" t="s">
        <v>899</v>
      </c>
      <c r="F180" s="40" t="s">
        <v>900</v>
      </c>
      <c r="G180" s="40" t="s">
        <v>977</v>
      </c>
      <c r="H180" s="40" t="s">
        <v>50</v>
      </c>
      <c r="I180" s="40" t="s">
        <v>1115</v>
      </c>
      <c r="J180" s="40">
        <v>6002.0</v>
      </c>
      <c r="K180" s="32" t="s">
        <v>961</v>
      </c>
      <c r="L180" s="40" t="s">
        <v>1065</v>
      </c>
      <c r="M180" s="40" t="s">
        <v>54</v>
      </c>
      <c r="N180" s="40">
        <v>5.5</v>
      </c>
      <c r="O180" s="40" t="s">
        <v>42</v>
      </c>
      <c r="P180" s="40" t="s">
        <v>915</v>
      </c>
      <c r="Q180" s="32" t="s">
        <v>42</v>
      </c>
      <c r="R180" s="40">
        <v>0.5</v>
      </c>
      <c r="S180" s="40" t="s">
        <v>45</v>
      </c>
      <c r="T180" s="40">
        <v>8.0</v>
      </c>
      <c r="U180" s="40">
        <v>230.0</v>
      </c>
      <c r="V180" s="40" t="s">
        <v>42</v>
      </c>
      <c r="W180" s="40">
        <v>1540.0</v>
      </c>
      <c r="X180" s="40" t="s">
        <v>42</v>
      </c>
      <c r="Y180" s="32">
        <v>2.74</v>
      </c>
      <c r="Z180" s="32" t="s">
        <v>46</v>
      </c>
      <c r="AA180" s="40" t="s">
        <v>45</v>
      </c>
      <c r="AB180" s="32">
        <v>18.15</v>
      </c>
      <c r="AC180" s="33"/>
      <c r="AD180" s="57">
        <f t="shared" si="1"/>
        <v>49.731</v>
      </c>
      <c r="AF180" s="32">
        <v>25.0</v>
      </c>
      <c r="AH180" s="32">
        <v>640.84</v>
      </c>
      <c r="AN180" s="43" t="str">
        <f>IFERROR(__xludf.DUMMYFUNCTION("AI(""Completa un valor adecuado para esta celda en función del contexto de la tabla"")"),"Este piso vinílico tipo SPC cuenta con un espesor total de 5,5 mm y una capa de uso de 0,5 mm, ideal para uso comercial. Presenta un sistema de colocación Click que facilita su instalación, además de incluir un manto incorporado y bisel para mayor realism"&amp;"o y confort. Fabricado en China bajo la línea Pino, cada caja rinde 2,74 m2 y contiene 8 tablas de 230 mm por 1540 mm.")</f>
        <v>Este piso vinílico tipo SPC cuenta con un espesor total de 5,5 mm y una capa de uso de 0,5 mm, ideal para uso comercial. Presenta un sistema de colocación Click que facilita su instalación, además de incluir un manto incorporado y bisel para mayor realismo y confort. Fabricado en China bajo la línea Pino, cada caja rinde 2,74 m2 y contiene 8 tablas de 230 mm por 1540 mm.</v>
      </c>
    </row>
    <row r="181" ht="15.75" customHeight="1">
      <c r="A181" s="58">
        <v>23057.0</v>
      </c>
      <c r="B181" s="40"/>
      <c r="C181" s="32" t="s">
        <v>33</v>
      </c>
      <c r="D181" s="32" t="s">
        <v>34</v>
      </c>
      <c r="E181" s="32" t="s">
        <v>899</v>
      </c>
      <c r="F181" s="40" t="s">
        <v>900</v>
      </c>
      <c r="G181" s="40" t="s">
        <v>977</v>
      </c>
      <c r="H181" s="40" t="s">
        <v>50</v>
      </c>
      <c r="I181" s="40">
        <v>22406.0</v>
      </c>
      <c r="J181" s="40">
        <v>22406.0</v>
      </c>
      <c r="K181" s="32" t="s">
        <v>961</v>
      </c>
      <c r="L181" s="40" t="s">
        <v>60</v>
      </c>
      <c r="M181" s="40" t="s">
        <v>54</v>
      </c>
      <c r="N181" s="40">
        <v>5.0</v>
      </c>
      <c r="O181" s="40" t="s">
        <v>42</v>
      </c>
      <c r="P181" s="40" t="s">
        <v>904</v>
      </c>
      <c r="Q181" s="32" t="s">
        <v>42</v>
      </c>
      <c r="R181" s="40">
        <v>0.5</v>
      </c>
      <c r="S181" s="40" t="s">
        <v>45</v>
      </c>
      <c r="T181" s="40">
        <v>16.0</v>
      </c>
      <c r="U181" s="40">
        <v>127.0</v>
      </c>
      <c r="V181" s="40" t="s">
        <v>42</v>
      </c>
      <c r="W181" s="40">
        <v>1220.0</v>
      </c>
      <c r="X181" s="40" t="s">
        <v>42</v>
      </c>
      <c r="Y181" s="32">
        <v>2.48</v>
      </c>
      <c r="Z181" s="32" t="s">
        <v>46</v>
      </c>
      <c r="AA181" s="40" t="s">
        <v>45</v>
      </c>
      <c r="AB181" s="32">
        <v>18.65</v>
      </c>
      <c r="AC181" s="40" t="s">
        <v>61</v>
      </c>
      <c r="AD181" s="57">
        <f t="shared" si="1"/>
        <v>46.252</v>
      </c>
      <c r="AF181" s="32">
        <v>25.0</v>
      </c>
      <c r="AH181" s="32">
        <v>3995.28</v>
      </c>
      <c r="AN181" s="43"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y contar "&amp;"con bisel. Fabricado en China bajo la línea de oferta, cada caja rinde 2,48 m2 y contiene 16 tablas de 127 mm por 1220 mm.")</f>
        <v>Este piso vinílico tipo SPC cuenta con un espesor total de 5 mm y una capa de uso de 0,5 mm, ideal para uso comercial. Presenta un sistema de colocación Click que facilita su instalación, además de incluir un manto incorporado para mayor confort y contar con bisel. Fabricado en China bajo la línea de oferta, cada caja rinde 2,48 m2 y contiene 16 tablas de 127 mm por 1220 mm.</v>
      </c>
    </row>
    <row r="182" ht="15.75" customHeight="1">
      <c r="A182" s="58">
        <v>25040.0</v>
      </c>
      <c r="B182" s="40"/>
      <c r="C182" s="32" t="s">
        <v>33</v>
      </c>
      <c r="D182" s="32" t="s">
        <v>34</v>
      </c>
      <c r="E182" s="32" t="s">
        <v>899</v>
      </c>
      <c r="F182" s="40" t="s">
        <v>900</v>
      </c>
      <c r="G182" s="40" t="s">
        <v>977</v>
      </c>
      <c r="H182" s="40" t="s">
        <v>50</v>
      </c>
      <c r="I182" s="40" t="s">
        <v>1086</v>
      </c>
      <c r="J182" s="40">
        <v>6612.0</v>
      </c>
      <c r="K182" s="32" t="s">
        <v>982</v>
      </c>
      <c r="L182" s="40" t="s">
        <v>1025</v>
      </c>
      <c r="M182" s="40" t="s">
        <v>54</v>
      </c>
      <c r="N182" s="40">
        <v>5.0</v>
      </c>
      <c r="O182" s="40" t="s">
        <v>42</v>
      </c>
      <c r="P182" s="40" t="s">
        <v>904</v>
      </c>
      <c r="Q182" s="32" t="s">
        <v>42</v>
      </c>
      <c r="R182" s="40">
        <v>0.5</v>
      </c>
      <c r="S182" s="40" t="s">
        <v>45</v>
      </c>
      <c r="T182" s="40">
        <v>16.0</v>
      </c>
      <c r="U182" s="40">
        <v>127.0</v>
      </c>
      <c r="V182" s="40" t="s">
        <v>42</v>
      </c>
      <c r="W182" s="40">
        <v>1220.0</v>
      </c>
      <c r="X182" s="40" t="s">
        <v>42</v>
      </c>
      <c r="Y182" s="32">
        <v>2.48</v>
      </c>
      <c r="Z182" s="32" t="s">
        <v>46</v>
      </c>
      <c r="AA182" s="40" t="s">
        <v>45</v>
      </c>
      <c r="AB182" s="32">
        <v>18.65</v>
      </c>
      <c r="AC182" s="40" t="s">
        <v>61</v>
      </c>
      <c r="AD182" s="57">
        <f t="shared" si="1"/>
        <v>46.252</v>
      </c>
      <c r="AF182" s="32">
        <v>25.0</v>
      </c>
      <c r="AH182" s="32">
        <v>1297.04</v>
      </c>
      <c r="AN182" s="43"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Narrow, cada caja rinde 2,48 m2 y contiene 16 tablas de 127 mm por 1220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Narrow, cada caja rinde 2,48 m2 y contiene 16 tablas de 127 mm por 1220 mm.</v>
      </c>
    </row>
    <row r="183" ht="15.75" customHeight="1">
      <c r="A183" s="58">
        <v>23079.0</v>
      </c>
      <c r="B183" s="40"/>
      <c r="C183" s="32" t="s">
        <v>33</v>
      </c>
      <c r="D183" s="32" t="s">
        <v>34</v>
      </c>
      <c r="E183" s="32" t="s">
        <v>899</v>
      </c>
      <c r="F183" s="40" t="s">
        <v>900</v>
      </c>
      <c r="G183" s="40" t="s">
        <v>977</v>
      </c>
      <c r="H183" s="40" t="s">
        <v>50</v>
      </c>
      <c r="I183" s="40">
        <v>44136.0</v>
      </c>
      <c r="J183" s="40">
        <v>44136.0</v>
      </c>
      <c r="K183" s="32" t="s">
        <v>961</v>
      </c>
      <c r="L183" s="40" t="s">
        <v>60</v>
      </c>
      <c r="M183" s="40" t="s">
        <v>54</v>
      </c>
      <c r="N183" s="40">
        <v>5.0</v>
      </c>
      <c r="O183" s="40" t="s">
        <v>42</v>
      </c>
      <c r="P183" s="40" t="s">
        <v>904</v>
      </c>
      <c r="Q183" s="32" t="s">
        <v>42</v>
      </c>
      <c r="R183" s="40">
        <v>0.5</v>
      </c>
      <c r="S183" s="40" t="s">
        <v>45</v>
      </c>
      <c r="T183" s="40">
        <v>16.0</v>
      </c>
      <c r="U183" s="40">
        <v>127.0</v>
      </c>
      <c r="V183" s="40" t="s">
        <v>42</v>
      </c>
      <c r="W183" s="40">
        <v>1220.0</v>
      </c>
      <c r="X183" s="40" t="s">
        <v>42</v>
      </c>
      <c r="Y183" s="32">
        <v>2.48</v>
      </c>
      <c r="Z183" s="32" t="s">
        <v>46</v>
      </c>
      <c r="AA183" s="40" t="s">
        <v>45</v>
      </c>
      <c r="AB183" s="32">
        <v>18.65</v>
      </c>
      <c r="AC183" s="40" t="s">
        <v>61</v>
      </c>
      <c r="AD183" s="57">
        <f t="shared" si="1"/>
        <v>46.252</v>
      </c>
      <c r="AF183" s="32">
        <v>25.0</v>
      </c>
      <c r="AH183" s="32">
        <v>5695.53</v>
      </c>
      <c r="AN183" s="43" t="str">
        <f>IFERROR(__xludf.DUMMYFUNCTION("AI(""Completa un valor adecuado para esta celda en función del contexto de la tabla"")"),"Este piso vinílico tipo SPC cuenta con un espesor total de 5 mm y una capa de uso de 0,5 mm, diseñado para uso comercial. Presenta un sistema de colocación Click con bisel que facilita su instalación, además de incluir un manto incorporado para mayor conf"&amp;"ort. Fabricado en China bajo la línea de oferta de MaxCore, cada caja rinde 2,48 m2 y contiene 16 tablas de 127 mm por 1220 mm.")</f>
        <v>Este piso vinílico tipo SPC cuenta con un espesor total de 5 mm y una capa de uso de 0,5 mm, diseñado para uso comercial. Presenta un sistema de colocación Click con bisel que facilita su instalación, además de incluir un manto incorporado para mayor confort. Fabricado en China bajo la línea de oferta de MaxCore, cada caja rinde 2,48 m2 y contiene 16 tablas de 127 mm por 1220 mm.</v>
      </c>
    </row>
    <row r="184" ht="15.75" customHeight="1">
      <c r="A184" s="58">
        <v>25039.0</v>
      </c>
      <c r="B184" s="40"/>
      <c r="C184" s="32" t="s">
        <v>33</v>
      </c>
      <c r="D184" s="32" t="s">
        <v>34</v>
      </c>
      <c r="E184" s="32" t="s">
        <v>899</v>
      </c>
      <c r="F184" s="40" t="s">
        <v>900</v>
      </c>
      <c r="G184" s="40" t="s">
        <v>977</v>
      </c>
      <c r="H184" s="40" t="s">
        <v>50</v>
      </c>
      <c r="I184" s="40" t="s">
        <v>1084</v>
      </c>
      <c r="J184" s="40">
        <v>2321.0</v>
      </c>
      <c r="K184" s="32" t="s">
        <v>982</v>
      </c>
      <c r="L184" s="40" t="s">
        <v>1025</v>
      </c>
      <c r="M184" s="40" t="s">
        <v>54</v>
      </c>
      <c r="N184" s="40">
        <v>5.0</v>
      </c>
      <c r="O184" s="40" t="s">
        <v>42</v>
      </c>
      <c r="P184" s="40" t="s">
        <v>904</v>
      </c>
      <c r="Q184" s="32" t="s">
        <v>42</v>
      </c>
      <c r="R184" s="40">
        <v>0.5</v>
      </c>
      <c r="S184" s="40" t="s">
        <v>45</v>
      </c>
      <c r="T184" s="40">
        <v>16.0</v>
      </c>
      <c r="U184" s="40">
        <v>127.0</v>
      </c>
      <c r="V184" s="40" t="s">
        <v>42</v>
      </c>
      <c r="W184" s="40">
        <v>1220.0</v>
      </c>
      <c r="X184" s="40" t="s">
        <v>42</v>
      </c>
      <c r="Y184" s="32">
        <v>2.48</v>
      </c>
      <c r="Z184" s="32" t="s">
        <v>46</v>
      </c>
      <c r="AA184" s="40" t="s">
        <v>45</v>
      </c>
      <c r="AB184" s="32">
        <v>18.65</v>
      </c>
      <c r="AC184" s="40" t="s">
        <v>61</v>
      </c>
      <c r="AD184" s="57">
        <f t="shared" si="1"/>
        <v>46.252</v>
      </c>
      <c r="AF184" s="32">
        <v>25.0</v>
      </c>
      <c r="AH184" s="32">
        <v>2653.6</v>
      </c>
      <c r="AN184" s="43"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y bisel. "&amp;"Fabricado en China bajo la marca Aquablue y línea Narrow, cada caja rinde 2,48 m2 y contiene 16 tablas de 127 mm por 1220 mm.")</f>
        <v>Este piso vinílico tipo SPC cuenta con un espesor total de 5 mm y una capa de uso de 0,5 mm, ideal para uso comercial. Presenta un sistema de colocación Click que facilita su instalación, además de incluir un manto incorporado para mayor confort y bisel. Fabricado en China bajo la marca Aquablue y línea Narrow, cada caja rinde 2,48 m2 y contiene 16 tablas de 127 mm por 1220 mm.</v>
      </c>
    </row>
    <row r="185" ht="15.75" customHeight="1">
      <c r="A185" s="58">
        <v>23058.0</v>
      </c>
      <c r="B185" s="40"/>
      <c r="C185" s="32" t="s">
        <v>33</v>
      </c>
      <c r="D185" s="32" t="s">
        <v>34</v>
      </c>
      <c r="E185" s="32" t="s">
        <v>899</v>
      </c>
      <c r="F185" s="40" t="s">
        <v>900</v>
      </c>
      <c r="G185" s="40" t="s">
        <v>977</v>
      </c>
      <c r="H185" s="40" t="s">
        <v>50</v>
      </c>
      <c r="I185" s="40">
        <v>22409.0</v>
      </c>
      <c r="J185" s="40">
        <v>22409.0</v>
      </c>
      <c r="K185" s="32" t="s">
        <v>961</v>
      </c>
      <c r="L185" s="40" t="s">
        <v>60</v>
      </c>
      <c r="M185" s="40" t="s">
        <v>54</v>
      </c>
      <c r="N185" s="40">
        <v>5.0</v>
      </c>
      <c r="O185" s="40" t="s">
        <v>42</v>
      </c>
      <c r="P185" s="40" t="s">
        <v>904</v>
      </c>
      <c r="Q185" s="32" t="s">
        <v>42</v>
      </c>
      <c r="R185" s="40">
        <v>0.5</v>
      </c>
      <c r="S185" s="40" t="s">
        <v>45</v>
      </c>
      <c r="T185" s="40">
        <v>16.0</v>
      </c>
      <c r="U185" s="40">
        <v>127.0</v>
      </c>
      <c r="V185" s="40" t="s">
        <v>42</v>
      </c>
      <c r="W185" s="40">
        <v>1220.0</v>
      </c>
      <c r="X185" s="40" t="s">
        <v>42</v>
      </c>
      <c r="Y185" s="32">
        <v>2.48</v>
      </c>
      <c r="Z185" s="32" t="s">
        <v>46</v>
      </c>
      <c r="AA185" s="40" t="s">
        <v>45</v>
      </c>
      <c r="AB185" s="32">
        <v>18.65</v>
      </c>
      <c r="AC185" s="40" t="s">
        <v>61</v>
      </c>
      <c r="AD185" s="57">
        <f t="shared" si="1"/>
        <v>46.252</v>
      </c>
      <c r="AF185" s="32">
        <v>25.0</v>
      </c>
      <c r="AH185" s="32">
        <v>5121.19</v>
      </c>
      <c r="AN185" s="43" t="str">
        <f>IFERROR(__xludf.DUMMYFUNCTION("AI(""Completa un valor adecuado para esta celda en función del contexto de la tabla"")"),"Este piso vinílico tipo SPC cuenta con un espesor total de 5 mm y una capa de uso de 0,5 mm, lo que lo hace apto para uso comercial. Presenta un sistema de colocación Click que facilita su instalación, además de incluir un manto incorporado para mayor con"&amp;"fort y bisel para una mejor terminación estética. Fabricado en China bajo la línea de oferta de MaxCore, cada caja rinde 2,48 m2 y contiene 16 tablas de 127 mm por 1220 mm.")</f>
        <v>Este piso vinílico tipo SPC cuenta con un espesor total de 5 mm y una capa de uso de 0,5 mm, lo que lo hace apto para uso comercial. Presenta un sistema de colocación Click que facilita su instalación, además de incluir un manto incorporado para mayor confort y bisel para una mejor terminación estética. Fabricado en China bajo la línea de oferta de MaxCore, cada caja rinde 2,48 m2 y contiene 16 tablas de 127 mm por 1220 mm.</v>
      </c>
    </row>
    <row r="186" ht="15.75" customHeight="1">
      <c r="A186" s="58">
        <v>25041.0</v>
      </c>
      <c r="B186" s="40"/>
      <c r="C186" s="32" t="s">
        <v>33</v>
      </c>
      <c r="D186" s="32" t="s">
        <v>34</v>
      </c>
      <c r="E186" s="32" t="s">
        <v>899</v>
      </c>
      <c r="F186" s="40" t="s">
        <v>900</v>
      </c>
      <c r="G186" s="40" t="s">
        <v>977</v>
      </c>
      <c r="H186" s="40" t="s">
        <v>50</v>
      </c>
      <c r="I186" s="40" t="s">
        <v>1116</v>
      </c>
      <c r="J186" s="40">
        <v>2305.0</v>
      </c>
      <c r="K186" s="32" t="s">
        <v>982</v>
      </c>
      <c r="L186" s="40" t="s">
        <v>1025</v>
      </c>
      <c r="M186" s="40" t="s">
        <v>54</v>
      </c>
      <c r="N186" s="40">
        <v>5.0</v>
      </c>
      <c r="O186" s="40" t="s">
        <v>42</v>
      </c>
      <c r="P186" s="40" t="s">
        <v>904</v>
      </c>
      <c r="Q186" s="32" t="s">
        <v>42</v>
      </c>
      <c r="R186" s="40">
        <v>0.5</v>
      </c>
      <c r="S186" s="40" t="s">
        <v>45</v>
      </c>
      <c r="T186" s="40">
        <v>16.0</v>
      </c>
      <c r="U186" s="40">
        <v>127.0</v>
      </c>
      <c r="V186" s="40" t="s">
        <v>42</v>
      </c>
      <c r="W186" s="40">
        <v>1220.0</v>
      </c>
      <c r="X186" s="40" t="s">
        <v>42</v>
      </c>
      <c r="Y186" s="32">
        <v>2.48</v>
      </c>
      <c r="Z186" s="32" t="s">
        <v>46</v>
      </c>
      <c r="AA186" s="40" t="s">
        <v>45</v>
      </c>
      <c r="AB186" s="32">
        <v>18.65</v>
      </c>
      <c r="AC186" s="40" t="s">
        <v>61</v>
      </c>
      <c r="AD186" s="57">
        <f t="shared" si="1"/>
        <v>46.252</v>
      </c>
      <c r="AF186" s="32">
        <v>25.0</v>
      </c>
      <c r="AH186" s="32">
        <v>1314.4</v>
      </c>
      <c r="AN186" s="43"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Narrow, cada caja rinde 2,48 m2 y contiene 16 tablas de 127 mm por 1220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Narrow, cada caja rinde 2,48 m2 y contiene 16 tablas de 127 mm por 1220 mm.</v>
      </c>
    </row>
    <row r="187" ht="15.75" customHeight="1">
      <c r="A187" s="40">
        <v>23056.0</v>
      </c>
      <c r="B187" s="40"/>
      <c r="C187" s="32" t="s">
        <v>33</v>
      </c>
      <c r="D187" s="32" t="s">
        <v>34</v>
      </c>
      <c r="E187" s="32" t="s">
        <v>899</v>
      </c>
      <c r="F187" s="40" t="s">
        <v>900</v>
      </c>
      <c r="G187" s="40" t="s">
        <v>977</v>
      </c>
      <c r="H187" s="40" t="s">
        <v>50</v>
      </c>
      <c r="I187" s="40">
        <v>43114.0</v>
      </c>
      <c r="J187" s="40">
        <v>43114.0</v>
      </c>
      <c r="K187" s="32" t="s">
        <v>961</v>
      </c>
      <c r="L187" s="40" t="s">
        <v>60</v>
      </c>
      <c r="M187" s="40" t="s">
        <v>54</v>
      </c>
      <c r="N187" s="40">
        <v>5.0</v>
      </c>
      <c r="O187" s="40" t="s">
        <v>42</v>
      </c>
      <c r="P187" s="40" t="s">
        <v>904</v>
      </c>
      <c r="Q187" s="32" t="s">
        <v>42</v>
      </c>
      <c r="R187" s="40">
        <v>0.5</v>
      </c>
      <c r="S187" s="40" t="s">
        <v>45</v>
      </c>
      <c r="T187" s="40">
        <v>16.0</v>
      </c>
      <c r="U187" s="40">
        <v>127.0</v>
      </c>
      <c r="V187" s="40" t="s">
        <v>42</v>
      </c>
      <c r="W187" s="40">
        <v>1220.0</v>
      </c>
      <c r="X187" s="40" t="s">
        <v>42</v>
      </c>
      <c r="Y187" s="32">
        <v>2.48</v>
      </c>
      <c r="Z187" s="32" t="s">
        <v>46</v>
      </c>
      <c r="AA187" s="40" t="s">
        <v>45</v>
      </c>
      <c r="AB187" s="32">
        <v>18.65</v>
      </c>
      <c r="AC187" s="40" t="s">
        <v>61</v>
      </c>
      <c r="AD187" s="57">
        <f t="shared" si="1"/>
        <v>46.252</v>
      </c>
      <c r="AF187" s="32">
        <v>25.0</v>
      </c>
      <c r="AH187" s="32">
        <v>6871.38</v>
      </c>
      <c r="AN187" s="43" t="str">
        <f>IFERROR(__xludf.DUMMYFUNCTION("AI(""Completa un valor adecuado para esta celda en función del contexto de la tabla"")"),"Este piso vinílico tipo SPC cuenta con un espesor total de 5 mm y una capa de uso de 0,5 mm, ideal para uso comercial. Presenta un sistema de colocación Click que facilita su instalación, además de incluir un manto incorporado para mayor confort. Fabricad"&amp;"o en China bajo la línea de oferta, cada caja rinde 2,48 m2 y contiene 16 tablas de 127 mm por 1220 mm.")</f>
        <v>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de oferta, cada caja rinde 2,48 m2 y contiene 16 tablas de 127 mm por 1220 mm.</v>
      </c>
    </row>
    <row r="188" ht="15.75" customHeight="1">
      <c r="A188" s="33"/>
      <c r="B188" s="33"/>
      <c r="F188" s="33"/>
      <c r="G188" s="33"/>
      <c r="H188" s="33"/>
      <c r="I188" s="33"/>
      <c r="J188" s="33"/>
      <c r="L188" s="33"/>
      <c r="M188" s="33"/>
      <c r="N188" s="33"/>
      <c r="O188" s="33"/>
      <c r="P188" s="33"/>
      <c r="R188" s="33"/>
      <c r="S188" s="33"/>
      <c r="T188" s="33"/>
      <c r="U188" s="33"/>
      <c r="V188" s="33"/>
      <c r="W188" s="33"/>
      <c r="X188" s="33"/>
      <c r="AA188" s="33"/>
      <c r="AC188" s="33"/>
    </row>
    <row r="189" ht="15.75" customHeight="1">
      <c r="A189" s="33"/>
      <c r="B189" s="33"/>
      <c r="F189" s="33"/>
      <c r="G189" s="33"/>
      <c r="H189" s="33"/>
      <c r="I189" s="33"/>
      <c r="J189" s="33"/>
      <c r="L189" s="33"/>
      <c r="M189" s="33"/>
      <c r="N189" s="33"/>
      <c r="O189" s="33"/>
      <c r="P189" s="33"/>
      <c r="R189" s="33"/>
      <c r="S189" s="33"/>
      <c r="T189" s="33"/>
      <c r="U189" s="33"/>
      <c r="V189" s="33"/>
      <c r="W189" s="33"/>
      <c r="X189" s="33"/>
      <c r="AA189" s="33"/>
      <c r="AC189" s="33"/>
    </row>
    <row r="190" ht="15.75" customHeight="1">
      <c r="A190" s="33"/>
      <c r="B190" s="33"/>
      <c r="F190" s="33"/>
      <c r="G190" s="33"/>
      <c r="H190" s="33"/>
      <c r="I190" s="33"/>
      <c r="J190" s="33"/>
      <c r="L190" s="33"/>
      <c r="M190" s="33"/>
      <c r="N190" s="33"/>
      <c r="O190" s="33"/>
      <c r="P190" s="33"/>
      <c r="R190" s="33"/>
      <c r="S190" s="33"/>
      <c r="T190" s="33"/>
      <c r="U190" s="33"/>
      <c r="V190" s="33"/>
      <c r="W190" s="33"/>
      <c r="X190" s="33"/>
      <c r="AA190" s="33"/>
      <c r="AC190" s="33"/>
    </row>
    <row r="191" ht="15.75" customHeight="1">
      <c r="A191" s="33"/>
      <c r="B191" s="33"/>
      <c r="F191" s="33"/>
      <c r="G191" s="33"/>
      <c r="H191" s="33"/>
      <c r="I191" s="33"/>
      <c r="J191" s="33"/>
      <c r="L191" s="33"/>
      <c r="M191" s="33"/>
      <c r="N191" s="33"/>
      <c r="O191" s="33"/>
      <c r="P191" s="33"/>
      <c r="R191" s="33"/>
      <c r="S191" s="33"/>
      <c r="T191" s="33"/>
      <c r="U191" s="33"/>
      <c r="V191" s="33"/>
      <c r="W191" s="33"/>
      <c r="X191" s="33"/>
      <c r="AA191" s="33"/>
      <c r="AC191" s="33"/>
    </row>
    <row r="192" ht="15.75" customHeight="1">
      <c r="A192" s="33"/>
      <c r="B192" s="33"/>
      <c r="F192" s="33"/>
      <c r="G192" s="33"/>
      <c r="H192" s="33"/>
      <c r="I192" s="33"/>
      <c r="J192" s="33"/>
      <c r="L192" s="33"/>
      <c r="M192" s="33"/>
      <c r="N192" s="33"/>
      <c r="O192" s="33"/>
      <c r="P192" s="33"/>
      <c r="R192" s="33"/>
      <c r="S192" s="33"/>
      <c r="T192" s="33"/>
      <c r="U192" s="33"/>
      <c r="V192" s="33"/>
      <c r="W192" s="33"/>
      <c r="X192" s="33"/>
      <c r="AA192" s="33"/>
      <c r="AC192" s="33"/>
    </row>
    <row r="193" ht="15.75" customHeight="1">
      <c r="A193" s="33"/>
      <c r="B193" s="33"/>
      <c r="F193" s="33"/>
      <c r="G193" s="33"/>
      <c r="H193" s="33"/>
      <c r="I193" s="33"/>
      <c r="J193" s="33"/>
      <c r="L193" s="33"/>
      <c r="M193" s="33"/>
      <c r="N193" s="33"/>
      <c r="O193" s="33"/>
      <c r="P193" s="33"/>
      <c r="R193" s="33"/>
      <c r="S193" s="33"/>
      <c r="T193" s="33"/>
      <c r="U193" s="33"/>
      <c r="V193" s="33"/>
      <c r="W193" s="33"/>
      <c r="X193" s="33"/>
      <c r="AA193" s="33"/>
      <c r="AC193" s="33"/>
    </row>
    <row r="194" ht="15.75" customHeight="1">
      <c r="A194" s="33"/>
      <c r="B194" s="33"/>
      <c r="F194" s="33"/>
      <c r="G194" s="33"/>
      <c r="H194" s="33"/>
      <c r="I194" s="33"/>
      <c r="J194" s="33"/>
      <c r="L194" s="33"/>
      <c r="M194" s="33"/>
      <c r="N194" s="33"/>
      <c r="O194" s="33"/>
      <c r="P194" s="33"/>
      <c r="R194" s="33"/>
      <c r="S194" s="33"/>
      <c r="T194" s="33"/>
      <c r="U194" s="33"/>
      <c r="V194" s="33"/>
      <c r="W194" s="33"/>
      <c r="X194" s="33"/>
      <c r="AA194" s="33"/>
      <c r="AC194" s="33"/>
    </row>
    <row r="195" ht="15.75" customHeight="1">
      <c r="A195" s="33"/>
      <c r="B195" s="33"/>
      <c r="F195" s="33"/>
      <c r="G195" s="33"/>
      <c r="H195" s="33"/>
      <c r="I195" s="33"/>
      <c r="J195" s="33"/>
      <c r="L195" s="33"/>
      <c r="M195" s="33"/>
      <c r="N195" s="33"/>
      <c r="O195" s="33"/>
      <c r="P195" s="33"/>
      <c r="R195" s="33"/>
      <c r="S195" s="33"/>
      <c r="T195" s="33"/>
      <c r="U195" s="33"/>
      <c r="V195" s="33"/>
      <c r="W195" s="33"/>
      <c r="X195" s="33"/>
      <c r="AA195" s="33"/>
      <c r="AC195" s="33"/>
    </row>
    <row r="196" ht="15.75" customHeight="1">
      <c r="A196" s="33"/>
      <c r="B196" s="33"/>
      <c r="F196" s="33"/>
      <c r="G196" s="33"/>
      <c r="H196" s="33"/>
      <c r="I196" s="33"/>
      <c r="J196" s="33"/>
      <c r="L196" s="33"/>
      <c r="M196" s="33"/>
      <c r="N196" s="33"/>
      <c r="O196" s="33"/>
      <c r="P196" s="33"/>
      <c r="R196" s="33"/>
      <c r="S196" s="33"/>
      <c r="T196" s="33"/>
      <c r="U196" s="33"/>
      <c r="V196" s="33"/>
      <c r="W196" s="33"/>
      <c r="X196" s="33"/>
      <c r="AA196" s="33"/>
      <c r="AC196" s="33"/>
    </row>
    <row r="197" ht="15.75" customHeight="1">
      <c r="A197" s="33"/>
      <c r="B197" s="33"/>
      <c r="F197" s="33"/>
      <c r="G197" s="33"/>
      <c r="H197" s="33"/>
      <c r="I197" s="33"/>
      <c r="J197" s="33"/>
      <c r="L197" s="33"/>
      <c r="M197" s="33"/>
      <c r="N197" s="33"/>
      <c r="O197" s="33"/>
      <c r="P197" s="33"/>
      <c r="R197" s="33"/>
      <c r="S197" s="33"/>
      <c r="T197" s="33"/>
      <c r="U197" s="33"/>
      <c r="V197" s="33"/>
      <c r="W197" s="33"/>
      <c r="X197" s="33"/>
      <c r="AA197" s="33"/>
      <c r="AC197" s="33"/>
    </row>
    <row r="198" ht="15.75" customHeight="1">
      <c r="A198" s="33"/>
      <c r="B198" s="33"/>
      <c r="F198" s="33"/>
      <c r="G198" s="33"/>
      <c r="H198" s="33"/>
      <c r="I198" s="33"/>
      <c r="J198" s="33"/>
      <c r="L198" s="33"/>
      <c r="M198" s="33"/>
      <c r="N198" s="33"/>
      <c r="O198" s="33"/>
      <c r="P198" s="33"/>
      <c r="R198" s="33"/>
      <c r="S198" s="33"/>
      <c r="T198" s="33"/>
      <c r="U198" s="33"/>
      <c r="V198" s="33"/>
      <c r="W198" s="33"/>
      <c r="X198" s="33"/>
      <c r="AA198" s="33"/>
      <c r="AC198" s="33"/>
    </row>
    <row r="199" ht="15.75" customHeight="1">
      <c r="A199" s="33"/>
      <c r="B199" s="33"/>
      <c r="F199" s="33"/>
      <c r="G199" s="33"/>
      <c r="H199" s="33"/>
      <c r="I199" s="33"/>
      <c r="J199" s="33"/>
      <c r="L199" s="33"/>
      <c r="M199" s="33"/>
      <c r="N199" s="33"/>
      <c r="O199" s="33"/>
      <c r="P199" s="33"/>
      <c r="R199" s="33"/>
      <c r="S199" s="33"/>
      <c r="T199" s="33"/>
      <c r="U199" s="33"/>
      <c r="V199" s="33"/>
      <c r="W199" s="33"/>
      <c r="X199" s="33"/>
      <c r="AA199" s="33"/>
      <c r="AC199" s="33"/>
    </row>
    <row r="200" ht="15.75" customHeight="1">
      <c r="A200" s="33"/>
      <c r="B200" s="33"/>
      <c r="F200" s="33"/>
      <c r="G200" s="33"/>
      <c r="H200" s="33"/>
      <c r="I200" s="33"/>
      <c r="J200" s="33"/>
      <c r="L200" s="33"/>
      <c r="M200" s="33"/>
      <c r="N200" s="33"/>
      <c r="O200" s="33"/>
      <c r="P200" s="33"/>
      <c r="R200" s="33"/>
      <c r="S200" s="33"/>
      <c r="T200" s="33"/>
      <c r="U200" s="33"/>
      <c r="V200" s="33"/>
      <c r="W200" s="33"/>
      <c r="X200" s="33"/>
      <c r="AA200" s="33"/>
      <c r="AC200" s="33"/>
    </row>
    <row r="201" ht="15.75" customHeight="1">
      <c r="A201" s="33"/>
      <c r="B201" s="33"/>
      <c r="F201" s="33"/>
      <c r="G201" s="33"/>
      <c r="H201" s="33"/>
      <c r="I201" s="33"/>
      <c r="J201" s="33"/>
      <c r="L201" s="33"/>
      <c r="M201" s="33"/>
      <c r="N201" s="33"/>
      <c r="O201" s="33"/>
      <c r="P201" s="33"/>
      <c r="R201" s="33"/>
      <c r="S201" s="33"/>
      <c r="T201" s="33"/>
      <c r="U201" s="33"/>
      <c r="V201" s="33"/>
      <c r="W201" s="33"/>
      <c r="X201" s="33"/>
      <c r="AA201" s="33"/>
      <c r="AC201" s="33"/>
    </row>
    <row r="202" ht="15.75" customHeight="1">
      <c r="A202" s="33"/>
      <c r="B202" s="33"/>
      <c r="F202" s="33"/>
      <c r="G202" s="33"/>
      <c r="H202" s="33"/>
      <c r="I202" s="33"/>
      <c r="J202" s="33"/>
      <c r="L202" s="33"/>
      <c r="M202" s="33"/>
      <c r="N202" s="33"/>
      <c r="O202" s="33"/>
      <c r="P202" s="33"/>
      <c r="R202" s="33"/>
      <c r="S202" s="33"/>
      <c r="T202" s="33"/>
      <c r="U202" s="33"/>
      <c r="V202" s="33"/>
      <c r="W202" s="33"/>
      <c r="X202" s="33"/>
      <c r="AA202" s="33"/>
      <c r="AC202" s="33"/>
    </row>
    <row r="203" ht="15.75" customHeight="1">
      <c r="A203" s="33"/>
      <c r="B203" s="33"/>
      <c r="F203" s="33"/>
      <c r="G203" s="33"/>
      <c r="H203" s="33"/>
      <c r="I203" s="33"/>
      <c r="J203" s="33"/>
      <c r="L203" s="33"/>
      <c r="M203" s="33"/>
      <c r="N203" s="33"/>
      <c r="O203" s="33"/>
      <c r="P203" s="33"/>
      <c r="R203" s="33"/>
      <c r="S203" s="33"/>
      <c r="T203" s="33"/>
      <c r="U203" s="33"/>
      <c r="V203" s="33"/>
      <c r="W203" s="33"/>
      <c r="X203" s="33"/>
      <c r="AA203" s="33"/>
      <c r="AC203" s="33"/>
    </row>
    <row r="204" ht="15.75" customHeight="1">
      <c r="A204" s="33"/>
      <c r="B204" s="33"/>
      <c r="F204" s="33"/>
      <c r="G204" s="33"/>
      <c r="H204" s="33"/>
      <c r="I204" s="33"/>
      <c r="J204" s="33"/>
      <c r="L204" s="33"/>
      <c r="M204" s="33"/>
      <c r="N204" s="33"/>
      <c r="O204" s="33"/>
      <c r="P204" s="33"/>
      <c r="R204" s="33"/>
      <c r="S204" s="33"/>
      <c r="T204" s="33"/>
      <c r="U204" s="33"/>
      <c r="V204" s="33"/>
      <c r="W204" s="33"/>
      <c r="X204" s="33"/>
      <c r="AA204" s="33"/>
      <c r="AC204" s="33"/>
    </row>
    <row r="205" ht="15.75" customHeight="1">
      <c r="A205" s="33"/>
      <c r="B205" s="33"/>
      <c r="F205" s="33"/>
      <c r="G205" s="33"/>
      <c r="H205" s="33"/>
      <c r="I205" s="33"/>
      <c r="J205" s="33"/>
      <c r="L205" s="33"/>
      <c r="M205" s="33"/>
      <c r="N205" s="33"/>
      <c r="O205" s="33"/>
      <c r="P205" s="33"/>
      <c r="R205" s="33"/>
      <c r="S205" s="33"/>
      <c r="T205" s="33"/>
      <c r="U205" s="33"/>
      <c r="V205" s="33"/>
      <c r="W205" s="33"/>
      <c r="X205" s="33"/>
      <c r="AA205" s="33"/>
      <c r="AC205" s="33"/>
    </row>
    <row r="206" ht="15.75" customHeight="1">
      <c r="A206" s="33"/>
      <c r="B206" s="33"/>
      <c r="F206" s="33"/>
      <c r="G206" s="33"/>
      <c r="H206" s="33"/>
      <c r="I206" s="33"/>
      <c r="J206" s="33"/>
      <c r="L206" s="33"/>
      <c r="M206" s="33"/>
      <c r="N206" s="33"/>
      <c r="O206" s="33"/>
      <c r="P206" s="33"/>
      <c r="R206" s="33"/>
      <c r="S206" s="33"/>
      <c r="T206" s="33"/>
      <c r="U206" s="33"/>
      <c r="V206" s="33"/>
      <c r="W206" s="33"/>
      <c r="X206" s="33"/>
      <c r="AA206" s="33"/>
      <c r="AC206" s="33"/>
    </row>
    <row r="207" ht="15.75" customHeight="1">
      <c r="A207" s="33"/>
      <c r="B207" s="33"/>
      <c r="F207" s="33"/>
      <c r="G207" s="33"/>
      <c r="H207" s="33"/>
      <c r="I207" s="33"/>
      <c r="J207" s="33"/>
      <c r="L207" s="33"/>
      <c r="M207" s="33"/>
      <c r="N207" s="33"/>
      <c r="O207" s="33"/>
      <c r="P207" s="33"/>
      <c r="R207" s="33"/>
      <c r="S207" s="33"/>
      <c r="T207" s="33"/>
      <c r="U207" s="33"/>
      <c r="V207" s="33"/>
      <c r="W207" s="33"/>
      <c r="X207" s="33"/>
      <c r="AA207" s="33"/>
      <c r="AC207" s="33"/>
    </row>
    <row r="208" ht="15.75" customHeight="1">
      <c r="A208" s="33"/>
      <c r="B208" s="33"/>
      <c r="F208" s="33"/>
      <c r="G208" s="33"/>
      <c r="H208" s="33"/>
      <c r="I208" s="33"/>
      <c r="J208" s="33"/>
      <c r="L208" s="33"/>
      <c r="M208" s="33"/>
      <c r="N208" s="33"/>
      <c r="O208" s="33"/>
      <c r="P208" s="33"/>
      <c r="R208" s="33"/>
      <c r="S208" s="33"/>
      <c r="T208" s="33"/>
      <c r="U208" s="33"/>
      <c r="V208" s="33"/>
      <c r="W208" s="33"/>
      <c r="X208" s="33"/>
      <c r="AA208" s="33"/>
      <c r="AC208" s="33"/>
    </row>
    <row r="209" ht="15.75" customHeight="1">
      <c r="A209" s="33"/>
      <c r="B209" s="33"/>
      <c r="F209" s="33"/>
      <c r="G209" s="33"/>
      <c r="H209" s="33"/>
      <c r="I209" s="33"/>
      <c r="J209" s="33"/>
      <c r="L209" s="33"/>
      <c r="M209" s="33"/>
      <c r="N209" s="33"/>
      <c r="O209" s="33"/>
      <c r="P209" s="33"/>
      <c r="R209" s="33"/>
      <c r="S209" s="33"/>
      <c r="T209" s="33"/>
      <c r="U209" s="33"/>
      <c r="V209" s="33"/>
      <c r="W209" s="33"/>
      <c r="X209" s="33"/>
      <c r="AA209" s="33"/>
      <c r="AC209" s="33"/>
    </row>
    <row r="210" ht="15.75" customHeight="1">
      <c r="A210" s="33"/>
      <c r="B210" s="33"/>
      <c r="F210" s="33"/>
      <c r="G210" s="33"/>
      <c r="H210" s="33"/>
      <c r="I210" s="33"/>
      <c r="J210" s="33"/>
      <c r="L210" s="33"/>
      <c r="M210" s="33"/>
      <c r="N210" s="33"/>
      <c r="O210" s="33"/>
      <c r="P210" s="33"/>
      <c r="R210" s="33"/>
      <c r="S210" s="33"/>
      <c r="T210" s="33"/>
      <c r="U210" s="33"/>
      <c r="V210" s="33"/>
      <c r="W210" s="33"/>
      <c r="X210" s="33"/>
      <c r="AA210" s="33"/>
      <c r="AC210" s="33"/>
    </row>
    <row r="211" ht="15.75" customHeight="1">
      <c r="A211" s="33"/>
      <c r="B211" s="33"/>
      <c r="F211" s="33"/>
      <c r="G211" s="33"/>
      <c r="H211" s="33"/>
      <c r="I211" s="33"/>
      <c r="J211" s="33"/>
      <c r="L211" s="33"/>
      <c r="M211" s="33"/>
      <c r="N211" s="33"/>
      <c r="O211" s="33"/>
      <c r="P211" s="33"/>
      <c r="R211" s="33"/>
      <c r="S211" s="33"/>
      <c r="T211" s="33"/>
      <c r="U211" s="33"/>
      <c r="V211" s="33"/>
      <c r="W211" s="33"/>
      <c r="X211" s="33"/>
      <c r="AA211" s="33"/>
      <c r="AC211" s="33"/>
    </row>
    <row r="212" ht="15.75" customHeight="1">
      <c r="A212" s="33"/>
      <c r="B212" s="33"/>
      <c r="F212" s="33"/>
      <c r="G212" s="33"/>
      <c r="H212" s="33"/>
      <c r="I212" s="33"/>
      <c r="J212" s="33"/>
      <c r="L212" s="33"/>
      <c r="M212" s="33"/>
      <c r="N212" s="33"/>
      <c r="O212" s="33"/>
      <c r="P212" s="33"/>
      <c r="R212" s="33"/>
      <c r="S212" s="33"/>
      <c r="T212" s="33"/>
      <c r="U212" s="33"/>
      <c r="V212" s="33"/>
      <c r="W212" s="33"/>
      <c r="X212" s="33"/>
      <c r="AA212" s="33"/>
      <c r="AC212" s="33"/>
    </row>
    <row r="213" ht="15.75" customHeight="1">
      <c r="A213" s="33"/>
      <c r="B213" s="33"/>
      <c r="F213" s="33"/>
      <c r="G213" s="33"/>
      <c r="H213" s="33"/>
      <c r="I213" s="33"/>
      <c r="J213" s="33"/>
      <c r="L213" s="33"/>
      <c r="M213" s="33"/>
      <c r="N213" s="33"/>
      <c r="O213" s="33"/>
      <c r="P213" s="33"/>
      <c r="R213" s="33"/>
      <c r="S213" s="33"/>
      <c r="T213" s="33"/>
      <c r="U213" s="33"/>
      <c r="V213" s="33"/>
      <c r="W213" s="33"/>
      <c r="X213" s="33"/>
      <c r="AA213" s="33"/>
      <c r="AC213" s="33"/>
    </row>
    <row r="214" ht="15.75" customHeight="1">
      <c r="A214" s="33"/>
      <c r="B214" s="33"/>
      <c r="F214" s="33"/>
      <c r="G214" s="33"/>
      <c r="H214" s="33"/>
      <c r="I214" s="33"/>
      <c r="J214" s="33"/>
      <c r="L214" s="33"/>
      <c r="M214" s="33"/>
      <c r="N214" s="33"/>
      <c r="O214" s="33"/>
      <c r="P214" s="33"/>
      <c r="R214" s="33"/>
      <c r="S214" s="33"/>
      <c r="T214" s="33"/>
      <c r="U214" s="33"/>
      <c r="V214" s="33"/>
      <c r="W214" s="33"/>
      <c r="X214" s="33"/>
      <c r="AA214" s="33"/>
      <c r="AC214" s="33"/>
    </row>
    <row r="215" ht="15.75" customHeight="1">
      <c r="A215" s="33"/>
      <c r="B215" s="33"/>
      <c r="F215" s="33"/>
      <c r="G215" s="33"/>
      <c r="H215" s="33"/>
      <c r="I215" s="33"/>
      <c r="J215" s="33"/>
      <c r="L215" s="33"/>
      <c r="M215" s="33"/>
      <c r="N215" s="33"/>
      <c r="O215" s="33"/>
      <c r="P215" s="33"/>
      <c r="R215" s="33"/>
      <c r="S215" s="33"/>
      <c r="T215" s="33"/>
      <c r="U215" s="33"/>
      <c r="V215" s="33"/>
      <c r="W215" s="33"/>
      <c r="X215" s="33"/>
      <c r="AA215" s="33"/>
      <c r="AC215" s="33"/>
    </row>
    <row r="216" ht="15.75" customHeight="1">
      <c r="A216" s="33"/>
      <c r="B216" s="33"/>
      <c r="F216" s="33"/>
      <c r="G216" s="33"/>
      <c r="H216" s="33"/>
      <c r="I216" s="33"/>
      <c r="J216" s="33"/>
      <c r="L216" s="33"/>
      <c r="M216" s="33"/>
      <c r="N216" s="33"/>
      <c r="O216" s="33"/>
      <c r="P216" s="33"/>
      <c r="R216" s="33"/>
      <c r="S216" s="33"/>
      <c r="T216" s="33"/>
      <c r="U216" s="33"/>
      <c r="V216" s="33"/>
      <c r="W216" s="33"/>
      <c r="X216" s="33"/>
      <c r="AA216" s="33"/>
      <c r="AC216" s="33"/>
    </row>
    <row r="217" ht="15.75" customHeight="1">
      <c r="A217" s="33"/>
      <c r="B217" s="33"/>
      <c r="F217" s="33"/>
      <c r="G217" s="33"/>
      <c r="H217" s="33"/>
      <c r="I217" s="33"/>
      <c r="J217" s="33"/>
      <c r="L217" s="33"/>
      <c r="M217" s="33"/>
      <c r="N217" s="33"/>
      <c r="O217" s="33"/>
      <c r="P217" s="33"/>
      <c r="R217" s="33"/>
      <c r="S217" s="33"/>
      <c r="T217" s="33"/>
      <c r="U217" s="33"/>
      <c r="V217" s="33"/>
      <c r="W217" s="33"/>
      <c r="X217" s="33"/>
      <c r="AA217" s="33"/>
      <c r="AC217" s="33"/>
    </row>
    <row r="218" ht="15.75" customHeight="1">
      <c r="A218" s="33"/>
      <c r="B218" s="33"/>
      <c r="F218" s="33"/>
      <c r="G218" s="33"/>
      <c r="H218" s="33"/>
      <c r="I218" s="33"/>
      <c r="J218" s="33"/>
      <c r="L218" s="33"/>
      <c r="M218" s="33"/>
      <c r="N218" s="33"/>
      <c r="O218" s="33"/>
      <c r="P218" s="33"/>
      <c r="R218" s="33"/>
      <c r="S218" s="33"/>
      <c r="T218" s="33"/>
      <c r="U218" s="33"/>
      <c r="V218" s="33"/>
      <c r="W218" s="33"/>
      <c r="X218" s="33"/>
      <c r="AA218" s="33"/>
      <c r="AC218" s="33"/>
    </row>
    <row r="219" ht="15.75" customHeight="1">
      <c r="A219" s="33"/>
      <c r="B219" s="33"/>
      <c r="F219" s="33"/>
      <c r="G219" s="33"/>
      <c r="H219" s="33"/>
      <c r="I219" s="33"/>
      <c r="J219" s="33"/>
      <c r="L219" s="33"/>
      <c r="M219" s="33"/>
      <c r="N219" s="33"/>
      <c r="O219" s="33"/>
      <c r="P219" s="33"/>
      <c r="R219" s="33"/>
      <c r="S219" s="33"/>
      <c r="T219" s="33"/>
      <c r="U219" s="33"/>
      <c r="V219" s="33"/>
      <c r="W219" s="33"/>
      <c r="X219" s="33"/>
      <c r="AA219" s="33"/>
      <c r="AC219" s="33"/>
    </row>
    <row r="220" ht="15.75" customHeight="1">
      <c r="A220" s="33"/>
      <c r="B220" s="33"/>
      <c r="F220" s="33"/>
      <c r="G220" s="33"/>
      <c r="H220" s="33"/>
      <c r="I220" s="33"/>
      <c r="J220" s="33"/>
      <c r="L220" s="33"/>
      <c r="M220" s="33"/>
      <c r="N220" s="33"/>
      <c r="O220" s="33"/>
      <c r="P220" s="33"/>
      <c r="R220" s="33"/>
      <c r="S220" s="33"/>
      <c r="T220" s="33"/>
      <c r="U220" s="33"/>
      <c r="V220" s="33"/>
      <c r="W220" s="33"/>
      <c r="X220" s="33"/>
      <c r="AA220" s="33"/>
      <c r="AC220" s="33"/>
    </row>
    <row r="221" ht="15.75" customHeight="1">
      <c r="A221" s="33"/>
      <c r="B221" s="33"/>
      <c r="F221" s="33"/>
      <c r="G221" s="33"/>
      <c r="H221" s="33"/>
      <c r="I221" s="33"/>
      <c r="J221" s="33"/>
      <c r="L221" s="33"/>
      <c r="M221" s="33"/>
      <c r="N221" s="33"/>
      <c r="O221" s="33"/>
      <c r="P221" s="33"/>
      <c r="R221" s="33"/>
      <c r="S221" s="33"/>
      <c r="T221" s="33"/>
      <c r="U221" s="33"/>
      <c r="V221" s="33"/>
      <c r="W221" s="33"/>
      <c r="X221" s="33"/>
      <c r="AA221" s="33"/>
      <c r="AC221" s="33"/>
    </row>
    <row r="222" ht="15.75" customHeight="1">
      <c r="A222" s="33"/>
      <c r="B222" s="33"/>
      <c r="F222" s="33"/>
      <c r="G222" s="33"/>
      <c r="H222" s="33"/>
      <c r="I222" s="33"/>
      <c r="J222" s="33"/>
      <c r="L222" s="33"/>
      <c r="M222" s="33"/>
      <c r="N222" s="33"/>
      <c r="O222" s="33"/>
      <c r="P222" s="33"/>
      <c r="R222" s="33"/>
      <c r="S222" s="33"/>
      <c r="T222" s="33"/>
      <c r="U222" s="33"/>
      <c r="V222" s="33"/>
      <c r="W222" s="33"/>
      <c r="X222" s="33"/>
      <c r="AA222" s="33"/>
      <c r="AC222" s="33"/>
    </row>
    <row r="223" ht="15.75" customHeight="1">
      <c r="A223" s="33"/>
      <c r="B223" s="33"/>
      <c r="F223" s="33"/>
      <c r="G223" s="33"/>
      <c r="H223" s="33"/>
      <c r="I223" s="33"/>
      <c r="J223" s="33"/>
      <c r="L223" s="33"/>
      <c r="M223" s="33"/>
      <c r="N223" s="33"/>
      <c r="O223" s="33"/>
      <c r="P223" s="33"/>
      <c r="R223" s="33"/>
      <c r="S223" s="33"/>
      <c r="T223" s="33"/>
      <c r="U223" s="33"/>
      <c r="V223" s="33"/>
      <c r="W223" s="33"/>
      <c r="X223" s="33"/>
      <c r="AA223" s="33"/>
      <c r="AC223" s="33"/>
    </row>
    <row r="224" ht="15.75" customHeight="1">
      <c r="A224" s="33"/>
      <c r="B224" s="33"/>
      <c r="F224" s="33"/>
      <c r="G224" s="33"/>
      <c r="H224" s="33"/>
      <c r="I224" s="33"/>
      <c r="J224" s="33"/>
      <c r="L224" s="33"/>
      <c r="M224" s="33"/>
      <c r="N224" s="33"/>
      <c r="O224" s="33"/>
      <c r="P224" s="33"/>
      <c r="R224" s="33"/>
      <c r="S224" s="33"/>
      <c r="T224" s="33"/>
      <c r="U224" s="33"/>
      <c r="V224" s="33"/>
      <c r="W224" s="33"/>
      <c r="X224" s="33"/>
      <c r="AA224" s="33"/>
      <c r="AC224" s="33"/>
    </row>
    <row r="225" ht="15.75" customHeight="1">
      <c r="A225" s="33"/>
      <c r="B225" s="33"/>
      <c r="F225" s="33"/>
      <c r="G225" s="33"/>
      <c r="H225" s="33"/>
      <c r="I225" s="33"/>
      <c r="J225" s="33"/>
      <c r="L225" s="33"/>
      <c r="M225" s="33"/>
      <c r="N225" s="33"/>
      <c r="O225" s="33"/>
      <c r="P225" s="33"/>
      <c r="R225" s="33"/>
      <c r="S225" s="33"/>
      <c r="T225" s="33"/>
      <c r="U225" s="33"/>
      <c r="V225" s="33"/>
      <c r="W225" s="33"/>
      <c r="X225" s="33"/>
      <c r="AA225" s="33"/>
      <c r="AC225" s="33"/>
    </row>
    <row r="226" ht="15.75" customHeight="1">
      <c r="A226" s="33"/>
      <c r="B226" s="33"/>
      <c r="F226" s="33"/>
      <c r="G226" s="33"/>
      <c r="H226" s="33"/>
      <c r="I226" s="33"/>
      <c r="J226" s="33"/>
      <c r="L226" s="33"/>
      <c r="M226" s="33"/>
      <c r="N226" s="33"/>
      <c r="O226" s="33"/>
      <c r="P226" s="33"/>
      <c r="R226" s="33"/>
      <c r="S226" s="33"/>
      <c r="T226" s="33"/>
      <c r="U226" s="33"/>
      <c r="V226" s="33"/>
      <c r="W226" s="33"/>
      <c r="X226" s="33"/>
      <c r="AA226" s="33"/>
      <c r="AC226" s="33"/>
    </row>
    <row r="227" ht="15.75" customHeight="1">
      <c r="A227" s="33"/>
      <c r="B227" s="33"/>
      <c r="F227" s="33"/>
      <c r="G227" s="33"/>
      <c r="H227" s="33"/>
      <c r="I227" s="33"/>
      <c r="J227" s="33"/>
      <c r="L227" s="33"/>
      <c r="M227" s="33"/>
      <c r="N227" s="33"/>
      <c r="O227" s="33"/>
      <c r="P227" s="33"/>
      <c r="R227" s="33"/>
      <c r="S227" s="33"/>
      <c r="T227" s="33"/>
      <c r="U227" s="33"/>
      <c r="V227" s="33"/>
      <c r="W227" s="33"/>
      <c r="X227" s="33"/>
      <c r="AA227" s="33"/>
      <c r="AC227" s="33"/>
    </row>
    <row r="228" ht="15.75" customHeight="1">
      <c r="A228" s="33"/>
      <c r="B228" s="33"/>
      <c r="F228" s="33"/>
      <c r="G228" s="33"/>
      <c r="H228" s="33"/>
      <c r="I228" s="33"/>
      <c r="J228" s="33"/>
      <c r="L228" s="33"/>
      <c r="M228" s="33"/>
      <c r="N228" s="33"/>
      <c r="O228" s="33"/>
      <c r="P228" s="33"/>
      <c r="R228" s="33"/>
      <c r="S228" s="33"/>
      <c r="T228" s="33"/>
      <c r="U228" s="33"/>
      <c r="V228" s="33"/>
      <c r="W228" s="33"/>
      <c r="X228" s="33"/>
      <c r="AA228" s="33"/>
      <c r="AC228" s="33"/>
    </row>
    <row r="229" ht="15.75" customHeight="1">
      <c r="A229" s="33"/>
      <c r="B229" s="33"/>
      <c r="F229" s="33"/>
      <c r="G229" s="33"/>
      <c r="H229" s="33"/>
      <c r="I229" s="33"/>
      <c r="J229" s="33"/>
      <c r="L229" s="33"/>
      <c r="M229" s="33"/>
      <c r="N229" s="33"/>
      <c r="O229" s="33"/>
      <c r="P229" s="33"/>
      <c r="R229" s="33"/>
      <c r="S229" s="33"/>
      <c r="T229" s="33"/>
      <c r="U229" s="33"/>
      <c r="V229" s="33"/>
      <c r="W229" s="33"/>
      <c r="X229" s="33"/>
      <c r="AA229" s="33"/>
      <c r="AC229" s="33"/>
    </row>
    <row r="230" ht="15.75" customHeight="1">
      <c r="A230" s="33"/>
      <c r="B230" s="33"/>
      <c r="F230" s="33"/>
      <c r="G230" s="33"/>
      <c r="H230" s="33"/>
      <c r="I230" s="33"/>
      <c r="J230" s="33"/>
      <c r="L230" s="33"/>
      <c r="M230" s="33"/>
      <c r="N230" s="33"/>
      <c r="O230" s="33"/>
      <c r="P230" s="33"/>
      <c r="R230" s="33"/>
      <c r="S230" s="33"/>
      <c r="T230" s="33"/>
      <c r="U230" s="33"/>
      <c r="V230" s="33"/>
      <c r="W230" s="33"/>
      <c r="X230" s="33"/>
      <c r="AA230" s="33"/>
      <c r="AC230" s="33"/>
    </row>
    <row r="231" ht="15.75" customHeight="1">
      <c r="A231" s="33"/>
      <c r="B231" s="33"/>
      <c r="F231" s="33"/>
      <c r="G231" s="33"/>
      <c r="H231" s="33"/>
      <c r="I231" s="33"/>
      <c r="J231" s="33"/>
      <c r="L231" s="33"/>
      <c r="M231" s="33"/>
      <c r="N231" s="33"/>
      <c r="O231" s="33"/>
      <c r="P231" s="33"/>
      <c r="R231" s="33"/>
      <c r="S231" s="33"/>
      <c r="T231" s="33"/>
      <c r="U231" s="33"/>
      <c r="V231" s="33"/>
      <c r="W231" s="33"/>
      <c r="X231" s="33"/>
      <c r="AA231" s="33"/>
      <c r="AC231" s="33"/>
    </row>
    <row r="232" ht="15.75" customHeight="1">
      <c r="A232" s="33"/>
      <c r="B232" s="33"/>
      <c r="F232" s="33"/>
      <c r="G232" s="33"/>
      <c r="H232" s="33"/>
      <c r="I232" s="33"/>
      <c r="J232" s="33"/>
      <c r="L232" s="33"/>
      <c r="M232" s="33"/>
      <c r="N232" s="33"/>
      <c r="O232" s="33"/>
      <c r="P232" s="33"/>
      <c r="R232" s="33"/>
      <c r="S232" s="33"/>
      <c r="T232" s="33"/>
      <c r="U232" s="33"/>
      <c r="V232" s="33"/>
      <c r="W232" s="33"/>
      <c r="X232" s="33"/>
      <c r="AA232" s="33"/>
      <c r="AC232" s="33"/>
    </row>
    <row r="233" ht="15.75" customHeight="1">
      <c r="A233" s="33"/>
      <c r="B233" s="33"/>
      <c r="F233" s="33"/>
      <c r="G233" s="33"/>
      <c r="H233" s="33"/>
      <c r="I233" s="33"/>
      <c r="J233" s="33"/>
      <c r="L233" s="33"/>
      <c r="M233" s="33"/>
      <c r="N233" s="33"/>
      <c r="O233" s="33"/>
      <c r="P233" s="33"/>
      <c r="R233" s="33"/>
      <c r="S233" s="33"/>
      <c r="T233" s="33"/>
      <c r="U233" s="33"/>
      <c r="V233" s="33"/>
      <c r="W233" s="33"/>
      <c r="X233" s="33"/>
      <c r="AA233" s="33"/>
      <c r="AC233" s="33"/>
    </row>
    <row r="234" ht="15.75" customHeight="1">
      <c r="A234" s="33"/>
      <c r="B234" s="33"/>
      <c r="F234" s="33"/>
      <c r="G234" s="33"/>
      <c r="H234" s="33"/>
      <c r="I234" s="33"/>
      <c r="J234" s="33"/>
      <c r="L234" s="33"/>
      <c r="M234" s="33"/>
      <c r="N234" s="33"/>
      <c r="O234" s="33"/>
      <c r="P234" s="33"/>
      <c r="R234" s="33"/>
      <c r="S234" s="33"/>
      <c r="T234" s="33"/>
      <c r="U234" s="33"/>
      <c r="V234" s="33"/>
      <c r="W234" s="33"/>
      <c r="X234" s="33"/>
      <c r="AA234" s="33"/>
      <c r="AC234" s="33"/>
    </row>
    <row r="235" ht="15.75" customHeight="1">
      <c r="A235" s="33"/>
      <c r="B235" s="33"/>
      <c r="F235" s="33"/>
      <c r="G235" s="33"/>
      <c r="H235" s="33"/>
      <c r="I235" s="33"/>
      <c r="J235" s="33"/>
      <c r="L235" s="33"/>
      <c r="M235" s="33"/>
      <c r="N235" s="33"/>
      <c r="O235" s="33"/>
      <c r="P235" s="33"/>
      <c r="R235" s="33"/>
      <c r="S235" s="33"/>
      <c r="T235" s="33"/>
      <c r="U235" s="33"/>
      <c r="V235" s="33"/>
      <c r="W235" s="33"/>
      <c r="X235" s="33"/>
      <c r="AA235" s="33"/>
      <c r="AC235" s="33"/>
    </row>
    <row r="236" ht="15.75" customHeight="1">
      <c r="A236" s="33"/>
      <c r="B236" s="33"/>
      <c r="F236" s="33"/>
      <c r="G236" s="33"/>
      <c r="H236" s="33"/>
      <c r="I236" s="33"/>
      <c r="J236" s="33"/>
      <c r="L236" s="33"/>
      <c r="M236" s="33"/>
      <c r="N236" s="33"/>
      <c r="O236" s="33"/>
      <c r="P236" s="33"/>
      <c r="R236" s="33"/>
      <c r="S236" s="33"/>
      <c r="T236" s="33"/>
      <c r="U236" s="33"/>
      <c r="V236" s="33"/>
      <c r="W236" s="33"/>
      <c r="X236" s="33"/>
      <c r="AA236" s="33"/>
      <c r="AC236" s="33"/>
    </row>
    <row r="237" ht="15.75" customHeight="1">
      <c r="A237" s="33"/>
      <c r="B237" s="33"/>
      <c r="F237" s="33"/>
      <c r="G237" s="33"/>
      <c r="H237" s="33"/>
      <c r="I237" s="33"/>
      <c r="J237" s="33"/>
      <c r="L237" s="33"/>
      <c r="M237" s="33"/>
      <c r="N237" s="33"/>
      <c r="O237" s="33"/>
      <c r="P237" s="33"/>
      <c r="R237" s="33"/>
      <c r="S237" s="33"/>
      <c r="T237" s="33"/>
      <c r="U237" s="33"/>
      <c r="V237" s="33"/>
      <c r="W237" s="33"/>
      <c r="X237" s="33"/>
      <c r="AA237" s="33"/>
      <c r="AC237" s="33"/>
    </row>
    <row r="238" ht="15.75" customHeight="1">
      <c r="A238" s="33"/>
      <c r="B238" s="33"/>
      <c r="F238" s="33"/>
      <c r="G238" s="33"/>
      <c r="H238" s="33"/>
      <c r="I238" s="33"/>
      <c r="J238" s="33"/>
      <c r="L238" s="33"/>
      <c r="M238" s="33"/>
      <c r="N238" s="33"/>
      <c r="O238" s="33"/>
      <c r="P238" s="33"/>
      <c r="R238" s="33"/>
      <c r="S238" s="33"/>
      <c r="T238" s="33"/>
      <c r="U238" s="33"/>
      <c r="V238" s="33"/>
      <c r="W238" s="33"/>
      <c r="X238" s="33"/>
      <c r="AA238" s="33"/>
      <c r="AC238" s="33"/>
    </row>
    <row r="239" ht="15.75" customHeight="1">
      <c r="A239" s="33"/>
      <c r="B239" s="33"/>
      <c r="F239" s="33"/>
      <c r="G239" s="33"/>
      <c r="H239" s="33"/>
      <c r="I239" s="33"/>
      <c r="J239" s="33"/>
      <c r="L239" s="33"/>
      <c r="M239" s="33"/>
      <c r="N239" s="33"/>
      <c r="O239" s="33"/>
      <c r="P239" s="33"/>
      <c r="R239" s="33"/>
      <c r="S239" s="33"/>
      <c r="T239" s="33"/>
      <c r="U239" s="33"/>
      <c r="V239" s="33"/>
      <c r="W239" s="33"/>
      <c r="X239" s="33"/>
      <c r="AA239" s="33"/>
      <c r="AC239" s="33"/>
    </row>
    <row r="240" ht="15.75" customHeight="1">
      <c r="A240" s="33"/>
      <c r="B240" s="33"/>
      <c r="F240" s="33"/>
      <c r="G240" s="33"/>
      <c r="H240" s="33"/>
      <c r="I240" s="33"/>
      <c r="J240" s="33"/>
      <c r="L240" s="33"/>
      <c r="M240" s="33"/>
      <c r="N240" s="33"/>
      <c r="O240" s="33"/>
      <c r="P240" s="33"/>
      <c r="R240" s="33"/>
      <c r="S240" s="33"/>
      <c r="T240" s="33"/>
      <c r="U240" s="33"/>
      <c r="V240" s="33"/>
      <c r="W240" s="33"/>
      <c r="X240" s="33"/>
      <c r="AA240" s="33"/>
      <c r="AC240" s="33"/>
    </row>
    <row r="241" ht="15.75" customHeight="1">
      <c r="A241" s="33"/>
      <c r="B241" s="33"/>
      <c r="F241" s="33"/>
      <c r="G241" s="33"/>
      <c r="H241" s="33"/>
      <c r="I241" s="33"/>
      <c r="J241" s="33"/>
      <c r="L241" s="33"/>
      <c r="M241" s="33"/>
      <c r="N241" s="33"/>
      <c r="O241" s="33"/>
      <c r="P241" s="33"/>
      <c r="R241" s="33"/>
      <c r="S241" s="33"/>
      <c r="T241" s="33"/>
      <c r="U241" s="33"/>
      <c r="V241" s="33"/>
      <c r="W241" s="33"/>
      <c r="X241" s="33"/>
      <c r="AA241" s="33"/>
      <c r="AC241" s="33"/>
    </row>
    <row r="242" ht="15.75" customHeight="1">
      <c r="A242" s="33"/>
      <c r="B242" s="33"/>
      <c r="F242" s="33"/>
      <c r="G242" s="33"/>
      <c r="H242" s="33"/>
      <c r="I242" s="33"/>
      <c r="J242" s="33"/>
      <c r="L242" s="33"/>
      <c r="M242" s="33"/>
      <c r="N242" s="33"/>
      <c r="O242" s="33"/>
      <c r="P242" s="33"/>
      <c r="R242" s="33"/>
      <c r="S242" s="33"/>
      <c r="T242" s="33"/>
      <c r="U242" s="33"/>
      <c r="V242" s="33"/>
      <c r="W242" s="33"/>
      <c r="X242" s="33"/>
      <c r="AA242" s="33"/>
      <c r="AC242" s="33"/>
    </row>
    <row r="243" ht="15.75" customHeight="1">
      <c r="A243" s="33"/>
      <c r="B243" s="33"/>
      <c r="F243" s="33"/>
      <c r="G243" s="33"/>
      <c r="H243" s="33"/>
      <c r="I243" s="33"/>
      <c r="J243" s="33"/>
      <c r="L243" s="33"/>
      <c r="M243" s="33"/>
      <c r="N243" s="33"/>
      <c r="O243" s="33"/>
      <c r="P243" s="33"/>
      <c r="R243" s="33"/>
      <c r="S243" s="33"/>
      <c r="T243" s="33"/>
      <c r="U243" s="33"/>
      <c r="V243" s="33"/>
      <c r="W243" s="33"/>
      <c r="X243" s="33"/>
      <c r="AA243" s="33"/>
      <c r="AC243" s="33"/>
    </row>
    <row r="244" ht="15.75" customHeight="1">
      <c r="A244" s="33"/>
      <c r="B244" s="33"/>
      <c r="F244" s="33"/>
      <c r="G244" s="33"/>
      <c r="H244" s="33"/>
      <c r="I244" s="33"/>
      <c r="J244" s="33"/>
      <c r="L244" s="33"/>
      <c r="M244" s="33"/>
      <c r="N244" s="33"/>
      <c r="O244" s="33"/>
      <c r="P244" s="33"/>
      <c r="R244" s="33"/>
      <c r="S244" s="33"/>
      <c r="T244" s="33"/>
      <c r="U244" s="33"/>
      <c r="V244" s="33"/>
      <c r="W244" s="33"/>
      <c r="X244" s="33"/>
      <c r="AA244" s="33"/>
      <c r="AC244" s="33"/>
    </row>
    <row r="245" ht="15.75" customHeight="1">
      <c r="A245" s="33"/>
      <c r="B245" s="33"/>
      <c r="F245" s="33"/>
      <c r="G245" s="33"/>
      <c r="H245" s="33"/>
      <c r="I245" s="33"/>
      <c r="J245" s="33"/>
      <c r="L245" s="33"/>
      <c r="M245" s="33"/>
      <c r="N245" s="33"/>
      <c r="O245" s="33"/>
      <c r="P245" s="33"/>
      <c r="R245" s="33"/>
      <c r="S245" s="33"/>
      <c r="T245" s="33"/>
      <c r="U245" s="33"/>
      <c r="V245" s="33"/>
      <c r="W245" s="33"/>
      <c r="X245" s="33"/>
      <c r="AA245" s="33"/>
      <c r="AC245" s="33"/>
    </row>
    <row r="246" ht="15.75" customHeight="1">
      <c r="A246" s="33"/>
      <c r="B246" s="33"/>
      <c r="F246" s="33"/>
      <c r="G246" s="33"/>
      <c r="H246" s="33"/>
      <c r="I246" s="33"/>
      <c r="J246" s="33"/>
      <c r="L246" s="33"/>
      <c r="M246" s="33"/>
      <c r="N246" s="33"/>
      <c r="O246" s="33"/>
      <c r="P246" s="33"/>
      <c r="R246" s="33"/>
      <c r="S246" s="33"/>
      <c r="T246" s="33"/>
      <c r="U246" s="33"/>
      <c r="V246" s="33"/>
      <c r="W246" s="33"/>
      <c r="X246" s="33"/>
      <c r="AA246" s="33"/>
      <c r="AC246" s="33"/>
    </row>
    <row r="247" ht="15.75" customHeight="1">
      <c r="A247" s="33"/>
      <c r="B247" s="33"/>
      <c r="F247" s="33"/>
      <c r="G247" s="33"/>
      <c r="H247" s="33"/>
      <c r="I247" s="33"/>
      <c r="J247" s="33"/>
      <c r="L247" s="33"/>
      <c r="M247" s="33"/>
      <c r="N247" s="33"/>
      <c r="O247" s="33"/>
      <c r="P247" s="33"/>
      <c r="R247" s="33"/>
      <c r="S247" s="33"/>
      <c r="T247" s="33"/>
      <c r="U247" s="33"/>
      <c r="V247" s="33"/>
      <c r="W247" s="33"/>
      <c r="X247" s="33"/>
      <c r="AA247" s="33"/>
      <c r="AC247" s="33"/>
    </row>
    <row r="248" ht="15.75" customHeight="1">
      <c r="A248" s="33"/>
      <c r="B248" s="33"/>
      <c r="F248" s="33"/>
      <c r="G248" s="33"/>
      <c r="H248" s="33"/>
      <c r="I248" s="33"/>
      <c r="J248" s="33"/>
      <c r="L248" s="33"/>
      <c r="M248" s="33"/>
      <c r="N248" s="33"/>
      <c r="O248" s="33"/>
      <c r="P248" s="33"/>
      <c r="R248" s="33"/>
      <c r="S248" s="33"/>
      <c r="T248" s="33"/>
      <c r="U248" s="33"/>
      <c r="V248" s="33"/>
      <c r="W248" s="33"/>
      <c r="X248" s="33"/>
      <c r="AA248" s="33"/>
      <c r="AC248" s="33"/>
    </row>
    <row r="249" ht="15.75" customHeight="1">
      <c r="A249" s="33"/>
      <c r="B249" s="33"/>
      <c r="F249" s="33"/>
      <c r="G249" s="33"/>
      <c r="H249" s="33"/>
      <c r="I249" s="33"/>
      <c r="J249" s="33"/>
      <c r="L249" s="33"/>
      <c r="M249" s="33"/>
      <c r="N249" s="33"/>
      <c r="O249" s="33"/>
      <c r="P249" s="33"/>
      <c r="R249" s="33"/>
      <c r="S249" s="33"/>
      <c r="T249" s="33"/>
      <c r="U249" s="33"/>
      <c r="V249" s="33"/>
      <c r="W249" s="33"/>
      <c r="X249" s="33"/>
      <c r="AA249" s="33"/>
      <c r="AC249" s="33"/>
    </row>
    <row r="250" ht="15.75" customHeight="1">
      <c r="A250" s="33"/>
      <c r="B250" s="33"/>
      <c r="F250" s="33"/>
      <c r="G250" s="33"/>
      <c r="H250" s="33"/>
      <c r="I250" s="33"/>
      <c r="J250" s="33"/>
      <c r="L250" s="33"/>
      <c r="M250" s="33"/>
      <c r="N250" s="33"/>
      <c r="O250" s="33"/>
      <c r="P250" s="33"/>
      <c r="R250" s="33"/>
      <c r="S250" s="33"/>
      <c r="T250" s="33"/>
      <c r="U250" s="33"/>
      <c r="V250" s="33"/>
      <c r="W250" s="33"/>
      <c r="X250" s="33"/>
      <c r="AA250" s="33"/>
      <c r="AC250" s="33"/>
    </row>
    <row r="251" ht="15.75" customHeight="1">
      <c r="A251" s="33"/>
      <c r="B251" s="33"/>
      <c r="F251" s="33"/>
      <c r="G251" s="33"/>
      <c r="H251" s="33"/>
      <c r="I251" s="33"/>
      <c r="J251" s="33"/>
      <c r="L251" s="33"/>
      <c r="M251" s="33"/>
      <c r="N251" s="33"/>
      <c r="O251" s="33"/>
      <c r="P251" s="33"/>
      <c r="R251" s="33"/>
      <c r="S251" s="33"/>
      <c r="T251" s="33"/>
      <c r="U251" s="33"/>
      <c r="V251" s="33"/>
      <c r="W251" s="33"/>
      <c r="X251" s="33"/>
      <c r="AA251" s="33"/>
      <c r="AC251" s="33"/>
    </row>
    <row r="252" ht="15.75" customHeight="1">
      <c r="A252" s="33"/>
      <c r="B252" s="33"/>
      <c r="F252" s="33"/>
      <c r="G252" s="33"/>
      <c r="H252" s="33"/>
      <c r="I252" s="33"/>
      <c r="J252" s="33"/>
      <c r="L252" s="33"/>
      <c r="M252" s="33"/>
      <c r="N252" s="33"/>
      <c r="O252" s="33"/>
      <c r="P252" s="33"/>
      <c r="R252" s="33"/>
      <c r="S252" s="33"/>
      <c r="T252" s="33"/>
      <c r="U252" s="33"/>
      <c r="V252" s="33"/>
      <c r="W252" s="33"/>
      <c r="X252" s="33"/>
      <c r="AA252" s="33"/>
      <c r="AC252" s="33"/>
    </row>
    <row r="253" ht="15.75" customHeight="1">
      <c r="A253" s="33"/>
      <c r="B253" s="33"/>
      <c r="F253" s="33"/>
      <c r="G253" s="33"/>
      <c r="H253" s="33"/>
      <c r="I253" s="33"/>
      <c r="J253" s="33"/>
      <c r="L253" s="33"/>
      <c r="M253" s="33"/>
      <c r="N253" s="33"/>
      <c r="O253" s="33"/>
      <c r="P253" s="33"/>
      <c r="R253" s="33"/>
      <c r="S253" s="33"/>
      <c r="T253" s="33"/>
      <c r="U253" s="33"/>
      <c r="V253" s="33"/>
      <c r="W253" s="33"/>
      <c r="X253" s="33"/>
      <c r="AA253" s="33"/>
      <c r="AC253" s="33"/>
    </row>
    <row r="254" ht="15.75" customHeight="1">
      <c r="A254" s="33"/>
      <c r="B254" s="33"/>
      <c r="F254" s="33"/>
      <c r="G254" s="33"/>
      <c r="H254" s="33"/>
      <c r="I254" s="33"/>
      <c r="J254" s="33"/>
      <c r="L254" s="33"/>
      <c r="M254" s="33"/>
      <c r="N254" s="33"/>
      <c r="O254" s="33"/>
      <c r="P254" s="33"/>
      <c r="R254" s="33"/>
      <c r="S254" s="33"/>
      <c r="T254" s="33"/>
      <c r="U254" s="33"/>
      <c r="V254" s="33"/>
      <c r="W254" s="33"/>
      <c r="X254" s="33"/>
      <c r="AA254" s="33"/>
      <c r="AC254" s="33"/>
    </row>
    <row r="255" ht="15.75" customHeight="1">
      <c r="A255" s="33"/>
      <c r="B255" s="33"/>
      <c r="F255" s="33"/>
      <c r="G255" s="33"/>
      <c r="H255" s="33"/>
      <c r="I255" s="33"/>
      <c r="J255" s="33"/>
      <c r="L255" s="33"/>
      <c r="M255" s="33"/>
      <c r="N255" s="33"/>
      <c r="O255" s="33"/>
      <c r="P255" s="33"/>
      <c r="R255" s="33"/>
      <c r="S255" s="33"/>
      <c r="T255" s="33"/>
      <c r="U255" s="33"/>
      <c r="V255" s="33"/>
      <c r="W255" s="33"/>
      <c r="X255" s="33"/>
      <c r="AA255" s="33"/>
      <c r="AC255" s="33"/>
    </row>
    <row r="256" ht="15.75" customHeight="1">
      <c r="A256" s="33"/>
      <c r="B256" s="33"/>
      <c r="F256" s="33"/>
      <c r="G256" s="33"/>
      <c r="H256" s="33"/>
      <c r="I256" s="33"/>
      <c r="J256" s="33"/>
      <c r="L256" s="33"/>
      <c r="M256" s="33"/>
      <c r="N256" s="33"/>
      <c r="O256" s="33"/>
      <c r="P256" s="33"/>
      <c r="R256" s="33"/>
      <c r="S256" s="33"/>
      <c r="T256" s="33"/>
      <c r="U256" s="33"/>
      <c r="V256" s="33"/>
      <c r="W256" s="33"/>
      <c r="X256" s="33"/>
      <c r="AA256" s="33"/>
      <c r="AC256" s="33"/>
    </row>
    <row r="257" ht="15.75" customHeight="1">
      <c r="A257" s="33"/>
      <c r="B257" s="33"/>
      <c r="F257" s="33"/>
      <c r="G257" s="33"/>
      <c r="H257" s="33"/>
      <c r="I257" s="33"/>
      <c r="J257" s="33"/>
      <c r="L257" s="33"/>
      <c r="M257" s="33"/>
      <c r="N257" s="33"/>
      <c r="O257" s="33"/>
      <c r="P257" s="33"/>
      <c r="R257" s="33"/>
      <c r="S257" s="33"/>
      <c r="T257" s="33"/>
      <c r="U257" s="33"/>
      <c r="V257" s="33"/>
      <c r="W257" s="33"/>
      <c r="X257" s="33"/>
      <c r="AA257" s="33"/>
      <c r="AC257" s="33"/>
    </row>
    <row r="258" ht="15.75" customHeight="1">
      <c r="A258" s="33"/>
      <c r="B258" s="33"/>
      <c r="F258" s="33"/>
      <c r="G258" s="33"/>
      <c r="H258" s="33"/>
      <c r="I258" s="33"/>
      <c r="J258" s="33"/>
      <c r="L258" s="33"/>
      <c r="M258" s="33"/>
      <c r="N258" s="33"/>
      <c r="O258" s="33"/>
      <c r="P258" s="33"/>
      <c r="R258" s="33"/>
      <c r="S258" s="33"/>
      <c r="T258" s="33"/>
      <c r="U258" s="33"/>
      <c r="V258" s="33"/>
      <c r="W258" s="33"/>
      <c r="X258" s="33"/>
      <c r="AA258" s="33"/>
      <c r="AC258" s="33"/>
    </row>
    <row r="259" ht="15.75" customHeight="1">
      <c r="A259" s="33"/>
      <c r="B259" s="33"/>
      <c r="F259" s="33"/>
      <c r="G259" s="33"/>
      <c r="H259" s="33"/>
      <c r="I259" s="33"/>
      <c r="J259" s="33"/>
      <c r="L259" s="33"/>
      <c r="M259" s="33"/>
      <c r="N259" s="33"/>
      <c r="O259" s="33"/>
      <c r="P259" s="33"/>
      <c r="R259" s="33"/>
      <c r="S259" s="33"/>
      <c r="T259" s="33"/>
      <c r="U259" s="33"/>
      <c r="V259" s="33"/>
      <c r="W259" s="33"/>
      <c r="X259" s="33"/>
      <c r="AA259" s="33"/>
      <c r="AC259" s="33"/>
    </row>
    <row r="260" ht="15.75" customHeight="1">
      <c r="A260" s="33"/>
      <c r="B260" s="33"/>
      <c r="F260" s="33"/>
      <c r="G260" s="33"/>
      <c r="H260" s="33"/>
      <c r="I260" s="33"/>
      <c r="J260" s="33"/>
      <c r="L260" s="33"/>
      <c r="M260" s="33"/>
      <c r="N260" s="33"/>
      <c r="O260" s="33"/>
      <c r="P260" s="33"/>
      <c r="R260" s="33"/>
      <c r="S260" s="33"/>
      <c r="T260" s="33"/>
      <c r="U260" s="33"/>
      <c r="V260" s="33"/>
      <c r="W260" s="33"/>
      <c r="X260" s="33"/>
      <c r="AA260" s="33"/>
      <c r="AC260" s="33"/>
    </row>
    <row r="261" ht="15.75" customHeight="1">
      <c r="A261" s="33"/>
      <c r="B261" s="33"/>
      <c r="F261" s="33"/>
      <c r="G261" s="33"/>
      <c r="H261" s="33"/>
      <c r="I261" s="33"/>
      <c r="J261" s="33"/>
      <c r="L261" s="33"/>
      <c r="M261" s="33"/>
      <c r="N261" s="33"/>
      <c r="O261" s="33"/>
      <c r="P261" s="33"/>
      <c r="R261" s="33"/>
      <c r="S261" s="33"/>
      <c r="T261" s="33"/>
      <c r="U261" s="33"/>
      <c r="V261" s="33"/>
      <c r="W261" s="33"/>
      <c r="X261" s="33"/>
      <c r="AA261" s="33"/>
      <c r="AC261" s="33"/>
    </row>
    <row r="262" ht="15.75" customHeight="1">
      <c r="A262" s="33"/>
      <c r="B262" s="33"/>
      <c r="F262" s="33"/>
      <c r="G262" s="33"/>
      <c r="H262" s="33"/>
      <c r="I262" s="33"/>
      <c r="J262" s="33"/>
      <c r="L262" s="33"/>
      <c r="M262" s="33"/>
      <c r="N262" s="33"/>
      <c r="O262" s="33"/>
      <c r="P262" s="33"/>
      <c r="R262" s="33"/>
      <c r="S262" s="33"/>
      <c r="T262" s="33"/>
      <c r="U262" s="33"/>
      <c r="V262" s="33"/>
      <c r="W262" s="33"/>
      <c r="X262" s="33"/>
      <c r="AA262" s="33"/>
      <c r="AC262" s="33"/>
    </row>
    <row r="263" ht="15.75" customHeight="1">
      <c r="A263" s="33"/>
      <c r="B263" s="33"/>
      <c r="F263" s="33"/>
      <c r="G263" s="33"/>
      <c r="H263" s="33"/>
      <c r="I263" s="33"/>
      <c r="J263" s="33"/>
      <c r="L263" s="33"/>
      <c r="M263" s="33"/>
      <c r="N263" s="33"/>
      <c r="O263" s="33"/>
      <c r="P263" s="33"/>
      <c r="R263" s="33"/>
      <c r="S263" s="33"/>
      <c r="T263" s="33"/>
      <c r="U263" s="33"/>
      <c r="V263" s="33"/>
      <c r="W263" s="33"/>
      <c r="X263" s="33"/>
      <c r="AA263" s="33"/>
      <c r="AC263" s="33"/>
    </row>
    <row r="264" ht="15.75" customHeight="1">
      <c r="A264" s="33"/>
      <c r="B264" s="33"/>
      <c r="F264" s="33"/>
      <c r="G264" s="33"/>
      <c r="H264" s="33"/>
      <c r="I264" s="33"/>
      <c r="J264" s="33"/>
      <c r="L264" s="33"/>
      <c r="M264" s="33"/>
      <c r="N264" s="33"/>
      <c r="O264" s="33"/>
      <c r="P264" s="33"/>
      <c r="R264" s="33"/>
      <c r="S264" s="33"/>
      <c r="T264" s="33"/>
      <c r="U264" s="33"/>
      <c r="V264" s="33"/>
      <c r="W264" s="33"/>
      <c r="X264" s="33"/>
      <c r="AA264" s="33"/>
      <c r="AC264" s="33"/>
    </row>
    <row r="265" ht="15.75" customHeight="1">
      <c r="A265" s="33"/>
      <c r="B265" s="33"/>
      <c r="F265" s="33"/>
      <c r="G265" s="33"/>
      <c r="H265" s="33"/>
      <c r="I265" s="33"/>
      <c r="J265" s="33"/>
      <c r="L265" s="33"/>
      <c r="M265" s="33"/>
      <c r="N265" s="33"/>
      <c r="O265" s="33"/>
      <c r="P265" s="33"/>
      <c r="R265" s="33"/>
      <c r="S265" s="33"/>
      <c r="T265" s="33"/>
      <c r="U265" s="33"/>
      <c r="V265" s="33"/>
      <c r="W265" s="33"/>
      <c r="X265" s="33"/>
      <c r="AA265" s="33"/>
      <c r="AC265" s="33"/>
    </row>
    <row r="266" ht="15.75" customHeight="1">
      <c r="A266" s="33"/>
      <c r="B266" s="33"/>
      <c r="F266" s="33"/>
      <c r="G266" s="33"/>
      <c r="H266" s="33"/>
      <c r="I266" s="33"/>
      <c r="J266" s="33"/>
      <c r="L266" s="33"/>
      <c r="M266" s="33"/>
      <c r="N266" s="33"/>
      <c r="O266" s="33"/>
      <c r="P266" s="33"/>
      <c r="R266" s="33"/>
      <c r="S266" s="33"/>
      <c r="T266" s="33"/>
      <c r="U266" s="33"/>
      <c r="V266" s="33"/>
      <c r="W266" s="33"/>
      <c r="X266" s="33"/>
      <c r="AA266" s="33"/>
      <c r="AC266" s="33"/>
    </row>
    <row r="267" ht="15.75" customHeight="1">
      <c r="A267" s="33"/>
      <c r="B267" s="33"/>
      <c r="F267" s="33"/>
      <c r="G267" s="33"/>
      <c r="H267" s="33"/>
      <c r="I267" s="33"/>
      <c r="J267" s="33"/>
      <c r="L267" s="33"/>
      <c r="M267" s="33"/>
      <c r="N267" s="33"/>
      <c r="O267" s="33"/>
      <c r="P267" s="33"/>
      <c r="R267" s="33"/>
      <c r="S267" s="33"/>
      <c r="T267" s="33"/>
      <c r="U267" s="33"/>
      <c r="V267" s="33"/>
      <c r="W267" s="33"/>
      <c r="X267" s="33"/>
      <c r="AA267" s="33"/>
      <c r="AC267" s="33"/>
    </row>
    <row r="268" ht="15.75" customHeight="1">
      <c r="A268" s="33"/>
      <c r="B268" s="33"/>
      <c r="F268" s="33"/>
      <c r="G268" s="33"/>
      <c r="H268" s="33"/>
      <c r="I268" s="33"/>
      <c r="J268" s="33"/>
      <c r="L268" s="33"/>
      <c r="M268" s="33"/>
      <c r="N268" s="33"/>
      <c r="O268" s="33"/>
      <c r="P268" s="33"/>
      <c r="R268" s="33"/>
      <c r="S268" s="33"/>
      <c r="T268" s="33"/>
      <c r="U268" s="33"/>
      <c r="V268" s="33"/>
      <c r="W268" s="33"/>
      <c r="X268" s="33"/>
      <c r="AA268" s="33"/>
      <c r="AC268" s="33"/>
    </row>
    <row r="269" ht="15.75" customHeight="1">
      <c r="A269" s="33"/>
      <c r="B269" s="33"/>
      <c r="F269" s="33"/>
      <c r="G269" s="33"/>
      <c r="H269" s="33"/>
      <c r="I269" s="33"/>
      <c r="J269" s="33"/>
      <c r="L269" s="33"/>
      <c r="M269" s="33"/>
      <c r="N269" s="33"/>
      <c r="O269" s="33"/>
      <c r="P269" s="33"/>
      <c r="R269" s="33"/>
      <c r="S269" s="33"/>
      <c r="T269" s="33"/>
      <c r="U269" s="33"/>
      <c r="V269" s="33"/>
      <c r="W269" s="33"/>
      <c r="X269" s="33"/>
      <c r="AA269" s="33"/>
      <c r="AC269" s="33"/>
    </row>
    <row r="270" ht="15.75" customHeight="1">
      <c r="A270" s="33"/>
      <c r="B270" s="33"/>
      <c r="F270" s="33"/>
      <c r="G270" s="33"/>
      <c r="H270" s="33"/>
      <c r="I270" s="33"/>
      <c r="J270" s="33"/>
      <c r="L270" s="33"/>
      <c r="M270" s="33"/>
      <c r="N270" s="33"/>
      <c r="O270" s="33"/>
      <c r="P270" s="33"/>
      <c r="R270" s="33"/>
      <c r="S270" s="33"/>
      <c r="T270" s="33"/>
      <c r="U270" s="33"/>
      <c r="V270" s="33"/>
      <c r="W270" s="33"/>
      <c r="X270" s="33"/>
      <c r="AA270" s="33"/>
      <c r="AC270" s="33"/>
    </row>
    <row r="271" ht="15.75" customHeight="1">
      <c r="A271" s="33"/>
      <c r="B271" s="33"/>
      <c r="F271" s="33"/>
      <c r="G271" s="33"/>
      <c r="H271" s="33"/>
      <c r="I271" s="33"/>
      <c r="J271" s="33"/>
      <c r="L271" s="33"/>
      <c r="M271" s="33"/>
      <c r="N271" s="33"/>
      <c r="O271" s="33"/>
      <c r="P271" s="33"/>
      <c r="R271" s="33"/>
      <c r="S271" s="33"/>
      <c r="T271" s="33"/>
      <c r="U271" s="33"/>
      <c r="V271" s="33"/>
      <c r="W271" s="33"/>
      <c r="X271" s="33"/>
      <c r="AA271" s="33"/>
      <c r="AC271" s="33"/>
    </row>
    <row r="272" ht="15.75" customHeight="1">
      <c r="A272" s="33"/>
      <c r="B272" s="33"/>
      <c r="F272" s="33"/>
      <c r="G272" s="33"/>
      <c r="H272" s="33"/>
      <c r="I272" s="33"/>
      <c r="J272" s="33"/>
      <c r="L272" s="33"/>
      <c r="M272" s="33"/>
      <c r="N272" s="33"/>
      <c r="O272" s="33"/>
      <c r="P272" s="33"/>
      <c r="R272" s="33"/>
      <c r="S272" s="33"/>
      <c r="T272" s="33"/>
      <c r="U272" s="33"/>
      <c r="V272" s="33"/>
      <c r="W272" s="33"/>
      <c r="X272" s="33"/>
      <c r="AA272" s="33"/>
      <c r="AC272" s="33"/>
    </row>
    <row r="273" ht="15.75" customHeight="1">
      <c r="A273" s="33"/>
      <c r="B273" s="33"/>
      <c r="F273" s="33"/>
      <c r="G273" s="33"/>
      <c r="H273" s="33"/>
      <c r="I273" s="33"/>
      <c r="J273" s="33"/>
      <c r="L273" s="33"/>
      <c r="M273" s="33"/>
      <c r="N273" s="33"/>
      <c r="O273" s="33"/>
      <c r="P273" s="33"/>
      <c r="R273" s="33"/>
      <c r="S273" s="33"/>
      <c r="T273" s="33"/>
      <c r="U273" s="33"/>
      <c r="V273" s="33"/>
      <c r="W273" s="33"/>
      <c r="X273" s="33"/>
      <c r="AA273" s="33"/>
      <c r="AC273" s="33"/>
    </row>
    <row r="274" ht="15.75" customHeight="1">
      <c r="A274" s="33"/>
      <c r="B274" s="33"/>
      <c r="F274" s="33"/>
      <c r="G274" s="33"/>
      <c r="H274" s="33"/>
      <c r="I274" s="33"/>
      <c r="J274" s="33"/>
      <c r="L274" s="33"/>
      <c r="M274" s="33"/>
      <c r="N274" s="33"/>
      <c r="O274" s="33"/>
      <c r="P274" s="33"/>
      <c r="R274" s="33"/>
      <c r="S274" s="33"/>
      <c r="T274" s="33"/>
      <c r="U274" s="33"/>
      <c r="V274" s="33"/>
      <c r="W274" s="33"/>
      <c r="X274" s="33"/>
      <c r="AA274" s="33"/>
      <c r="AC274" s="33"/>
    </row>
    <row r="275" ht="15.75" customHeight="1">
      <c r="A275" s="33"/>
      <c r="B275" s="33"/>
      <c r="F275" s="33"/>
      <c r="G275" s="33"/>
      <c r="H275" s="33"/>
      <c r="I275" s="33"/>
      <c r="J275" s="33"/>
      <c r="L275" s="33"/>
      <c r="M275" s="33"/>
      <c r="N275" s="33"/>
      <c r="O275" s="33"/>
      <c r="P275" s="33"/>
      <c r="R275" s="33"/>
      <c r="S275" s="33"/>
      <c r="T275" s="33"/>
      <c r="U275" s="33"/>
      <c r="V275" s="33"/>
      <c r="W275" s="33"/>
      <c r="X275" s="33"/>
      <c r="AA275" s="33"/>
      <c r="AC275" s="33"/>
    </row>
    <row r="276" ht="15.75" customHeight="1">
      <c r="A276" s="33"/>
      <c r="B276" s="33"/>
      <c r="F276" s="33"/>
      <c r="G276" s="33"/>
      <c r="H276" s="33"/>
      <c r="I276" s="33"/>
      <c r="J276" s="33"/>
      <c r="L276" s="33"/>
      <c r="M276" s="33"/>
      <c r="N276" s="33"/>
      <c r="O276" s="33"/>
      <c r="P276" s="33"/>
      <c r="R276" s="33"/>
      <c r="S276" s="33"/>
      <c r="T276" s="33"/>
      <c r="U276" s="33"/>
      <c r="V276" s="33"/>
      <c r="W276" s="33"/>
      <c r="X276" s="33"/>
      <c r="AA276" s="33"/>
      <c r="AC276" s="33"/>
    </row>
    <row r="277" ht="15.75" customHeight="1">
      <c r="A277" s="33"/>
      <c r="B277" s="33"/>
      <c r="F277" s="33"/>
      <c r="G277" s="33"/>
      <c r="H277" s="33"/>
      <c r="I277" s="33"/>
      <c r="J277" s="33"/>
      <c r="L277" s="33"/>
      <c r="M277" s="33"/>
      <c r="N277" s="33"/>
      <c r="O277" s="33"/>
      <c r="P277" s="33"/>
      <c r="R277" s="33"/>
      <c r="S277" s="33"/>
      <c r="T277" s="33"/>
      <c r="U277" s="33"/>
      <c r="V277" s="33"/>
      <c r="W277" s="33"/>
      <c r="X277" s="33"/>
      <c r="AA277" s="33"/>
      <c r="AC277" s="33"/>
    </row>
    <row r="278" ht="15.75" customHeight="1">
      <c r="A278" s="33"/>
      <c r="B278" s="33"/>
      <c r="F278" s="33"/>
      <c r="G278" s="33"/>
      <c r="H278" s="33"/>
      <c r="I278" s="33"/>
      <c r="J278" s="33"/>
      <c r="L278" s="33"/>
      <c r="M278" s="33"/>
      <c r="N278" s="33"/>
      <c r="O278" s="33"/>
      <c r="P278" s="33"/>
      <c r="R278" s="33"/>
      <c r="S278" s="33"/>
      <c r="T278" s="33"/>
      <c r="U278" s="33"/>
      <c r="V278" s="33"/>
      <c r="W278" s="33"/>
      <c r="X278" s="33"/>
      <c r="AA278" s="33"/>
      <c r="AC278" s="33"/>
    </row>
    <row r="279" ht="15.75" customHeight="1">
      <c r="A279" s="33"/>
      <c r="B279" s="33"/>
      <c r="F279" s="33"/>
      <c r="G279" s="33"/>
      <c r="H279" s="33"/>
      <c r="I279" s="33"/>
      <c r="J279" s="33"/>
      <c r="L279" s="33"/>
      <c r="M279" s="33"/>
      <c r="N279" s="33"/>
      <c r="O279" s="33"/>
      <c r="P279" s="33"/>
      <c r="R279" s="33"/>
      <c r="S279" s="33"/>
      <c r="T279" s="33"/>
      <c r="U279" s="33"/>
      <c r="V279" s="33"/>
      <c r="W279" s="33"/>
      <c r="X279" s="33"/>
      <c r="AA279" s="33"/>
      <c r="AC279" s="33"/>
    </row>
    <row r="280" ht="15.75" customHeight="1">
      <c r="A280" s="33"/>
      <c r="B280" s="33"/>
      <c r="F280" s="33"/>
      <c r="G280" s="33"/>
      <c r="H280" s="33"/>
      <c r="I280" s="33"/>
      <c r="J280" s="33"/>
      <c r="L280" s="33"/>
      <c r="M280" s="33"/>
      <c r="N280" s="33"/>
      <c r="O280" s="33"/>
      <c r="P280" s="33"/>
      <c r="R280" s="33"/>
      <c r="S280" s="33"/>
      <c r="T280" s="33"/>
      <c r="U280" s="33"/>
      <c r="V280" s="33"/>
      <c r="W280" s="33"/>
      <c r="X280" s="33"/>
      <c r="AA280" s="33"/>
      <c r="AC280" s="33"/>
    </row>
    <row r="281" ht="15.75" customHeight="1">
      <c r="A281" s="33"/>
      <c r="B281" s="33"/>
      <c r="F281" s="33"/>
      <c r="G281" s="33"/>
      <c r="H281" s="33"/>
      <c r="I281" s="33"/>
      <c r="J281" s="33"/>
      <c r="L281" s="33"/>
      <c r="M281" s="33"/>
      <c r="N281" s="33"/>
      <c r="O281" s="33"/>
      <c r="P281" s="33"/>
      <c r="R281" s="33"/>
      <c r="S281" s="33"/>
      <c r="T281" s="33"/>
      <c r="U281" s="33"/>
      <c r="V281" s="33"/>
      <c r="W281" s="33"/>
      <c r="X281" s="33"/>
      <c r="AA281" s="33"/>
      <c r="AC281" s="33"/>
    </row>
    <row r="282" ht="15.75" customHeight="1">
      <c r="A282" s="33"/>
      <c r="B282" s="33"/>
      <c r="F282" s="33"/>
      <c r="G282" s="33"/>
      <c r="H282" s="33"/>
      <c r="I282" s="33"/>
      <c r="J282" s="33"/>
      <c r="L282" s="33"/>
      <c r="M282" s="33"/>
      <c r="N282" s="33"/>
      <c r="O282" s="33"/>
      <c r="P282" s="33"/>
      <c r="R282" s="33"/>
      <c r="S282" s="33"/>
      <c r="T282" s="33"/>
      <c r="U282" s="33"/>
      <c r="V282" s="33"/>
      <c r="W282" s="33"/>
      <c r="X282" s="33"/>
      <c r="AA282" s="33"/>
      <c r="AC282" s="33"/>
    </row>
    <row r="283" ht="15.75" customHeight="1">
      <c r="A283" s="33"/>
      <c r="B283" s="33"/>
      <c r="F283" s="33"/>
      <c r="G283" s="33"/>
      <c r="H283" s="33"/>
      <c r="I283" s="33"/>
      <c r="J283" s="33"/>
      <c r="L283" s="33"/>
      <c r="M283" s="33"/>
      <c r="N283" s="33"/>
      <c r="O283" s="33"/>
      <c r="P283" s="33"/>
      <c r="R283" s="33"/>
      <c r="S283" s="33"/>
      <c r="T283" s="33"/>
      <c r="U283" s="33"/>
      <c r="V283" s="33"/>
      <c r="W283" s="33"/>
      <c r="X283" s="33"/>
      <c r="AA283" s="33"/>
      <c r="AC283" s="33"/>
    </row>
    <row r="284" ht="15.75" customHeight="1">
      <c r="A284" s="33"/>
      <c r="B284" s="33"/>
      <c r="F284" s="33"/>
      <c r="G284" s="33"/>
      <c r="H284" s="33"/>
      <c r="I284" s="33"/>
      <c r="J284" s="33"/>
      <c r="L284" s="33"/>
      <c r="M284" s="33"/>
      <c r="N284" s="33"/>
      <c r="O284" s="33"/>
      <c r="P284" s="33"/>
      <c r="R284" s="33"/>
      <c r="S284" s="33"/>
      <c r="T284" s="33"/>
      <c r="U284" s="33"/>
      <c r="V284" s="33"/>
      <c r="W284" s="33"/>
      <c r="X284" s="33"/>
      <c r="AA284" s="33"/>
      <c r="AC284" s="33"/>
    </row>
    <row r="285" ht="15.75" customHeight="1">
      <c r="A285" s="33"/>
      <c r="B285" s="33"/>
      <c r="F285" s="33"/>
      <c r="G285" s="33"/>
      <c r="H285" s="33"/>
      <c r="I285" s="33"/>
      <c r="J285" s="33"/>
      <c r="L285" s="33"/>
      <c r="M285" s="33"/>
      <c r="N285" s="33"/>
      <c r="O285" s="33"/>
      <c r="P285" s="33"/>
      <c r="R285" s="33"/>
      <c r="S285" s="33"/>
      <c r="T285" s="33"/>
      <c r="U285" s="33"/>
      <c r="V285" s="33"/>
      <c r="W285" s="33"/>
      <c r="X285" s="33"/>
      <c r="AA285" s="33"/>
      <c r="AC285" s="33"/>
    </row>
    <row r="286" ht="15.75" customHeight="1">
      <c r="A286" s="33"/>
      <c r="B286" s="33"/>
      <c r="F286" s="33"/>
      <c r="G286" s="33"/>
      <c r="H286" s="33"/>
      <c r="I286" s="33"/>
      <c r="J286" s="33"/>
      <c r="L286" s="33"/>
      <c r="M286" s="33"/>
      <c r="N286" s="33"/>
      <c r="O286" s="33"/>
      <c r="P286" s="33"/>
      <c r="R286" s="33"/>
      <c r="S286" s="33"/>
      <c r="T286" s="33"/>
      <c r="U286" s="33"/>
      <c r="V286" s="33"/>
      <c r="W286" s="33"/>
      <c r="X286" s="33"/>
      <c r="AA286" s="33"/>
      <c r="AC286" s="33"/>
    </row>
    <row r="287" ht="15.75" customHeight="1">
      <c r="A287" s="33"/>
      <c r="B287" s="33"/>
      <c r="F287" s="33"/>
      <c r="G287" s="33"/>
      <c r="H287" s="33"/>
      <c r="I287" s="33"/>
      <c r="J287" s="33"/>
      <c r="L287" s="33"/>
      <c r="M287" s="33"/>
      <c r="N287" s="33"/>
      <c r="O287" s="33"/>
      <c r="P287" s="33"/>
      <c r="R287" s="33"/>
      <c r="S287" s="33"/>
      <c r="T287" s="33"/>
      <c r="U287" s="33"/>
      <c r="V287" s="33"/>
      <c r="W287" s="33"/>
      <c r="X287" s="33"/>
      <c r="AA287" s="33"/>
      <c r="AC287" s="33"/>
    </row>
    <row r="288" ht="15.75" customHeight="1">
      <c r="A288" s="33"/>
      <c r="B288" s="33"/>
      <c r="F288" s="33"/>
      <c r="G288" s="33"/>
      <c r="H288" s="33"/>
      <c r="I288" s="33"/>
      <c r="J288" s="33"/>
      <c r="L288" s="33"/>
      <c r="M288" s="33"/>
      <c r="N288" s="33"/>
      <c r="O288" s="33"/>
      <c r="P288" s="33"/>
      <c r="R288" s="33"/>
      <c r="S288" s="33"/>
      <c r="T288" s="33"/>
      <c r="U288" s="33"/>
      <c r="V288" s="33"/>
      <c r="W288" s="33"/>
      <c r="X288" s="33"/>
      <c r="AA288" s="33"/>
      <c r="AC288" s="33"/>
    </row>
    <row r="289" ht="15.75" customHeight="1">
      <c r="A289" s="33"/>
      <c r="B289" s="33"/>
      <c r="F289" s="33"/>
      <c r="G289" s="33"/>
      <c r="H289" s="33"/>
      <c r="I289" s="33"/>
      <c r="J289" s="33"/>
      <c r="L289" s="33"/>
      <c r="M289" s="33"/>
      <c r="N289" s="33"/>
      <c r="O289" s="33"/>
      <c r="P289" s="33"/>
      <c r="R289" s="33"/>
      <c r="S289" s="33"/>
      <c r="T289" s="33"/>
      <c r="U289" s="33"/>
      <c r="V289" s="33"/>
      <c r="W289" s="33"/>
      <c r="X289" s="33"/>
      <c r="AA289" s="33"/>
      <c r="AC289" s="33"/>
    </row>
    <row r="290" ht="15.75" customHeight="1">
      <c r="A290" s="33"/>
      <c r="B290" s="33"/>
      <c r="F290" s="33"/>
      <c r="G290" s="33"/>
      <c r="H290" s="33"/>
      <c r="I290" s="33"/>
      <c r="J290" s="33"/>
      <c r="L290" s="33"/>
      <c r="M290" s="33"/>
      <c r="N290" s="33"/>
      <c r="O290" s="33"/>
      <c r="P290" s="33"/>
      <c r="R290" s="33"/>
      <c r="S290" s="33"/>
      <c r="T290" s="33"/>
      <c r="U290" s="33"/>
      <c r="V290" s="33"/>
      <c r="W290" s="33"/>
      <c r="X290" s="33"/>
      <c r="AA290" s="33"/>
      <c r="AC290" s="33"/>
    </row>
    <row r="291" ht="15.75" customHeight="1">
      <c r="A291" s="33"/>
      <c r="B291" s="33"/>
      <c r="F291" s="33"/>
      <c r="G291" s="33"/>
      <c r="H291" s="33"/>
      <c r="I291" s="33"/>
      <c r="J291" s="33"/>
      <c r="L291" s="33"/>
      <c r="M291" s="33"/>
      <c r="N291" s="33"/>
      <c r="O291" s="33"/>
      <c r="P291" s="33"/>
      <c r="R291" s="33"/>
      <c r="S291" s="33"/>
      <c r="T291" s="33"/>
      <c r="U291" s="33"/>
      <c r="V291" s="33"/>
      <c r="W291" s="33"/>
      <c r="X291" s="33"/>
      <c r="AA291" s="33"/>
      <c r="AC291" s="33"/>
    </row>
    <row r="292" ht="15.75" customHeight="1">
      <c r="A292" s="33"/>
      <c r="B292" s="33"/>
      <c r="F292" s="33"/>
      <c r="G292" s="33"/>
      <c r="H292" s="33"/>
      <c r="I292" s="33"/>
      <c r="J292" s="33"/>
      <c r="L292" s="33"/>
      <c r="M292" s="33"/>
      <c r="N292" s="33"/>
      <c r="O292" s="33"/>
      <c r="P292" s="33"/>
      <c r="R292" s="33"/>
      <c r="S292" s="33"/>
      <c r="T292" s="33"/>
      <c r="U292" s="33"/>
      <c r="V292" s="33"/>
      <c r="W292" s="33"/>
      <c r="X292" s="33"/>
      <c r="AA292" s="33"/>
      <c r="AC292" s="33"/>
    </row>
    <row r="293" ht="15.75" customHeight="1">
      <c r="A293" s="33"/>
      <c r="B293" s="33"/>
      <c r="F293" s="33"/>
      <c r="G293" s="33"/>
      <c r="H293" s="33"/>
      <c r="I293" s="33"/>
      <c r="J293" s="33"/>
      <c r="L293" s="33"/>
      <c r="M293" s="33"/>
      <c r="N293" s="33"/>
      <c r="O293" s="33"/>
      <c r="P293" s="33"/>
      <c r="R293" s="33"/>
      <c r="S293" s="33"/>
      <c r="T293" s="33"/>
      <c r="U293" s="33"/>
      <c r="V293" s="33"/>
      <c r="W293" s="33"/>
      <c r="X293" s="33"/>
      <c r="AA293" s="33"/>
      <c r="AC293" s="33"/>
    </row>
    <row r="294" ht="15.75" customHeight="1">
      <c r="A294" s="33"/>
      <c r="B294" s="33"/>
      <c r="F294" s="33"/>
      <c r="G294" s="33"/>
      <c r="H294" s="33"/>
      <c r="I294" s="33"/>
      <c r="J294" s="33"/>
      <c r="L294" s="33"/>
      <c r="M294" s="33"/>
      <c r="N294" s="33"/>
      <c r="O294" s="33"/>
      <c r="P294" s="33"/>
      <c r="R294" s="33"/>
      <c r="S294" s="33"/>
      <c r="T294" s="33"/>
      <c r="U294" s="33"/>
      <c r="V294" s="33"/>
      <c r="W294" s="33"/>
      <c r="X294" s="33"/>
      <c r="AA294" s="33"/>
      <c r="AC294" s="33"/>
    </row>
    <row r="295" ht="15.75" customHeight="1">
      <c r="A295" s="33"/>
      <c r="B295" s="33"/>
      <c r="F295" s="33"/>
      <c r="G295" s="33"/>
      <c r="H295" s="33"/>
      <c r="I295" s="33"/>
      <c r="J295" s="33"/>
      <c r="L295" s="33"/>
      <c r="M295" s="33"/>
      <c r="N295" s="33"/>
      <c r="O295" s="33"/>
      <c r="P295" s="33"/>
      <c r="R295" s="33"/>
      <c r="S295" s="33"/>
      <c r="T295" s="33"/>
      <c r="U295" s="33"/>
      <c r="V295" s="33"/>
      <c r="W295" s="33"/>
      <c r="X295" s="33"/>
      <c r="AA295" s="33"/>
      <c r="AC295" s="33"/>
    </row>
    <row r="296" ht="15.75" customHeight="1">
      <c r="A296" s="33"/>
      <c r="B296" s="33"/>
      <c r="F296" s="33"/>
      <c r="G296" s="33"/>
      <c r="H296" s="33"/>
      <c r="I296" s="33"/>
      <c r="J296" s="33"/>
      <c r="L296" s="33"/>
      <c r="M296" s="33"/>
      <c r="N296" s="33"/>
      <c r="O296" s="33"/>
      <c r="P296" s="33"/>
      <c r="R296" s="33"/>
      <c r="S296" s="33"/>
      <c r="T296" s="33"/>
      <c r="U296" s="33"/>
      <c r="V296" s="33"/>
      <c r="W296" s="33"/>
      <c r="X296" s="33"/>
      <c r="AA296" s="33"/>
      <c r="AC296" s="33"/>
    </row>
    <row r="297" ht="15.75" customHeight="1">
      <c r="A297" s="33"/>
      <c r="B297" s="33"/>
      <c r="F297" s="33"/>
      <c r="G297" s="33"/>
      <c r="H297" s="33"/>
      <c r="I297" s="33"/>
      <c r="J297" s="33"/>
      <c r="L297" s="33"/>
      <c r="M297" s="33"/>
      <c r="N297" s="33"/>
      <c r="O297" s="33"/>
      <c r="P297" s="33"/>
      <c r="R297" s="33"/>
      <c r="S297" s="33"/>
      <c r="T297" s="33"/>
      <c r="U297" s="33"/>
      <c r="V297" s="33"/>
      <c r="W297" s="33"/>
      <c r="X297" s="33"/>
      <c r="AA297" s="33"/>
      <c r="AC297" s="33"/>
    </row>
    <row r="298" ht="15.75" customHeight="1">
      <c r="A298" s="33"/>
      <c r="B298" s="33"/>
      <c r="F298" s="33"/>
      <c r="G298" s="33"/>
      <c r="H298" s="33"/>
      <c r="I298" s="33"/>
      <c r="J298" s="33"/>
      <c r="L298" s="33"/>
      <c r="M298" s="33"/>
      <c r="N298" s="33"/>
      <c r="O298" s="33"/>
      <c r="P298" s="33"/>
      <c r="R298" s="33"/>
      <c r="S298" s="33"/>
      <c r="T298" s="33"/>
      <c r="U298" s="33"/>
      <c r="V298" s="33"/>
      <c r="W298" s="33"/>
      <c r="X298" s="33"/>
      <c r="AA298" s="33"/>
      <c r="AC298" s="33"/>
    </row>
    <row r="299" ht="15.75" customHeight="1">
      <c r="A299" s="33"/>
      <c r="B299" s="33"/>
      <c r="F299" s="33"/>
      <c r="G299" s="33"/>
      <c r="H299" s="33"/>
      <c r="I299" s="33"/>
      <c r="J299" s="33"/>
      <c r="L299" s="33"/>
      <c r="M299" s="33"/>
      <c r="N299" s="33"/>
      <c r="O299" s="33"/>
      <c r="P299" s="33"/>
      <c r="R299" s="33"/>
      <c r="S299" s="33"/>
      <c r="T299" s="33"/>
      <c r="U299" s="33"/>
      <c r="V299" s="33"/>
      <c r="W299" s="33"/>
      <c r="X299" s="33"/>
      <c r="AA299" s="33"/>
      <c r="AC299" s="33"/>
    </row>
    <row r="300" ht="15.75" customHeight="1">
      <c r="A300" s="33"/>
      <c r="B300" s="33"/>
      <c r="F300" s="33"/>
      <c r="G300" s="33"/>
      <c r="H300" s="33"/>
      <c r="I300" s="33"/>
      <c r="J300" s="33"/>
      <c r="L300" s="33"/>
      <c r="M300" s="33"/>
      <c r="N300" s="33"/>
      <c r="O300" s="33"/>
      <c r="P300" s="33"/>
      <c r="R300" s="33"/>
      <c r="S300" s="33"/>
      <c r="T300" s="33"/>
      <c r="U300" s="33"/>
      <c r="V300" s="33"/>
      <c r="W300" s="33"/>
      <c r="X300" s="33"/>
      <c r="AA300" s="33"/>
      <c r="AC300" s="33"/>
    </row>
    <row r="301" ht="15.75" customHeight="1">
      <c r="A301" s="33"/>
      <c r="B301" s="33"/>
      <c r="F301" s="33"/>
      <c r="G301" s="33"/>
      <c r="H301" s="33"/>
      <c r="I301" s="33"/>
      <c r="J301" s="33"/>
      <c r="L301" s="33"/>
      <c r="M301" s="33"/>
      <c r="N301" s="33"/>
      <c r="O301" s="33"/>
      <c r="P301" s="33"/>
      <c r="R301" s="33"/>
      <c r="S301" s="33"/>
      <c r="T301" s="33"/>
      <c r="U301" s="33"/>
      <c r="V301" s="33"/>
      <c r="W301" s="33"/>
      <c r="X301" s="33"/>
      <c r="AA301" s="33"/>
      <c r="AC301" s="33"/>
    </row>
    <row r="302" ht="15.75" customHeight="1">
      <c r="A302" s="33"/>
      <c r="B302" s="33"/>
      <c r="F302" s="33"/>
      <c r="G302" s="33"/>
      <c r="H302" s="33"/>
      <c r="I302" s="33"/>
      <c r="J302" s="33"/>
      <c r="L302" s="33"/>
      <c r="M302" s="33"/>
      <c r="N302" s="33"/>
      <c r="O302" s="33"/>
      <c r="P302" s="33"/>
      <c r="R302" s="33"/>
      <c r="S302" s="33"/>
      <c r="T302" s="33"/>
      <c r="U302" s="33"/>
      <c r="V302" s="33"/>
      <c r="W302" s="33"/>
      <c r="X302" s="33"/>
      <c r="AA302" s="33"/>
      <c r="AC302" s="33"/>
    </row>
    <row r="303" ht="15.75" customHeight="1">
      <c r="A303" s="33"/>
      <c r="B303" s="33"/>
      <c r="F303" s="33"/>
      <c r="G303" s="33"/>
      <c r="H303" s="33"/>
      <c r="I303" s="33"/>
      <c r="J303" s="33"/>
      <c r="L303" s="33"/>
      <c r="M303" s="33"/>
      <c r="N303" s="33"/>
      <c r="O303" s="33"/>
      <c r="P303" s="33"/>
      <c r="R303" s="33"/>
      <c r="S303" s="33"/>
      <c r="T303" s="33"/>
      <c r="U303" s="33"/>
      <c r="V303" s="33"/>
      <c r="W303" s="33"/>
      <c r="X303" s="33"/>
      <c r="AA303" s="33"/>
      <c r="AC303" s="33"/>
    </row>
    <row r="304" ht="15.75" customHeight="1">
      <c r="A304" s="33"/>
      <c r="B304" s="33"/>
      <c r="F304" s="33"/>
      <c r="G304" s="33"/>
      <c r="H304" s="33"/>
      <c r="I304" s="33"/>
      <c r="J304" s="33"/>
      <c r="L304" s="33"/>
      <c r="M304" s="33"/>
      <c r="N304" s="33"/>
      <c r="O304" s="33"/>
      <c r="P304" s="33"/>
      <c r="R304" s="33"/>
      <c r="S304" s="33"/>
      <c r="T304" s="33"/>
      <c r="U304" s="33"/>
      <c r="V304" s="33"/>
      <c r="W304" s="33"/>
      <c r="X304" s="33"/>
      <c r="AA304" s="33"/>
      <c r="AC304" s="33"/>
    </row>
    <row r="305" ht="15.75" customHeight="1">
      <c r="A305" s="33"/>
      <c r="B305" s="33"/>
      <c r="F305" s="33"/>
      <c r="G305" s="33"/>
      <c r="H305" s="33"/>
      <c r="I305" s="33"/>
      <c r="J305" s="33"/>
      <c r="L305" s="33"/>
      <c r="M305" s="33"/>
      <c r="N305" s="33"/>
      <c r="O305" s="33"/>
      <c r="P305" s="33"/>
      <c r="R305" s="33"/>
      <c r="S305" s="33"/>
      <c r="T305" s="33"/>
      <c r="U305" s="33"/>
      <c r="V305" s="33"/>
      <c r="W305" s="33"/>
      <c r="X305" s="33"/>
      <c r="AA305" s="33"/>
      <c r="AC305" s="33"/>
    </row>
    <row r="306" ht="15.75" customHeight="1">
      <c r="A306" s="33"/>
      <c r="B306" s="33"/>
      <c r="F306" s="33"/>
      <c r="G306" s="33"/>
      <c r="H306" s="33"/>
      <c r="I306" s="33"/>
      <c r="J306" s="33"/>
      <c r="L306" s="33"/>
      <c r="M306" s="33"/>
      <c r="N306" s="33"/>
      <c r="O306" s="33"/>
      <c r="P306" s="33"/>
      <c r="R306" s="33"/>
      <c r="S306" s="33"/>
      <c r="T306" s="33"/>
      <c r="U306" s="33"/>
      <c r="V306" s="33"/>
      <c r="W306" s="33"/>
      <c r="X306" s="33"/>
      <c r="AA306" s="33"/>
      <c r="AC306" s="33"/>
    </row>
    <row r="307" ht="15.75" customHeight="1">
      <c r="A307" s="33"/>
      <c r="B307" s="33"/>
      <c r="F307" s="33"/>
      <c r="G307" s="33"/>
      <c r="H307" s="33"/>
      <c r="I307" s="33"/>
      <c r="J307" s="33"/>
      <c r="L307" s="33"/>
      <c r="M307" s="33"/>
      <c r="N307" s="33"/>
      <c r="O307" s="33"/>
      <c r="P307" s="33"/>
      <c r="R307" s="33"/>
      <c r="S307" s="33"/>
      <c r="T307" s="33"/>
      <c r="U307" s="33"/>
      <c r="V307" s="33"/>
      <c r="W307" s="33"/>
      <c r="X307" s="33"/>
      <c r="AA307" s="33"/>
      <c r="AC307" s="33"/>
    </row>
    <row r="308" ht="15.75" customHeight="1">
      <c r="A308" s="33"/>
      <c r="B308" s="33"/>
      <c r="F308" s="33"/>
      <c r="G308" s="33"/>
      <c r="H308" s="33"/>
      <c r="I308" s="33"/>
      <c r="J308" s="33"/>
      <c r="L308" s="33"/>
      <c r="M308" s="33"/>
      <c r="N308" s="33"/>
      <c r="O308" s="33"/>
      <c r="P308" s="33"/>
      <c r="R308" s="33"/>
      <c r="S308" s="33"/>
      <c r="T308" s="33"/>
      <c r="U308" s="33"/>
      <c r="V308" s="33"/>
      <c r="W308" s="33"/>
      <c r="X308" s="33"/>
      <c r="AA308" s="33"/>
      <c r="AC308" s="33"/>
    </row>
    <row r="309" ht="15.75" customHeight="1">
      <c r="A309" s="33"/>
      <c r="B309" s="33"/>
      <c r="F309" s="33"/>
      <c r="G309" s="33"/>
      <c r="H309" s="33"/>
      <c r="I309" s="33"/>
      <c r="J309" s="33"/>
      <c r="L309" s="33"/>
      <c r="M309" s="33"/>
      <c r="N309" s="33"/>
      <c r="O309" s="33"/>
      <c r="P309" s="33"/>
      <c r="R309" s="33"/>
      <c r="S309" s="33"/>
      <c r="T309" s="33"/>
      <c r="U309" s="33"/>
      <c r="V309" s="33"/>
      <c r="W309" s="33"/>
      <c r="X309" s="33"/>
      <c r="AA309" s="33"/>
      <c r="AC309" s="33"/>
    </row>
    <row r="310" ht="15.75" customHeight="1">
      <c r="A310" s="33"/>
      <c r="B310" s="33"/>
      <c r="F310" s="33"/>
      <c r="G310" s="33"/>
      <c r="H310" s="33"/>
      <c r="I310" s="33"/>
      <c r="J310" s="33"/>
      <c r="L310" s="33"/>
      <c r="M310" s="33"/>
      <c r="N310" s="33"/>
      <c r="O310" s="33"/>
      <c r="P310" s="33"/>
      <c r="R310" s="33"/>
      <c r="S310" s="33"/>
      <c r="T310" s="33"/>
      <c r="U310" s="33"/>
      <c r="V310" s="33"/>
      <c r="W310" s="33"/>
      <c r="X310" s="33"/>
      <c r="AA310" s="33"/>
      <c r="AC310" s="33"/>
    </row>
    <row r="311" ht="15.75" customHeight="1">
      <c r="A311" s="33"/>
      <c r="B311" s="33"/>
      <c r="F311" s="33"/>
      <c r="G311" s="33"/>
      <c r="H311" s="33"/>
      <c r="I311" s="33"/>
      <c r="J311" s="33"/>
      <c r="L311" s="33"/>
      <c r="M311" s="33"/>
      <c r="N311" s="33"/>
      <c r="O311" s="33"/>
      <c r="P311" s="33"/>
      <c r="R311" s="33"/>
      <c r="S311" s="33"/>
      <c r="T311" s="33"/>
      <c r="U311" s="33"/>
      <c r="V311" s="33"/>
      <c r="W311" s="33"/>
      <c r="X311" s="33"/>
      <c r="AA311" s="33"/>
      <c r="AC311" s="33"/>
    </row>
    <row r="312" ht="15.75" customHeight="1">
      <c r="A312" s="33"/>
      <c r="B312" s="33"/>
      <c r="F312" s="33"/>
      <c r="G312" s="33"/>
      <c r="H312" s="33"/>
      <c r="I312" s="33"/>
      <c r="J312" s="33"/>
      <c r="L312" s="33"/>
      <c r="M312" s="33"/>
      <c r="N312" s="33"/>
      <c r="O312" s="33"/>
      <c r="P312" s="33"/>
      <c r="R312" s="33"/>
      <c r="S312" s="33"/>
      <c r="T312" s="33"/>
      <c r="U312" s="33"/>
      <c r="V312" s="33"/>
      <c r="W312" s="33"/>
      <c r="X312" s="33"/>
      <c r="AA312" s="33"/>
      <c r="AC312" s="33"/>
    </row>
    <row r="313" ht="15.75" customHeight="1">
      <c r="A313" s="33"/>
      <c r="B313" s="33"/>
      <c r="F313" s="33"/>
      <c r="G313" s="33"/>
      <c r="H313" s="33"/>
      <c r="I313" s="33"/>
      <c r="J313" s="33"/>
      <c r="L313" s="33"/>
      <c r="M313" s="33"/>
      <c r="N313" s="33"/>
      <c r="O313" s="33"/>
      <c r="P313" s="33"/>
      <c r="R313" s="33"/>
      <c r="S313" s="33"/>
      <c r="T313" s="33"/>
      <c r="U313" s="33"/>
      <c r="V313" s="33"/>
      <c r="W313" s="33"/>
      <c r="X313" s="33"/>
      <c r="AA313" s="33"/>
      <c r="AC313" s="33"/>
    </row>
    <row r="314" ht="15.75" customHeight="1">
      <c r="A314" s="33"/>
      <c r="B314" s="33"/>
      <c r="F314" s="33"/>
      <c r="G314" s="33"/>
      <c r="H314" s="33"/>
      <c r="I314" s="33"/>
      <c r="J314" s="33"/>
      <c r="L314" s="33"/>
      <c r="M314" s="33"/>
      <c r="N314" s="33"/>
      <c r="O314" s="33"/>
      <c r="P314" s="33"/>
      <c r="R314" s="33"/>
      <c r="S314" s="33"/>
      <c r="T314" s="33"/>
      <c r="U314" s="33"/>
      <c r="V314" s="33"/>
      <c r="W314" s="33"/>
      <c r="X314" s="33"/>
      <c r="AA314" s="33"/>
      <c r="AC314" s="33"/>
    </row>
    <row r="315" ht="15.75" customHeight="1">
      <c r="A315" s="33"/>
      <c r="B315" s="33"/>
      <c r="F315" s="33"/>
      <c r="G315" s="33"/>
      <c r="H315" s="33"/>
      <c r="I315" s="33"/>
      <c r="J315" s="33"/>
      <c r="L315" s="33"/>
      <c r="M315" s="33"/>
      <c r="N315" s="33"/>
      <c r="O315" s="33"/>
      <c r="P315" s="33"/>
      <c r="R315" s="33"/>
      <c r="S315" s="33"/>
      <c r="T315" s="33"/>
      <c r="U315" s="33"/>
      <c r="V315" s="33"/>
      <c r="W315" s="33"/>
      <c r="X315" s="33"/>
      <c r="AA315" s="33"/>
      <c r="AC315" s="33"/>
    </row>
    <row r="316" ht="15.75" customHeight="1">
      <c r="A316" s="33"/>
      <c r="B316" s="33"/>
      <c r="F316" s="33"/>
      <c r="G316" s="33"/>
      <c r="H316" s="33"/>
      <c r="I316" s="33"/>
      <c r="J316" s="33"/>
      <c r="L316" s="33"/>
      <c r="M316" s="33"/>
      <c r="N316" s="33"/>
      <c r="O316" s="33"/>
      <c r="P316" s="33"/>
      <c r="R316" s="33"/>
      <c r="S316" s="33"/>
      <c r="T316" s="33"/>
      <c r="U316" s="33"/>
      <c r="V316" s="33"/>
      <c r="W316" s="33"/>
      <c r="X316" s="33"/>
      <c r="AA316" s="33"/>
      <c r="AC316" s="33"/>
    </row>
    <row r="317" ht="15.75" customHeight="1">
      <c r="A317" s="33"/>
      <c r="B317" s="33"/>
      <c r="F317" s="33"/>
      <c r="G317" s="33"/>
      <c r="H317" s="33"/>
      <c r="I317" s="33"/>
      <c r="J317" s="33"/>
      <c r="L317" s="33"/>
      <c r="M317" s="33"/>
      <c r="N317" s="33"/>
      <c r="O317" s="33"/>
      <c r="P317" s="33"/>
      <c r="R317" s="33"/>
      <c r="S317" s="33"/>
      <c r="T317" s="33"/>
      <c r="U317" s="33"/>
      <c r="V317" s="33"/>
      <c r="W317" s="33"/>
      <c r="X317" s="33"/>
      <c r="AA317" s="33"/>
      <c r="AC317" s="33"/>
    </row>
    <row r="318" ht="15.75" customHeight="1">
      <c r="A318" s="33"/>
      <c r="B318" s="33"/>
      <c r="F318" s="33"/>
      <c r="G318" s="33"/>
      <c r="H318" s="33"/>
      <c r="I318" s="33"/>
      <c r="J318" s="33"/>
      <c r="L318" s="33"/>
      <c r="M318" s="33"/>
      <c r="N318" s="33"/>
      <c r="O318" s="33"/>
      <c r="P318" s="33"/>
      <c r="R318" s="33"/>
      <c r="S318" s="33"/>
      <c r="T318" s="33"/>
      <c r="U318" s="33"/>
      <c r="V318" s="33"/>
      <c r="W318" s="33"/>
      <c r="X318" s="33"/>
      <c r="AA318" s="33"/>
      <c r="AC318" s="33"/>
    </row>
    <row r="319" ht="15.75" customHeight="1">
      <c r="A319" s="33"/>
      <c r="B319" s="33"/>
      <c r="F319" s="33"/>
      <c r="G319" s="33"/>
      <c r="H319" s="33"/>
      <c r="I319" s="33"/>
      <c r="J319" s="33"/>
      <c r="L319" s="33"/>
      <c r="M319" s="33"/>
      <c r="N319" s="33"/>
      <c r="O319" s="33"/>
      <c r="P319" s="33"/>
      <c r="R319" s="33"/>
      <c r="S319" s="33"/>
      <c r="T319" s="33"/>
      <c r="U319" s="33"/>
      <c r="V319" s="33"/>
      <c r="W319" s="33"/>
      <c r="X319" s="33"/>
      <c r="AA319" s="33"/>
      <c r="AC319" s="33"/>
    </row>
    <row r="320" ht="15.75" customHeight="1">
      <c r="A320" s="33"/>
      <c r="B320" s="33"/>
      <c r="F320" s="33"/>
      <c r="G320" s="33"/>
      <c r="H320" s="33"/>
      <c r="I320" s="33"/>
      <c r="J320" s="33"/>
      <c r="L320" s="33"/>
      <c r="M320" s="33"/>
      <c r="N320" s="33"/>
      <c r="O320" s="33"/>
      <c r="P320" s="33"/>
      <c r="R320" s="33"/>
      <c r="S320" s="33"/>
      <c r="T320" s="33"/>
      <c r="U320" s="33"/>
      <c r="V320" s="33"/>
      <c r="W320" s="33"/>
      <c r="X320" s="33"/>
      <c r="AA320" s="33"/>
      <c r="AC320" s="33"/>
    </row>
    <row r="321" ht="15.75" customHeight="1">
      <c r="A321" s="33"/>
      <c r="B321" s="33"/>
      <c r="F321" s="33"/>
      <c r="G321" s="33"/>
      <c r="H321" s="33"/>
      <c r="I321" s="33"/>
      <c r="J321" s="33"/>
      <c r="L321" s="33"/>
      <c r="M321" s="33"/>
      <c r="N321" s="33"/>
      <c r="O321" s="33"/>
      <c r="P321" s="33"/>
      <c r="R321" s="33"/>
      <c r="S321" s="33"/>
      <c r="T321" s="33"/>
      <c r="U321" s="33"/>
      <c r="V321" s="33"/>
      <c r="W321" s="33"/>
      <c r="X321" s="33"/>
      <c r="AA321" s="33"/>
      <c r="AC321" s="33"/>
    </row>
    <row r="322" ht="15.75" customHeight="1">
      <c r="A322" s="33"/>
      <c r="B322" s="33"/>
      <c r="F322" s="33"/>
      <c r="G322" s="33"/>
      <c r="H322" s="33"/>
      <c r="I322" s="33"/>
      <c r="J322" s="33"/>
      <c r="L322" s="33"/>
      <c r="M322" s="33"/>
      <c r="N322" s="33"/>
      <c r="O322" s="33"/>
      <c r="P322" s="33"/>
      <c r="R322" s="33"/>
      <c r="S322" s="33"/>
      <c r="T322" s="33"/>
      <c r="U322" s="33"/>
      <c r="V322" s="33"/>
      <c r="W322" s="33"/>
      <c r="X322" s="33"/>
      <c r="AA322" s="33"/>
      <c r="AC322" s="33"/>
    </row>
    <row r="323" ht="15.75" customHeight="1">
      <c r="A323" s="33"/>
      <c r="B323" s="33"/>
      <c r="F323" s="33"/>
      <c r="G323" s="33"/>
      <c r="H323" s="33"/>
      <c r="I323" s="33"/>
      <c r="J323" s="33"/>
      <c r="L323" s="33"/>
      <c r="M323" s="33"/>
      <c r="N323" s="33"/>
      <c r="O323" s="33"/>
      <c r="P323" s="33"/>
      <c r="R323" s="33"/>
      <c r="S323" s="33"/>
      <c r="T323" s="33"/>
      <c r="U323" s="33"/>
      <c r="V323" s="33"/>
      <c r="W323" s="33"/>
      <c r="X323" s="33"/>
      <c r="AA323" s="33"/>
      <c r="AC323" s="33"/>
    </row>
    <row r="324" ht="15.75" customHeight="1">
      <c r="A324" s="33"/>
      <c r="B324" s="33"/>
      <c r="F324" s="33"/>
      <c r="G324" s="33"/>
      <c r="H324" s="33"/>
      <c r="I324" s="33"/>
      <c r="J324" s="33"/>
      <c r="L324" s="33"/>
      <c r="M324" s="33"/>
      <c r="N324" s="33"/>
      <c r="O324" s="33"/>
      <c r="P324" s="33"/>
      <c r="R324" s="33"/>
      <c r="S324" s="33"/>
      <c r="T324" s="33"/>
      <c r="U324" s="33"/>
      <c r="V324" s="33"/>
      <c r="W324" s="33"/>
      <c r="X324" s="33"/>
      <c r="AA324" s="33"/>
      <c r="AC324" s="33"/>
    </row>
    <row r="325" ht="15.75" customHeight="1">
      <c r="A325" s="33"/>
      <c r="B325" s="33"/>
      <c r="F325" s="33"/>
      <c r="G325" s="33"/>
      <c r="H325" s="33"/>
      <c r="I325" s="33"/>
      <c r="J325" s="33"/>
      <c r="L325" s="33"/>
      <c r="M325" s="33"/>
      <c r="N325" s="33"/>
      <c r="O325" s="33"/>
      <c r="P325" s="33"/>
      <c r="R325" s="33"/>
      <c r="S325" s="33"/>
      <c r="T325" s="33"/>
      <c r="U325" s="33"/>
      <c r="V325" s="33"/>
      <c r="W325" s="33"/>
      <c r="X325" s="33"/>
      <c r="AA325" s="33"/>
      <c r="AC325" s="33"/>
    </row>
    <row r="326" ht="15.75" customHeight="1">
      <c r="A326" s="33"/>
      <c r="B326" s="33"/>
      <c r="F326" s="33"/>
      <c r="G326" s="33"/>
      <c r="H326" s="33"/>
      <c r="I326" s="33"/>
      <c r="J326" s="33"/>
      <c r="L326" s="33"/>
      <c r="M326" s="33"/>
      <c r="N326" s="33"/>
      <c r="O326" s="33"/>
      <c r="P326" s="33"/>
      <c r="R326" s="33"/>
      <c r="S326" s="33"/>
      <c r="T326" s="33"/>
      <c r="U326" s="33"/>
      <c r="V326" s="33"/>
      <c r="W326" s="33"/>
      <c r="X326" s="33"/>
      <c r="AA326" s="33"/>
      <c r="AC326" s="33"/>
    </row>
    <row r="327" ht="15.75" customHeight="1">
      <c r="A327" s="33"/>
      <c r="B327" s="33"/>
      <c r="F327" s="33"/>
      <c r="G327" s="33"/>
      <c r="H327" s="33"/>
      <c r="I327" s="33"/>
      <c r="J327" s="33"/>
      <c r="L327" s="33"/>
      <c r="M327" s="33"/>
      <c r="N327" s="33"/>
      <c r="O327" s="33"/>
      <c r="P327" s="33"/>
      <c r="R327" s="33"/>
      <c r="S327" s="33"/>
      <c r="T327" s="33"/>
      <c r="U327" s="33"/>
      <c r="V327" s="33"/>
      <c r="W327" s="33"/>
      <c r="X327" s="33"/>
      <c r="AA327" s="33"/>
      <c r="AC327" s="33"/>
    </row>
    <row r="328" ht="15.75" customHeight="1">
      <c r="A328" s="33"/>
      <c r="B328" s="33"/>
      <c r="F328" s="33"/>
      <c r="G328" s="33"/>
      <c r="H328" s="33"/>
      <c r="I328" s="33"/>
      <c r="J328" s="33"/>
      <c r="L328" s="33"/>
      <c r="M328" s="33"/>
      <c r="N328" s="33"/>
      <c r="O328" s="33"/>
      <c r="P328" s="33"/>
      <c r="R328" s="33"/>
      <c r="S328" s="33"/>
      <c r="T328" s="33"/>
      <c r="U328" s="33"/>
      <c r="V328" s="33"/>
      <c r="W328" s="33"/>
      <c r="X328" s="33"/>
      <c r="AA328" s="33"/>
      <c r="AC328" s="33"/>
    </row>
    <row r="329" ht="15.75" customHeight="1">
      <c r="A329" s="33"/>
      <c r="B329" s="33"/>
      <c r="F329" s="33"/>
      <c r="G329" s="33"/>
      <c r="H329" s="33"/>
      <c r="I329" s="33"/>
      <c r="J329" s="33"/>
      <c r="L329" s="33"/>
      <c r="M329" s="33"/>
      <c r="N329" s="33"/>
      <c r="O329" s="33"/>
      <c r="P329" s="33"/>
      <c r="R329" s="33"/>
      <c r="S329" s="33"/>
      <c r="T329" s="33"/>
      <c r="U329" s="33"/>
      <c r="V329" s="33"/>
      <c r="W329" s="33"/>
      <c r="X329" s="33"/>
      <c r="AA329" s="33"/>
      <c r="AC329" s="33"/>
    </row>
    <row r="330" ht="15.75" customHeight="1">
      <c r="A330" s="33"/>
      <c r="B330" s="33"/>
      <c r="F330" s="33"/>
      <c r="G330" s="33"/>
      <c r="H330" s="33"/>
      <c r="I330" s="33"/>
      <c r="J330" s="33"/>
      <c r="L330" s="33"/>
      <c r="M330" s="33"/>
      <c r="N330" s="33"/>
      <c r="O330" s="33"/>
      <c r="P330" s="33"/>
      <c r="R330" s="33"/>
      <c r="S330" s="33"/>
      <c r="T330" s="33"/>
      <c r="U330" s="33"/>
      <c r="V330" s="33"/>
      <c r="W330" s="33"/>
      <c r="X330" s="33"/>
      <c r="AA330" s="33"/>
      <c r="AC330" s="33"/>
    </row>
    <row r="331" ht="15.75" customHeight="1">
      <c r="A331" s="33"/>
      <c r="B331" s="33"/>
      <c r="F331" s="33"/>
      <c r="G331" s="33"/>
      <c r="H331" s="33"/>
      <c r="I331" s="33"/>
      <c r="J331" s="33"/>
      <c r="L331" s="33"/>
      <c r="M331" s="33"/>
      <c r="N331" s="33"/>
      <c r="O331" s="33"/>
      <c r="P331" s="33"/>
      <c r="R331" s="33"/>
      <c r="S331" s="33"/>
      <c r="T331" s="33"/>
      <c r="U331" s="33"/>
      <c r="V331" s="33"/>
      <c r="W331" s="33"/>
      <c r="X331" s="33"/>
      <c r="AA331" s="33"/>
      <c r="AC331" s="33"/>
    </row>
    <row r="332" ht="15.75" customHeight="1">
      <c r="A332" s="33"/>
      <c r="B332" s="33"/>
      <c r="F332" s="33"/>
      <c r="G332" s="33"/>
      <c r="H332" s="33"/>
      <c r="I332" s="33"/>
      <c r="J332" s="33"/>
      <c r="L332" s="33"/>
      <c r="M332" s="33"/>
      <c r="N332" s="33"/>
      <c r="O332" s="33"/>
      <c r="P332" s="33"/>
      <c r="R332" s="33"/>
      <c r="S332" s="33"/>
      <c r="T332" s="33"/>
      <c r="U332" s="33"/>
      <c r="V332" s="33"/>
      <c r="W332" s="33"/>
      <c r="X332" s="33"/>
      <c r="AA332" s="33"/>
      <c r="AC332" s="33"/>
    </row>
    <row r="333" ht="15.75" customHeight="1">
      <c r="A333" s="33"/>
      <c r="B333" s="33"/>
      <c r="F333" s="33"/>
      <c r="G333" s="33"/>
      <c r="H333" s="33"/>
      <c r="I333" s="33"/>
      <c r="J333" s="33"/>
      <c r="L333" s="33"/>
      <c r="M333" s="33"/>
      <c r="N333" s="33"/>
      <c r="O333" s="33"/>
      <c r="P333" s="33"/>
      <c r="R333" s="33"/>
      <c r="S333" s="33"/>
      <c r="T333" s="33"/>
      <c r="U333" s="33"/>
      <c r="V333" s="33"/>
      <c r="W333" s="33"/>
      <c r="X333" s="33"/>
      <c r="AA333" s="33"/>
      <c r="AC333" s="33"/>
    </row>
    <row r="334" ht="15.75" customHeight="1">
      <c r="A334" s="33"/>
      <c r="B334" s="33"/>
      <c r="F334" s="33"/>
      <c r="G334" s="33"/>
      <c r="H334" s="33"/>
      <c r="I334" s="33"/>
      <c r="J334" s="33"/>
      <c r="L334" s="33"/>
      <c r="M334" s="33"/>
      <c r="N334" s="33"/>
      <c r="O334" s="33"/>
      <c r="P334" s="33"/>
      <c r="R334" s="33"/>
      <c r="S334" s="33"/>
      <c r="T334" s="33"/>
      <c r="U334" s="33"/>
      <c r="V334" s="33"/>
      <c r="W334" s="33"/>
      <c r="X334" s="33"/>
      <c r="AA334" s="33"/>
      <c r="AC334" s="33"/>
    </row>
    <row r="335" ht="15.75" customHeight="1">
      <c r="A335" s="33"/>
      <c r="B335" s="33"/>
      <c r="F335" s="33"/>
      <c r="G335" s="33"/>
      <c r="H335" s="33"/>
      <c r="I335" s="33"/>
      <c r="J335" s="33"/>
      <c r="L335" s="33"/>
      <c r="M335" s="33"/>
      <c r="N335" s="33"/>
      <c r="O335" s="33"/>
      <c r="P335" s="33"/>
      <c r="R335" s="33"/>
      <c r="S335" s="33"/>
      <c r="T335" s="33"/>
      <c r="U335" s="33"/>
      <c r="V335" s="33"/>
      <c r="W335" s="33"/>
      <c r="X335" s="33"/>
      <c r="AA335" s="33"/>
      <c r="AC335" s="33"/>
    </row>
    <row r="336" ht="15.75" customHeight="1">
      <c r="A336" s="33"/>
      <c r="B336" s="33"/>
      <c r="F336" s="33"/>
      <c r="G336" s="33"/>
      <c r="H336" s="33"/>
      <c r="I336" s="33"/>
      <c r="J336" s="33"/>
      <c r="L336" s="33"/>
      <c r="M336" s="33"/>
      <c r="N336" s="33"/>
      <c r="O336" s="33"/>
      <c r="P336" s="33"/>
      <c r="R336" s="33"/>
      <c r="S336" s="33"/>
      <c r="T336" s="33"/>
      <c r="U336" s="33"/>
      <c r="V336" s="33"/>
      <c r="W336" s="33"/>
      <c r="X336" s="33"/>
      <c r="AA336" s="33"/>
      <c r="AC336" s="33"/>
    </row>
    <row r="337" ht="15.75" customHeight="1">
      <c r="A337" s="33"/>
      <c r="B337" s="33"/>
      <c r="F337" s="33"/>
      <c r="G337" s="33"/>
      <c r="H337" s="33"/>
      <c r="I337" s="33"/>
      <c r="J337" s="33"/>
      <c r="L337" s="33"/>
      <c r="M337" s="33"/>
      <c r="N337" s="33"/>
      <c r="O337" s="33"/>
      <c r="P337" s="33"/>
      <c r="R337" s="33"/>
      <c r="S337" s="33"/>
      <c r="T337" s="33"/>
      <c r="U337" s="33"/>
      <c r="V337" s="33"/>
      <c r="W337" s="33"/>
      <c r="X337" s="33"/>
      <c r="AA337" s="33"/>
      <c r="AC337" s="33"/>
    </row>
    <row r="338" ht="15.75" customHeight="1">
      <c r="A338" s="33"/>
      <c r="B338" s="33"/>
      <c r="F338" s="33"/>
      <c r="G338" s="33"/>
      <c r="H338" s="33"/>
      <c r="I338" s="33"/>
      <c r="J338" s="33"/>
      <c r="L338" s="33"/>
      <c r="M338" s="33"/>
      <c r="N338" s="33"/>
      <c r="O338" s="33"/>
      <c r="P338" s="33"/>
      <c r="R338" s="33"/>
      <c r="S338" s="33"/>
      <c r="T338" s="33"/>
      <c r="U338" s="33"/>
      <c r="V338" s="33"/>
      <c r="W338" s="33"/>
      <c r="X338" s="33"/>
      <c r="AA338" s="33"/>
      <c r="AC338" s="33"/>
    </row>
    <row r="339" ht="15.75" customHeight="1">
      <c r="A339" s="33"/>
      <c r="B339" s="33"/>
      <c r="F339" s="33"/>
      <c r="G339" s="33"/>
      <c r="H339" s="33"/>
      <c r="I339" s="33"/>
      <c r="J339" s="33"/>
      <c r="L339" s="33"/>
      <c r="M339" s="33"/>
      <c r="N339" s="33"/>
      <c r="O339" s="33"/>
      <c r="P339" s="33"/>
      <c r="R339" s="33"/>
      <c r="S339" s="33"/>
      <c r="T339" s="33"/>
      <c r="U339" s="33"/>
      <c r="V339" s="33"/>
      <c r="W339" s="33"/>
      <c r="X339" s="33"/>
      <c r="AA339" s="33"/>
      <c r="AC339" s="33"/>
    </row>
    <row r="340" ht="15.75" customHeight="1">
      <c r="A340" s="33"/>
      <c r="B340" s="33"/>
      <c r="F340" s="33"/>
      <c r="G340" s="33"/>
      <c r="H340" s="33"/>
      <c r="I340" s="33"/>
      <c r="J340" s="33"/>
      <c r="L340" s="33"/>
      <c r="M340" s="33"/>
      <c r="N340" s="33"/>
      <c r="O340" s="33"/>
      <c r="P340" s="33"/>
      <c r="R340" s="33"/>
      <c r="S340" s="33"/>
      <c r="T340" s="33"/>
      <c r="U340" s="33"/>
      <c r="V340" s="33"/>
      <c r="W340" s="33"/>
      <c r="X340" s="33"/>
      <c r="AA340" s="33"/>
      <c r="AC340" s="33"/>
    </row>
    <row r="341" ht="15.75" customHeight="1">
      <c r="A341" s="33"/>
      <c r="B341" s="33"/>
      <c r="F341" s="33"/>
      <c r="G341" s="33"/>
      <c r="H341" s="33"/>
      <c r="I341" s="33"/>
      <c r="J341" s="33"/>
      <c r="L341" s="33"/>
      <c r="M341" s="33"/>
      <c r="N341" s="33"/>
      <c r="O341" s="33"/>
      <c r="P341" s="33"/>
      <c r="R341" s="33"/>
      <c r="S341" s="33"/>
      <c r="T341" s="33"/>
      <c r="U341" s="33"/>
      <c r="V341" s="33"/>
      <c r="W341" s="33"/>
      <c r="X341" s="33"/>
      <c r="AA341" s="33"/>
      <c r="AC341" s="33"/>
    </row>
    <row r="342" ht="15.75" customHeight="1">
      <c r="A342" s="33"/>
      <c r="B342" s="33"/>
      <c r="F342" s="33"/>
      <c r="G342" s="33"/>
      <c r="H342" s="33"/>
      <c r="I342" s="33"/>
      <c r="J342" s="33"/>
      <c r="L342" s="33"/>
      <c r="M342" s="33"/>
      <c r="N342" s="33"/>
      <c r="O342" s="33"/>
      <c r="P342" s="33"/>
      <c r="R342" s="33"/>
      <c r="S342" s="33"/>
      <c r="T342" s="33"/>
      <c r="U342" s="33"/>
      <c r="V342" s="33"/>
      <c r="W342" s="33"/>
      <c r="X342" s="33"/>
      <c r="AA342" s="33"/>
      <c r="AC342" s="33"/>
    </row>
    <row r="343" ht="15.75" customHeight="1">
      <c r="A343" s="33"/>
      <c r="B343" s="33"/>
      <c r="F343" s="33"/>
      <c r="G343" s="33"/>
      <c r="H343" s="33"/>
      <c r="I343" s="33"/>
      <c r="J343" s="33"/>
      <c r="L343" s="33"/>
      <c r="M343" s="33"/>
      <c r="N343" s="33"/>
      <c r="O343" s="33"/>
      <c r="P343" s="33"/>
      <c r="R343" s="33"/>
      <c r="S343" s="33"/>
      <c r="T343" s="33"/>
      <c r="U343" s="33"/>
      <c r="V343" s="33"/>
      <c r="W343" s="33"/>
      <c r="X343" s="33"/>
      <c r="AA343" s="33"/>
      <c r="AC343" s="33"/>
    </row>
    <row r="344" ht="15.75" customHeight="1">
      <c r="A344" s="33"/>
      <c r="B344" s="33"/>
      <c r="F344" s="33"/>
      <c r="G344" s="33"/>
      <c r="H344" s="33"/>
      <c r="I344" s="33"/>
      <c r="J344" s="33"/>
      <c r="L344" s="33"/>
      <c r="M344" s="33"/>
      <c r="N344" s="33"/>
      <c r="O344" s="33"/>
      <c r="P344" s="33"/>
      <c r="R344" s="33"/>
      <c r="S344" s="33"/>
      <c r="T344" s="33"/>
      <c r="U344" s="33"/>
      <c r="V344" s="33"/>
      <c r="W344" s="33"/>
      <c r="X344" s="33"/>
      <c r="AA344" s="33"/>
      <c r="AC344" s="33"/>
    </row>
    <row r="345" ht="15.75" customHeight="1">
      <c r="A345" s="33"/>
      <c r="B345" s="33"/>
      <c r="F345" s="33"/>
      <c r="G345" s="33"/>
      <c r="H345" s="33"/>
      <c r="I345" s="33"/>
      <c r="J345" s="33"/>
      <c r="L345" s="33"/>
      <c r="M345" s="33"/>
      <c r="N345" s="33"/>
      <c r="O345" s="33"/>
      <c r="P345" s="33"/>
      <c r="R345" s="33"/>
      <c r="S345" s="33"/>
      <c r="T345" s="33"/>
      <c r="U345" s="33"/>
      <c r="V345" s="33"/>
      <c r="W345" s="33"/>
      <c r="X345" s="33"/>
      <c r="AA345" s="33"/>
      <c r="AC345" s="33"/>
    </row>
    <row r="346" ht="15.75" customHeight="1">
      <c r="A346" s="33"/>
      <c r="B346" s="33"/>
      <c r="F346" s="33"/>
      <c r="G346" s="33"/>
      <c r="H346" s="33"/>
      <c r="I346" s="33"/>
      <c r="J346" s="33"/>
      <c r="L346" s="33"/>
      <c r="M346" s="33"/>
      <c r="N346" s="33"/>
      <c r="O346" s="33"/>
      <c r="P346" s="33"/>
      <c r="R346" s="33"/>
      <c r="S346" s="33"/>
      <c r="T346" s="33"/>
      <c r="U346" s="33"/>
      <c r="V346" s="33"/>
      <c r="W346" s="33"/>
      <c r="X346" s="33"/>
      <c r="AA346" s="33"/>
      <c r="AC346" s="33"/>
    </row>
    <row r="347" ht="15.75" customHeight="1">
      <c r="A347" s="33"/>
      <c r="B347" s="33"/>
      <c r="F347" s="33"/>
      <c r="G347" s="33"/>
      <c r="H347" s="33"/>
      <c r="I347" s="33"/>
      <c r="J347" s="33"/>
      <c r="L347" s="33"/>
      <c r="M347" s="33"/>
      <c r="N347" s="33"/>
      <c r="O347" s="33"/>
      <c r="P347" s="33"/>
      <c r="R347" s="33"/>
      <c r="S347" s="33"/>
      <c r="T347" s="33"/>
      <c r="U347" s="33"/>
      <c r="V347" s="33"/>
      <c r="W347" s="33"/>
      <c r="X347" s="33"/>
      <c r="AA347" s="33"/>
      <c r="AC347" s="33"/>
    </row>
    <row r="348" ht="15.75" customHeight="1">
      <c r="A348" s="33"/>
      <c r="B348" s="33"/>
      <c r="F348" s="33"/>
      <c r="G348" s="33"/>
      <c r="H348" s="33"/>
      <c r="I348" s="33"/>
      <c r="J348" s="33"/>
      <c r="L348" s="33"/>
      <c r="M348" s="33"/>
      <c r="N348" s="33"/>
      <c r="O348" s="33"/>
      <c r="P348" s="33"/>
      <c r="R348" s="33"/>
      <c r="S348" s="33"/>
      <c r="T348" s="33"/>
      <c r="U348" s="33"/>
      <c r="V348" s="33"/>
      <c r="W348" s="33"/>
      <c r="X348" s="33"/>
      <c r="AA348" s="33"/>
      <c r="AC348" s="33"/>
    </row>
    <row r="349" ht="15.75" customHeight="1">
      <c r="A349" s="33"/>
      <c r="B349" s="33"/>
      <c r="F349" s="33"/>
      <c r="G349" s="33"/>
      <c r="H349" s="33"/>
      <c r="I349" s="33"/>
      <c r="J349" s="33"/>
      <c r="L349" s="33"/>
      <c r="M349" s="33"/>
      <c r="N349" s="33"/>
      <c r="O349" s="33"/>
      <c r="P349" s="33"/>
      <c r="R349" s="33"/>
      <c r="S349" s="33"/>
      <c r="T349" s="33"/>
      <c r="U349" s="33"/>
      <c r="V349" s="33"/>
      <c r="W349" s="33"/>
      <c r="X349" s="33"/>
      <c r="AA349" s="33"/>
      <c r="AC349" s="33"/>
    </row>
    <row r="350" ht="15.75" customHeight="1">
      <c r="A350" s="33"/>
      <c r="B350" s="33"/>
      <c r="F350" s="33"/>
      <c r="G350" s="33"/>
      <c r="H350" s="33"/>
      <c r="I350" s="33"/>
      <c r="J350" s="33"/>
      <c r="L350" s="33"/>
      <c r="M350" s="33"/>
      <c r="N350" s="33"/>
      <c r="O350" s="33"/>
      <c r="P350" s="33"/>
      <c r="R350" s="33"/>
      <c r="S350" s="33"/>
      <c r="T350" s="33"/>
      <c r="U350" s="33"/>
      <c r="V350" s="33"/>
      <c r="W350" s="33"/>
      <c r="X350" s="33"/>
      <c r="AA350" s="33"/>
      <c r="AC350" s="33"/>
    </row>
    <row r="351" ht="15.75" customHeight="1">
      <c r="A351" s="33"/>
      <c r="B351" s="33"/>
      <c r="F351" s="33"/>
      <c r="G351" s="33"/>
      <c r="H351" s="33"/>
      <c r="I351" s="33"/>
      <c r="J351" s="33"/>
      <c r="L351" s="33"/>
      <c r="M351" s="33"/>
      <c r="N351" s="33"/>
      <c r="O351" s="33"/>
      <c r="P351" s="33"/>
      <c r="R351" s="33"/>
      <c r="S351" s="33"/>
      <c r="T351" s="33"/>
      <c r="U351" s="33"/>
      <c r="V351" s="33"/>
      <c r="W351" s="33"/>
      <c r="X351" s="33"/>
      <c r="AA351" s="33"/>
      <c r="AC351" s="33"/>
    </row>
    <row r="352" ht="15.75" customHeight="1">
      <c r="A352" s="33"/>
      <c r="B352" s="33"/>
      <c r="F352" s="33"/>
      <c r="G352" s="33"/>
      <c r="H352" s="33"/>
      <c r="I352" s="33"/>
      <c r="J352" s="33"/>
      <c r="L352" s="33"/>
      <c r="M352" s="33"/>
      <c r="N352" s="33"/>
      <c r="O352" s="33"/>
      <c r="P352" s="33"/>
      <c r="R352" s="33"/>
      <c r="S352" s="33"/>
      <c r="T352" s="33"/>
      <c r="U352" s="33"/>
      <c r="V352" s="33"/>
      <c r="W352" s="33"/>
      <c r="X352" s="33"/>
      <c r="AA352" s="33"/>
      <c r="AC352" s="33"/>
    </row>
    <row r="353" ht="15.75" customHeight="1">
      <c r="A353" s="33"/>
      <c r="B353" s="33"/>
      <c r="F353" s="33"/>
      <c r="G353" s="33"/>
      <c r="H353" s="33"/>
      <c r="I353" s="33"/>
      <c r="J353" s="33"/>
      <c r="L353" s="33"/>
      <c r="M353" s="33"/>
      <c r="N353" s="33"/>
      <c r="O353" s="33"/>
      <c r="P353" s="33"/>
      <c r="R353" s="33"/>
      <c r="S353" s="33"/>
      <c r="T353" s="33"/>
      <c r="U353" s="33"/>
      <c r="V353" s="33"/>
      <c r="W353" s="33"/>
      <c r="X353" s="33"/>
      <c r="AA353" s="33"/>
      <c r="AC353" s="33"/>
    </row>
    <row r="354" ht="15.75" customHeight="1">
      <c r="A354" s="33"/>
      <c r="B354" s="33"/>
      <c r="F354" s="33"/>
      <c r="G354" s="33"/>
      <c r="H354" s="33"/>
      <c r="I354" s="33"/>
      <c r="J354" s="33"/>
      <c r="L354" s="33"/>
      <c r="M354" s="33"/>
      <c r="N354" s="33"/>
      <c r="O354" s="33"/>
      <c r="P354" s="33"/>
      <c r="R354" s="33"/>
      <c r="S354" s="33"/>
      <c r="T354" s="33"/>
      <c r="U354" s="33"/>
      <c r="V354" s="33"/>
      <c r="W354" s="33"/>
      <c r="X354" s="33"/>
      <c r="AA354" s="33"/>
      <c r="AC354" s="33"/>
    </row>
    <row r="355" ht="15.75" customHeight="1">
      <c r="A355" s="33"/>
      <c r="B355" s="33"/>
      <c r="F355" s="33"/>
      <c r="G355" s="33"/>
      <c r="H355" s="33"/>
      <c r="I355" s="33"/>
      <c r="J355" s="33"/>
      <c r="L355" s="33"/>
      <c r="M355" s="33"/>
      <c r="N355" s="33"/>
      <c r="O355" s="33"/>
      <c r="P355" s="33"/>
      <c r="R355" s="33"/>
      <c r="S355" s="33"/>
      <c r="T355" s="33"/>
      <c r="U355" s="33"/>
      <c r="V355" s="33"/>
      <c r="W355" s="33"/>
      <c r="X355" s="33"/>
      <c r="AA355" s="33"/>
      <c r="AC355" s="33"/>
    </row>
    <row r="356" ht="15.75" customHeight="1">
      <c r="A356" s="33"/>
      <c r="B356" s="33"/>
      <c r="F356" s="33"/>
      <c r="G356" s="33"/>
      <c r="H356" s="33"/>
      <c r="I356" s="33"/>
      <c r="J356" s="33"/>
      <c r="L356" s="33"/>
      <c r="M356" s="33"/>
      <c r="N356" s="33"/>
      <c r="O356" s="33"/>
      <c r="P356" s="33"/>
      <c r="R356" s="33"/>
      <c r="S356" s="33"/>
      <c r="T356" s="33"/>
      <c r="U356" s="33"/>
      <c r="V356" s="33"/>
      <c r="W356" s="33"/>
      <c r="X356" s="33"/>
      <c r="AA356" s="33"/>
      <c r="AC356" s="33"/>
    </row>
    <row r="357" ht="15.75" customHeight="1">
      <c r="A357" s="33"/>
      <c r="B357" s="33"/>
      <c r="F357" s="33"/>
      <c r="G357" s="33"/>
      <c r="H357" s="33"/>
      <c r="I357" s="33"/>
      <c r="J357" s="33"/>
      <c r="L357" s="33"/>
      <c r="M357" s="33"/>
      <c r="N357" s="33"/>
      <c r="O357" s="33"/>
      <c r="P357" s="33"/>
      <c r="R357" s="33"/>
      <c r="S357" s="33"/>
      <c r="T357" s="33"/>
      <c r="U357" s="33"/>
      <c r="V357" s="33"/>
      <c r="W357" s="33"/>
      <c r="X357" s="33"/>
      <c r="AA357" s="33"/>
      <c r="AC357" s="33"/>
    </row>
    <row r="358" ht="15.75" customHeight="1">
      <c r="A358" s="33"/>
      <c r="B358" s="33"/>
      <c r="F358" s="33"/>
      <c r="G358" s="33"/>
      <c r="H358" s="33"/>
      <c r="I358" s="33"/>
      <c r="J358" s="33"/>
      <c r="L358" s="33"/>
      <c r="M358" s="33"/>
      <c r="N358" s="33"/>
      <c r="O358" s="33"/>
      <c r="P358" s="33"/>
      <c r="R358" s="33"/>
      <c r="S358" s="33"/>
      <c r="T358" s="33"/>
      <c r="U358" s="33"/>
      <c r="V358" s="33"/>
      <c r="W358" s="33"/>
      <c r="X358" s="33"/>
      <c r="AA358" s="33"/>
      <c r="AC358" s="33"/>
    </row>
    <row r="359" ht="15.75" customHeight="1">
      <c r="A359" s="33"/>
      <c r="B359" s="33"/>
      <c r="F359" s="33"/>
      <c r="G359" s="33"/>
      <c r="H359" s="33"/>
      <c r="I359" s="33"/>
      <c r="J359" s="33"/>
      <c r="L359" s="33"/>
      <c r="M359" s="33"/>
      <c r="N359" s="33"/>
      <c r="O359" s="33"/>
      <c r="P359" s="33"/>
      <c r="R359" s="33"/>
      <c r="S359" s="33"/>
      <c r="T359" s="33"/>
      <c r="U359" s="33"/>
      <c r="V359" s="33"/>
      <c r="W359" s="33"/>
      <c r="X359" s="33"/>
      <c r="AA359" s="33"/>
      <c r="AC359" s="33"/>
    </row>
    <row r="360" ht="15.75" customHeight="1">
      <c r="A360" s="33"/>
      <c r="B360" s="33"/>
      <c r="F360" s="33"/>
      <c r="G360" s="33"/>
      <c r="H360" s="33"/>
      <c r="I360" s="33"/>
      <c r="J360" s="33"/>
      <c r="L360" s="33"/>
      <c r="M360" s="33"/>
      <c r="N360" s="33"/>
      <c r="O360" s="33"/>
      <c r="P360" s="33"/>
      <c r="R360" s="33"/>
      <c r="S360" s="33"/>
      <c r="T360" s="33"/>
      <c r="U360" s="33"/>
      <c r="V360" s="33"/>
      <c r="W360" s="33"/>
      <c r="X360" s="33"/>
      <c r="AA360" s="33"/>
      <c r="AC360" s="33"/>
    </row>
    <row r="361" ht="15.75" customHeight="1">
      <c r="A361" s="33"/>
      <c r="B361" s="33"/>
      <c r="F361" s="33"/>
      <c r="G361" s="33"/>
      <c r="H361" s="33"/>
      <c r="I361" s="33"/>
      <c r="J361" s="33"/>
      <c r="L361" s="33"/>
      <c r="M361" s="33"/>
      <c r="N361" s="33"/>
      <c r="O361" s="33"/>
      <c r="P361" s="33"/>
      <c r="R361" s="33"/>
      <c r="S361" s="33"/>
      <c r="T361" s="33"/>
      <c r="U361" s="33"/>
      <c r="V361" s="33"/>
      <c r="W361" s="33"/>
      <c r="X361" s="33"/>
      <c r="AA361" s="33"/>
      <c r="AC361" s="33"/>
    </row>
    <row r="362" ht="15.75" customHeight="1">
      <c r="A362" s="33"/>
      <c r="B362" s="33"/>
      <c r="F362" s="33"/>
      <c r="G362" s="33"/>
      <c r="H362" s="33"/>
      <c r="I362" s="33"/>
      <c r="J362" s="33"/>
      <c r="L362" s="33"/>
      <c r="M362" s="33"/>
      <c r="N362" s="33"/>
      <c r="O362" s="33"/>
      <c r="P362" s="33"/>
      <c r="R362" s="33"/>
      <c r="S362" s="33"/>
      <c r="T362" s="33"/>
      <c r="U362" s="33"/>
      <c r="V362" s="33"/>
      <c r="W362" s="33"/>
      <c r="X362" s="33"/>
      <c r="AA362" s="33"/>
      <c r="AC362" s="33"/>
    </row>
    <row r="363" ht="15.75" customHeight="1">
      <c r="A363" s="33"/>
      <c r="B363" s="33"/>
      <c r="F363" s="33"/>
      <c r="G363" s="33"/>
      <c r="H363" s="33"/>
      <c r="I363" s="33"/>
      <c r="J363" s="33"/>
      <c r="L363" s="33"/>
      <c r="M363" s="33"/>
      <c r="N363" s="33"/>
      <c r="O363" s="33"/>
      <c r="P363" s="33"/>
      <c r="R363" s="33"/>
      <c r="S363" s="33"/>
      <c r="T363" s="33"/>
      <c r="U363" s="33"/>
      <c r="V363" s="33"/>
      <c r="W363" s="33"/>
      <c r="X363" s="33"/>
      <c r="AA363" s="33"/>
      <c r="AC363" s="33"/>
    </row>
    <row r="364" ht="15.75" customHeight="1">
      <c r="A364" s="33"/>
      <c r="B364" s="33"/>
      <c r="F364" s="33"/>
      <c r="G364" s="33"/>
      <c r="H364" s="33"/>
      <c r="I364" s="33"/>
      <c r="J364" s="33"/>
      <c r="L364" s="33"/>
      <c r="M364" s="33"/>
      <c r="N364" s="33"/>
      <c r="O364" s="33"/>
      <c r="P364" s="33"/>
      <c r="R364" s="33"/>
      <c r="S364" s="33"/>
      <c r="T364" s="33"/>
      <c r="U364" s="33"/>
      <c r="V364" s="33"/>
      <c r="W364" s="33"/>
      <c r="X364" s="33"/>
      <c r="AA364" s="33"/>
      <c r="AC364" s="33"/>
    </row>
    <row r="365" ht="15.75" customHeight="1">
      <c r="A365" s="33"/>
      <c r="B365" s="33"/>
      <c r="F365" s="33"/>
      <c r="G365" s="33"/>
      <c r="H365" s="33"/>
      <c r="I365" s="33"/>
      <c r="J365" s="33"/>
      <c r="L365" s="33"/>
      <c r="M365" s="33"/>
      <c r="N365" s="33"/>
      <c r="O365" s="33"/>
      <c r="P365" s="33"/>
      <c r="R365" s="33"/>
      <c r="S365" s="33"/>
      <c r="T365" s="33"/>
      <c r="U365" s="33"/>
      <c r="V365" s="33"/>
      <c r="W365" s="33"/>
      <c r="X365" s="33"/>
      <c r="AA365" s="33"/>
      <c r="AC365" s="33"/>
    </row>
    <row r="366" ht="15.75" customHeight="1">
      <c r="A366" s="33"/>
      <c r="B366" s="33"/>
      <c r="F366" s="33"/>
      <c r="G366" s="33"/>
      <c r="H366" s="33"/>
      <c r="I366" s="33"/>
      <c r="J366" s="33"/>
      <c r="L366" s="33"/>
      <c r="M366" s="33"/>
      <c r="N366" s="33"/>
      <c r="O366" s="33"/>
      <c r="P366" s="33"/>
      <c r="R366" s="33"/>
      <c r="S366" s="33"/>
      <c r="T366" s="33"/>
      <c r="U366" s="33"/>
      <c r="V366" s="33"/>
      <c r="W366" s="33"/>
      <c r="X366" s="33"/>
      <c r="AA366" s="33"/>
      <c r="AC366" s="33"/>
    </row>
    <row r="367" ht="15.75" customHeight="1">
      <c r="A367" s="33"/>
      <c r="B367" s="33"/>
      <c r="F367" s="33"/>
      <c r="G367" s="33"/>
      <c r="H367" s="33"/>
      <c r="I367" s="33"/>
      <c r="J367" s="33"/>
      <c r="L367" s="33"/>
      <c r="M367" s="33"/>
      <c r="N367" s="33"/>
      <c r="O367" s="33"/>
      <c r="P367" s="33"/>
      <c r="R367" s="33"/>
      <c r="S367" s="33"/>
      <c r="T367" s="33"/>
      <c r="U367" s="33"/>
      <c r="V367" s="33"/>
      <c r="W367" s="33"/>
      <c r="X367" s="33"/>
      <c r="AA367" s="33"/>
      <c r="AC367" s="33"/>
    </row>
    <row r="368" ht="15.75" customHeight="1">
      <c r="A368" s="33"/>
      <c r="B368" s="33"/>
      <c r="F368" s="33"/>
      <c r="G368" s="33"/>
      <c r="H368" s="33"/>
      <c r="I368" s="33"/>
      <c r="J368" s="33"/>
      <c r="L368" s="33"/>
      <c r="M368" s="33"/>
      <c r="N368" s="33"/>
      <c r="O368" s="33"/>
      <c r="P368" s="33"/>
      <c r="R368" s="33"/>
      <c r="S368" s="33"/>
      <c r="T368" s="33"/>
      <c r="U368" s="33"/>
      <c r="V368" s="33"/>
      <c r="W368" s="33"/>
      <c r="X368" s="33"/>
      <c r="AA368" s="33"/>
      <c r="AC368" s="33"/>
    </row>
    <row r="369" ht="15.75" customHeight="1">
      <c r="A369" s="33"/>
      <c r="B369" s="33"/>
      <c r="F369" s="33"/>
      <c r="G369" s="33"/>
      <c r="H369" s="33"/>
      <c r="I369" s="33"/>
      <c r="J369" s="33"/>
      <c r="L369" s="33"/>
      <c r="M369" s="33"/>
      <c r="N369" s="33"/>
      <c r="O369" s="33"/>
      <c r="P369" s="33"/>
      <c r="R369" s="33"/>
      <c r="S369" s="33"/>
      <c r="T369" s="33"/>
      <c r="U369" s="33"/>
      <c r="V369" s="33"/>
      <c r="W369" s="33"/>
      <c r="X369" s="33"/>
      <c r="AA369" s="33"/>
      <c r="AC369" s="33"/>
    </row>
    <row r="370" ht="15.75" customHeight="1">
      <c r="A370" s="33"/>
      <c r="B370" s="33"/>
      <c r="F370" s="33"/>
      <c r="G370" s="33"/>
      <c r="H370" s="33"/>
      <c r="I370" s="33"/>
      <c r="J370" s="33"/>
      <c r="L370" s="33"/>
      <c r="M370" s="33"/>
      <c r="N370" s="33"/>
      <c r="O370" s="33"/>
      <c r="P370" s="33"/>
      <c r="R370" s="33"/>
      <c r="S370" s="33"/>
      <c r="T370" s="33"/>
      <c r="U370" s="33"/>
      <c r="V370" s="33"/>
      <c r="W370" s="33"/>
      <c r="X370" s="33"/>
      <c r="AA370" s="33"/>
      <c r="AC370" s="33"/>
    </row>
    <row r="371" ht="15.75" customHeight="1">
      <c r="A371" s="33"/>
      <c r="B371" s="33"/>
      <c r="F371" s="33"/>
      <c r="G371" s="33"/>
      <c r="H371" s="33"/>
      <c r="I371" s="33"/>
      <c r="J371" s="33"/>
      <c r="L371" s="33"/>
      <c r="M371" s="33"/>
      <c r="N371" s="33"/>
      <c r="O371" s="33"/>
      <c r="P371" s="33"/>
      <c r="R371" s="33"/>
      <c r="S371" s="33"/>
      <c r="T371" s="33"/>
      <c r="U371" s="33"/>
      <c r="V371" s="33"/>
      <c r="W371" s="33"/>
      <c r="X371" s="33"/>
      <c r="AA371" s="33"/>
      <c r="AC371" s="33"/>
    </row>
    <row r="372" ht="15.75" customHeight="1">
      <c r="A372" s="33"/>
      <c r="B372" s="33"/>
      <c r="F372" s="33"/>
      <c r="G372" s="33"/>
      <c r="H372" s="33"/>
      <c r="I372" s="33"/>
      <c r="J372" s="33"/>
      <c r="L372" s="33"/>
      <c r="M372" s="33"/>
      <c r="N372" s="33"/>
      <c r="O372" s="33"/>
      <c r="P372" s="33"/>
      <c r="R372" s="33"/>
      <c r="S372" s="33"/>
      <c r="T372" s="33"/>
      <c r="U372" s="33"/>
      <c r="V372" s="33"/>
      <c r="W372" s="33"/>
      <c r="X372" s="33"/>
      <c r="AA372" s="33"/>
      <c r="AC372" s="33"/>
    </row>
    <row r="373" ht="15.75" customHeight="1">
      <c r="A373" s="33"/>
      <c r="B373" s="33"/>
      <c r="F373" s="33"/>
      <c r="G373" s="33"/>
      <c r="H373" s="33"/>
      <c r="I373" s="33"/>
      <c r="J373" s="33"/>
      <c r="L373" s="33"/>
      <c r="M373" s="33"/>
      <c r="N373" s="33"/>
      <c r="O373" s="33"/>
      <c r="P373" s="33"/>
      <c r="R373" s="33"/>
      <c r="S373" s="33"/>
      <c r="T373" s="33"/>
      <c r="U373" s="33"/>
      <c r="V373" s="33"/>
      <c r="W373" s="33"/>
      <c r="X373" s="33"/>
      <c r="AA373" s="33"/>
      <c r="AC373" s="33"/>
    </row>
    <row r="374" ht="15.75" customHeight="1">
      <c r="A374" s="33"/>
      <c r="B374" s="33"/>
      <c r="F374" s="33"/>
      <c r="G374" s="33"/>
      <c r="H374" s="33"/>
      <c r="I374" s="33"/>
      <c r="J374" s="33"/>
      <c r="L374" s="33"/>
      <c r="M374" s="33"/>
      <c r="N374" s="33"/>
      <c r="O374" s="33"/>
      <c r="P374" s="33"/>
      <c r="R374" s="33"/>
      <c r="S374" s="33"/>
      <c r="T374" s="33"/>
      <c r="U374" s="33"/>
      <c r="V374" s="33"/>
      <c r="W374" s="33"/>
      <c r="X374" s="33"/>
      <c r="AA374" s="33"/>
      <c r="AC374" s="33"/>
    </row>
    <row r="375" ht="15.75" customHeight="1">
      <c r="A375" s="33"/>
      <c r="B375" s="33"/>
      <c r="F375" s="33"/>
      <c r="G375" s="33"/>
      <c r="H375" s="33"/>
      <c r="I375" s="33"/>
      <c r="J375" s="33"/>
      <c r="L375" s="33"/>
      <c r="M375" s="33"/>
      <c r="N375" s="33"/>
      <c r="O375" s="33"/>
      <c r="P375" s="33"/>
      <c r="R375" s="33"/>
      <c r="S375" s="33"/>
      <c r="T375" s="33"/>
      <c r="U375" s="33"/>
      <c r="V375" s="33"/>
      <c r="W375" s="33"/>
      <c r="X375" s="33"/>
      <c r="AA375" s="33"/>
      <c r="AC375" s="33"/>
    </row>
    <row r="376" ht="15.75" customHeight="1">
      <c r="A376" s="33"/>
      <c r="B376" s="33"/>
      <c r="F376" s="33"/>
      <c r="G376" s="33"/>
      <c r="H376" s="33"/>
      <c r="I376" s="33"/>
      <c r="J376" s="33"/>
      <c r="L376" s="33"/>
      <c r="M376" s="33"/>
      <c r="N376" s="33"/>
      <c r="O376" s="33"/>
      <c r="P376" s="33"/>
      <c r="R376" s="33"/>
      <c r="S376" s="33"/>
      <c r="T376" s="33"/>
      <c r="U376" s="33"/>
      <c r="V376" s="33"/>
      <c r="W376" s="33"/>
      <c r="X376" s="33"/>
      <c r="AA376" s="33"/>
      <c r="AC376" s="33"/>
    </row>
    <row r="377" ht="15.75" customHeight="1">
      <c r="A377" s="33"/>
      <c r="B377" s="33"/>
      <c r="F377" s="33"/>
      <c r="G377" s="33"/>
      <c r="H377" s="33"/>
      <c r="I377" s="33"/>
      <c r="J377" s="33"/>
      <c r="L377" s="33"/>
      <c r="M377" s="33"/>
      <c r="N377" s="33"/>
      <c r="O377" s="33"/>
      <c r="P377" s="33"/>
      <c r="R377" s="33"/>
      <c r="S377" s="33"/>
      <c r="T377" s="33"/>
      <c r="U377" s="33"/>
      <c r="V377" s="33"/>
      <c r="W377" s="33"/>
      <c r="X377" s="33"/>
      <c r="AA377" s="33"/>
      <c r="AC377" s="33"/>
    </row>
    <row r="378" ht="15.75" customHeight="1">
      <c r="A378" s="33"/>
      <c r="B378" s="33"/>
      <c r="F378" s="33"/>
      <c r="G378" s="33"/>
      <c r="H378" s="33"/>
      <c r="I378" s="33"/>
      <c r="J378" s="33"/>
      <c r="L378" s="33"/>
      <c r="M378" s="33"/>
      <c r="N378" s="33"/>
      <c r="O378" s="33"/>
      <c r="P378" s="33"/>
      <c r="R378" s="33"/>
      <c r="S378" s="33"/>
      <c r="T378" s="33"/>
      <c r="U378" s="33"/>
      <c r="V378" s="33"/>
      <c r="W378" s="33"/>
      <c r="X378" s="33"/>
      <c r="AA378" s="33"/>
      <c r="AC378" s="33"/>
    </row>
    <row r="379" ht="15.75" customHeight="1">
      <c r="A379" s="33"/>
      <c r="B379" s="33"/>
      <c r="F379" s="33"/>
      <c r="G379" s="33"/>
      <c r="H379" s="33"/>
      <c r="I379" s="33"/>
      <c r="J379" s="33"/>
      <c r="L379" s="33"/>
      <c r="M379" s="33"/>
      <c r="N379" s="33"/>
      <c r="O379" s="33"/>
      <c r="P379" s="33"/>
      <c r="R379" s="33"/>
      <c r="S379" s="33"/>
      <c r="T379" s="33"/>
      <c r="U379" s="33"/>
      <c r="V379" s="33"/>
      <c r="W379" s="33"/>
      <c r="X379" s="33"/>
      <c r="AA379" s="33"/>
      <c r="AC379" s="33"/>
    </row>
    <row r="380" ht="15.75" customHeight="1">
      <c r="A380" s="33"/>
      <c r="B380" s="33"/>
      <c r="F380" s="33"/>
      <c r="G380" s="33"/>
      <c r="H380" s="33"/>
      <c r="I380" s="33"/>
      <c r="J380" s="33"/>
      <c r="L380" s="33"/>
      <c r="M380" s="33"/>
      <c r="N380" s="33"/>
      <c r="O380" s="33"/>
      <c r="P380" s="33"/>
      <c r="R380" s="33"/>
      <c r="S380" s="33"/>
      <c r="T380" s="33"/>
      <c r="U380" s="33"/>
      <c r="V380" s="33"/>
      <c r="W380" s="33"/>
      <c r="X380" s="33"/>
      <c r="AA380" s="33"/>
      <c r="AC380" s="33"/>
    </row>
    <row r="381" ht="15.75" customHeight="1">
      <c r="A381" s="33"/>
      <c r="B381" s="33"/>
      <c r="F381" s="33"/>
      <c r="G381" s="33"/>
      <c r="H381" s="33"/>
      <c r="I381" s="33"/>
      <c r="J381" s="33"/>
      <c r="L381" s="33"/>
      <c r="M381" s="33"/>
      <c r="N381" s="33"/>
      <c r="O381" s="33"/>
      <c r="P381" s="33"/>
      <c r="R381" s="33"/>
      <c r="S381" s="33"/>
      <c r="T381" s="33"/>
      <c r="U381" s="33"/>
      <c r="V381" s="33"/>
      <c r="W381" s="33"/>
      <c r="X381" s="33"/>
      <c r="AA381" s="33"/>
      <c r="AC381" s="33"/>
    </row>
    <row r="382" ht="15.75" customHeight="1">
      <c r="A382" s="33"/>
      <c r="B382" s="33"/>
      <c r="F382" s="33"/>
      <c r="G382" s="33"/>
      <c r="H382" s="33"/>
      <c r="I382" s="33"/>
      <c r="J382" s="33"/>
      <c r="L382" s="33"/>
      <c r="M382" s="33"/>
      <c r="N382" s="33"/>
      <c r="O382" s="33"/>
      <c r="P382" s="33"/>
      <c r="R382" s="33"/>
      <c r="S382" s="33"/>
      <c r="T382" s="33"/>
      <c r="U382" s="33"/>
      <c r="V382" s="33"/>
      <c r="W382" s="33"/>
      <c r="X382" s="33"/>
      <c r="AA382" s="33"/>
      <c r="AC382" s="33"/>
    </row>
    <row r="383" ht="15.75" customHeight="1">
      <c r="A383" s="33"/>
      <c r="B383" s="33"/>
      <c r="F383" s="33"/>
      <c r="G383" s="33"/>
      <c r="H383" s="33"/>
      <c r="I383" s="33"/>
      <c r="J383" s="33"/>
      <c r="L383" s="33"/>
      <c r="M383" s="33"/>
      <c r="N383" s="33"/>
      <c r="O383" s="33"/>
      <c r="P383" s="33"/>
      <c r="R383" s="33"/>
      <c r="S383" s="33"/>
      <c r="T383" s="33"/>
      <c r="U383" s="33"/>
      <c r="V383" s="33"/>
      <c r="W383" s="33"/>
      <c r="X383" s="33"/>
      <c r="AA383" s="33"/>
      <c r="AC383" s="33"/>
    </row>
    <row r="384" ht="15.75" customHeight="1">
      <c r="A384" s="33"/>
      <c r="B384" s="33"/>
      <c r="F384" s="33"/>
      <c r="G384" s="33"/>
      <c r="H384" s="33"/>
      <c r="I384" s="33"/>
      <c r="J384" s="33"/>
      <c r="L384" s="33"/>
      <c r="M384" s="33"/>
      <c r="N384" s="33"/>
      <c r="O384" s="33"/>
      <c r="P384" s="33"/>
      <c r="R384" s="33"/>
      <c r="S384" s="33"/>
      <c r="T384" s="33"/>
      <c r="U384" s="33"/>
      <c r="V384" s="33"/>
      <c r="W384" s="33"/>
      <c r="X384" s="33"/>
      <c r="AA384" s="33"/>
      <c r="AC384" s="33"/>
    </row>
    <row r="385" ht="15.75" customHeight="1">
      <c r="A385" s="33"/>
      <c r="B385" s="33"/>
      <c r="F385" s="33"/>
      <c r="G385" s="33"/>
      <c r="H385" s="33"/>
      <c r="I385" s="33"/>
      <c r="J385" s="33"/>
      <c r="L385" s="33"/>
      <c r="M385" s="33"/>
      <c r="N385" s="33"/>
      <c r="O385" s="33"/>
      <c r="P385" s="33"/>
      <c r="R385" s="33"/>
      <c r="S385" s="33"/>
      <c r="T385" s="33"/>
      <c r="U385" s="33"/>
      <c r="V385" s="33"/>
      <c r="W385" s="33"/>
      <c r="X385" s="33"/>
      <c r="AA385" s="33"/>
      <c r="AC385" s="33"/>
    </row>
    <row r="386" ht="15.75" customHeight="1">
      <c r="A386" s="33"/>
      <c r="B386" s="33"/>
      <c r="F386" s="33"/>
      <c r="G386" s="33"/>
      <c r="H386" s="33"/>
      <c r="I386" s="33"/>
      <c r="J386" s="33"/>
      <c r="L386" s="33"/>
      <c r="M386" s="33"/>
      <c r="N386" s="33"/>
      <c r="O386" s="33"/>
      <c r="P386" s="33"/>
      <c r="R386" s="33"/>
      <c r="S386" s="33"/>
      <c r="T386" s="33"/>
      <c r="U386" s="33"/>
      <c r="V386" s="33"/>
      <c r="W386" s="33"/>
      <c r="X386" s="33"/>
      <c r="AA386" s="33"/>
      <c r="AC386" s="33"/>
    </row>
    <row r="387" ht="15.75" customHeight="1">
      <c r="A387" s="33"/>
      <c r="B387" s="33"/>
      <c r="F387" s="33"/>
      <c r="G387" s="33"/>
      <c r="H387" s="33"/>
      <c r="I387" s="33"/>
      <c r="J387" s="33"/>
      <c r="L387" s="33"/>
      <c r="M387" s="33"/>
      <c r="N387" s="33"/>
      <c r="O387" s="33"/>
      <c r="P387" s="33"/>
      <c r="R387" s="33"/>
      <c r="S387" s="33"/>
      <c r="T387" s="33"/>
      <c r="U387" s="33"/>
      <c r="V387" s="33"/>
      <c r="W387" s="33"/>
      <c r="X387" s="33"/>
      <c r="AA387" s="33"/>
      <c r="AC387" s="33"/>
    </row>
    <row r="388" ht="15.75" customHeight="1">
      <c r="A388" s="33"/>
      <c r="B388" s="33"/>
      <c r="F388" s="33"/>
      <c r="G388" s="33"/>
      <c r="H388" s="33"/>
      <c r="I388" s="33"/>
      <c r="J388" s="33"/>
      <c r="L388" s="33"/>
      <c r="M388" s="33"/>
      <c r="N388" s="33"/>
      <c r="O388" s="33"/>
      <c r="P388" s="33"/>
      <c r="R388" s="33"/>
      <c r="S388" s="33"/>
      <c r="T388" s="33"/>
      <c r="U388" s="33"/>
      <c r="V388" s="33"/>
      <c r="W388" s="33"/>
      <c r="X388" s="33"/>
      <c r="AA388" s="33"/>
      <c r="AC388" s="33"/>
    </row>
    <row r="389" ht="15.75" customHeight="1">
      <c r="A389" s="33"/>
      <c r="B389" s="33"/>
      <c r="F389" s="33"/>
      <c r="G389" s="33"/>
      <c r="H389" s="33"/>
      <c r="I389" s="33"/>
      <c r="J389" s="33"/>
      <c r="L389" s="33"/>
      <c r="M389" s="33"/>
      <c r="N389" s="33"/>
      <c r="O389" s="33"/>
      <c r="P389" s="33"/>
      <c r="R389" s="33"/>
      <c r="S389" s="33"/>
      <c r="T389" s="33"/>
      <c r="U389" s="33"/>
      <c r="V389" s="33"/>
      <c r="W389" s="33"/>
      <c r="X389" s="33"/>
      <c r="AA389" s="33"/>
      <c r="AC389" s="33"/>
    </row>
    <row r="390" ht="15.75" customHeight="1">
      <c r="A390" s="33"/>
      <c r="B390" s="33"/>
      <c r="F390" s="33"/>
      <c r="G390" s="33"/>
      <c r="H390" s="33"/>
      <c r="I390" s="33"/>
      <c r="J390" s="33"/>
      <c r="L390" s="33"/>
      <c r="M390" s="33"/>
      <c r="N390" s="33"/>
      <c r="O390" s="33"/>
      <c r="P390" s="33"/>
      <c r="R390" s="33"/>
      <c r="S390" s="33"/>
      <c r="T390" s="33"/>
      <c r="U390" s="33"/>
      <c r="V390" s="33"/>
      <c r="W390" s="33"/>
      <c r="X390" s="33"/>
      <c r="AA390" s="33"/>
      <c r="AC390" s="33"/>
    </row>
    <row r="391" ht="15.75" customHeight="1">
      <c r="A391" s="33"/>
      <c r="B391" s="33"/>
      <c r="F391" s="33"/>
      <c r="G391" s="33"/>
      <c r="H391" s="33"/>
      <c r="I391" s="33"/>
      <c r="J391" s="33"/>
      <c r="L391" s="33"/>
      <c r="M391" s="33"/>
      <c r="N391" s="33"/>
      <c r="O391" s="33"/>
      <c r="P391" s="33"/>
      <c r="R391" s="33"/>
      <c r="S391" s="33"/>
      <c r="T391" s="33"/>
      <c r="U391" s="33"/>
      <c r="V391" s="33"/>
      <c r="W391" s="33"/>
      <c r="X391" s="33"/>
      <c r="AA391" s="33"/>
      <c r="AC391" s="33"/>
    </row>
    <row r="392" ht="15.75" customHeight="1">
      <c r="A392" s="33"/>
      <c r="B392" s="33"/>
      <c r="F392" s="33"/>
      <c r="G392" s="33"/>
      <c r="H392" s="33"/>
      <c r="I392" s="33"/>
      <c r="J392" s="33"/>
      <c r="L392" s="33"/>
      <c r="M392" s="33"/>
      <c r="N392" s="33"/>
      <c r="O392" s="33"/>
      <c r="P392" s="33"/>
      <c r="R392" s="33"/>
      <c r="S392" s="33"/>
      <c r="T392" s="33"/>
      <c r="U392" s="33"/>
      <c r="V392" s="33"/>
      <c r="W392" s="33"/>
      <c r="X392" s="33"/>
      <c r="AA392" s="33"/>
      <c r="AC392" s="33"/>
    </row>
    <row r="393" ht="15.75" customHeight="1">
      <c r="A393" s="33"/>
      <c r="B393" s="33"/>
      <c r="F393" s="33"/>
      <c r="G393" s="33"/>
      <c r="H393" s="33"/>
      <c r="I393" s="33"/>
      <c r="J393" s="33"/>
      <c r="L393" s="33"/>
      <c r="M393" s="33"/>
      <c r="N393" s="33"/>
      <c r="O393" s="33"/>
      <c r="P393" s="33"/>
      <c r="R393" s="33"/>
      <c r="S393" s="33"/>
      <c r="T393" s="33"/>
      <c r="U393" s="33"/>
      <c r="V393" s="33"/>
      <c r="W393" s="33"/>
      <c r="X393" s="33"/>
      <c r="AA393" s="33"/>
      <c r="AC393" s="33"/>
    </row>
    <row r="394" ht="15.75" customHeight="1">
      <c r="A394" s="33"/>
      <c r="B394" s="33"/>
      <c r="F394" s="33"/>
      <c r="G394" s="33"/>
      <c r="H394" s="33"/>
      <c r="I394" s="33"/>
      <c r="J394" s="33"/>
      <c r="L394" s="33"/>
      <c r="M394" s="33"/>
      <c r="N394" s="33"/>
      <c r="O394" s="33"/>
      <c r="P394" s="33"/>
      <c r="R394" s="33"/>
      <c r="S394" s="33"/>
      <c r="T394" s="33"/>
      <c r="U394" s="33"/>
      <c r="V394" s="33"/>
      <c r="W394" s="33"/>
      <c r="X394" s="33"/>
      <c r="AA394" s="33"/>
      <c r="AC394" s="33"/>
    </row>
    <row r="395" ht="15.75" customHeight="1">
      <c r="A395" s="33"/>
      <c r="B395" s="33"/>
      <c r="F395" s="33"/>
      <c r="G395" s="33"/>
      <c r="H395" s="33"/>
      <c r="I395" s="33"/>
      <c r="J395" s="33"/>
      <c r="L395" s="33"/>
      <c r="M395" s="33"/>
      <c r="N395" s="33"/>
      <c r="O395" s="33"/>
      <c r="P395" s="33"/>
      <c r="R395" s="33"/>
      <c r="S395" s="33"/>
      <c r="T395" s="33"/>
      <c r="U395" s="33"/>
      <c r="V395" s="33"/>
      <c r="W395" s="33"/>
      <c r="X395" s="33"/>
      <c r="AA395" s="33"/>
      <c r="AC395" s="33"/>
    </row>
    <row r="396" ht="15.75" customHeight="1">
      <c r="A396" s="33"/>
      <c r="B396" s="33"/>
      <c r="F396" s="33"/>
      <c r="G396" s="33"/>
      <c r="H396" s="33"/>
      <c r="I396" s="33"/>
      <c r="J396" s="33"/>
      <c r="L396" s="33"/>
      <c r="M396" s="33"/>
      <c r="N396" s="33"/>
      <c r="O396" s="33"/>
      <c r="P396" s="33"/>
      <c r="R396" s="33"/>
      <c r="S396" s="33"/>
      <c r="T396" s="33"/>
      <c r="U396" s="33"/>
      <c r="V396" s="33"/>
      <c r="W396" s="33"/>
      <c r="X396" s="33"/>
      <c r="AA396" s="33"/>
      <c r="AC396" s="33"/>
    </row>
    <row r="397" ht="15.75" customHeight="1">
      <c r="A397" s="33"/>
      <c r="B397" s="33"/>
      <c r="F397" s="33"/>
      <c r="G397" s="33"/>
      <c r="H397" s="33"/>
      <c r="I397" s="33"/>
      <c r="J397" s="33"/>
      <c r="L397" s="33"/>
      <c r="M397" s="33"/>
      <c r="N397" s="33"/>
      <c r="O397" s="33"/>
      <c r="P397" s="33"/>
      <c r="R397" s="33"/>
      <c r="S397" s="33"/>
      <c r="T397" s="33"/>
      <c r="U397" s="33"/>
      <c r="V397" s="33"/>
      <c r="W397" s="33"/>
      <c r="X397" s="33"/>
      <c r="AA397" s="33"/>
      <c r="AC397" s="33"/>
    </row>
    <row r="398" ht="15.75" customHeight="1">
      <c r="A398" s="33"/>
      <c r="B398" s="33"/>
      <c r="F398" s="33"/>
      <c r="G398" s="33"/>
      <c r="H398" s="33"/>
      <c r="I398" s="33"/>
      <c r="J398" s="33"/>
      <c r="L398" s="33"/>
      <c r="M398" s="33"/>
      <c r="N398" s="33"/>
      <c r="O398" s="33"/>
      <c r="P398" s="33"/>
      <c r="R398" s="33"/>
      <c r="S398" s="33"/>
      <c r="T398" s="33"/>
      <c r="U398" s="33"/>
      <c r="V398" s="33"/>
      <c r="W398" s="33"/>
      <c r="X398" s="33"/>
      <c r="AA398" s="33"/>
      <c r="AC398" s="33"/>
    </row>
    <row r="399" ht="15.75" customHeight="1">
      <c r="A399" s="33"/>
      <c r="B399" s="33"/>
      <c r="F399" s="33"/>
      <c r="G399" s="33"/>
      <c r="H399" s="33"/>
      <c r="I399" s="33"/>
      <c r="J399" s="33"/>
      <c r="L399" s="33"/>
      <c r="M399" s="33"/>
      <c r="N399" s="33"/>
      <c r="O399" s="33"/>
      <c r="P399" s="33"/>
      <c r="R399" s="33"/>
      <c r="S399" s="33"/>
      <c r="T399" s="33"/>
      <c r="U399" s="33"/>
      <c r="V399" s="33"/>
      <c r="W399" s="33"/>
      <c r="X399" s="33"/>
      <c r="AA399" s="33"/>
      <c r="AC399" s="33"/>
    </row>
    <row r="400" ht="15.75" customHeight="1">
      <c r="A400" s="33"/>
      <c r="B400" s="33"/>
      <c r="F400" s="33"/>
      <c r="G400" s="33"/>
      <c r="H400" s="33"/>
      <c r="I400" s="33"/>
      <c r="J400" s="33"/>
      <c r="L400" s="33"/>
      <c r="M400" s="33"/>
      <c r="N400" s="33"/>
      <c r="O400" s="33"/>
      <c r="P400" s="33"/>
      <c r="R400" s="33"/>
      <c r="S400" s="33"/>
      <c r="T400" s="33"/>
      <c r="U400" s="33"/>
      <c r="V400" s="33"/>
      <c r="W400" s="33"/>
      <c r="X400" s="33"/>
      <c r="AA400" s="33"/>
      <c r="AC400" s="33"/>
    </row>
    <row r="401" ht="15.75" customHeight="1">
      <c r="A401" s="33"/>
      <c r="B401" s="33"/>
      <c r="F401" s="33"/>
      <c r="G401" s="33"/>
      <c r="H401" s="33"/>
      <c r="I401" s="33"/>
      <c r="J401" s="33"/>
      <c r="L401" s="33"/>
      <c r="M401" s="33"/>
      <c r="N401" s="33"/>
      <c r="O401" s="33"/>
      <c r="P401" s="33"/>
      <c r="R401" s="33"/>
      <c r="S401" s="33"/>
      <c r="T401" s="33"/>
      <c r="U401" s="33"/>
      <c r="V401" s="33"/>
      <c r="W401" s="33"/>
      <c r="X401" s="33"/>
      <c r="AA401" s="33"/>
      <c r="AC401" s="33"/>
    </row>
    <row r="402" ht="15.75" customHeight="1">
      <c r="A402" s="33"/>
      <c r="B402" s="33"/>
      <c r="F402" s="33"/>
      <c r="G402" s="33"/>
      <c r="H402" s="33"/>
      <c r="I402" s="33"/>
      <c r="J402" s="33"/>
      <c r="L402" s="33"/>
      <c r="M402" s="33"/>
      <c r="N402" s="33"/>
      <c r="O402" s="33"/>
      <c r="P402" s="33"/>
      <c r="R402" s="33"/>
      <c r="S402" s="33"/>
      <c r="T402" s="33"/>
      <c r="U402" s="33"/>
      <c r="V402" s="33"/>
      <c r="W402" s="33"/>
      <c r="X402" s="33"/>
      <c r="AA402" s="33"/>
      <c r="AC402" s="33"/>
    </row>
    <row r="403" ht="15.75" customHeight="1">
      <c r="A403" s="33"/>
      <c r="B403" s="33"/>
      <c r="F403" s="33"/>
      <c r="G403" s="33"/>
      <c r="H403" s="33"/>
      <c r="I403" s="33"/>
      <c r="J403" s="33"/>
      <c r="L403" s="33"/>
      <c r="M403" s="33"/>
      <c r="N403" s="33"/>
      <c r="O403" s="33"/>
      <c r="P403" s="33"/>
      <c r="R403" s="33"/>
      <c r="S403" s="33"/>
      <c r="T403" s="33"/>
      <c r="U403" s="33"/>
      <c r="V403" s="33"/>
      <c r="W403" s="33"/>
      <c r="X403" s="33"/>
      <c r="AA403" s="33"/>
      <c r="AC403" s="33"/>
    </row>
    <row r="404" ht="15.75" customHeight="1">
      <c r="A404" s="33"/>
      <c r="B404" s="33"/>
      <c r="F404" s="33"/>
      <c r="G404" s="33"/>
      <c r="H404" s="33"/>
      <c r="I404" s="33"/>
      <c r="J404" s="33"/>
      <c r="L404" s="33"/>
      <c r="M404" s="33"/>
      <c r="N404" s="33"/>
      <c r="O404" s="33"/>
      <c r="P404" s="33"/>
      <c r="R404" s="33"/>
      <c r="S404" s="33"/>
      <c r="T404" s="33"/>
      <c r="U404" s="33"/>
      <c r="V404" s="33"/>
      <c r="W404" s="33"/>
      <c r="X404" s="33"/>
      <c r="AA404" s="33"/>
      <c r="AC404" s="33"/>
    </row>
    <row r="405" ht="15.75" customHeight="1">
      <c r="A405" s="33"/>
      <c r="B405" s="33"/>
      <c r="F405" s="33"/>
      <c r="G405" s="33"/>
      <c r="H405" s="33"/>
      <c r="I405" s="33"/>
      <c r="J405" s="33"/>
      <c r="L405" s="33"/>
      <c r="M405" s="33"/>
      <c r="N405" s="33"/>
      <c r="O405" s="33"/>
      <c r="P405" s="33"/>
      <c r="R405" s="33"/>
      <c r="S405" s="33"/>
      <c r="T405" s="33"/>
      <c r="U405" s="33"/>
      <c r="V405" s="33"/>
      <c r="W405" s="33"/>
      <c r="X405" s="33"/>
      <c r="AA405" s="33"/>
      <c r="AC405" s="33"/>
    </row>
    <row r="406" ht="15.75" customHeight="1">
      <c r="A406" s="33"/>
      <c r="B406" s="33"/>
      <c r="F406" s="33"/>
      <c r="G406" s="33"/>
      <c r="H406" s="33"/>
      <c r="I406" s="33"/>
      <c r="J406" s="33"/>
      <c r="L406" s="33"/>
      <c r="M406" s="33"/>
      <c r="N406" s="33"/>
      <c r="O406" s="33"/>
      <c r="P406" s="33"/>
      <c r="R406" s="33"/>
      <c r="S406" s="33"/>
      <c r="T406" s="33"/>
      <c r="U406" s="33"/>
      <c r="V406" s="33"/>
      <c r="W406" s="33"/>
      <c r="X406" s="33"/>
      <c r="AA406" s="33"/>
      <c r="AC406" s="33"/>
    </row>
    <row r="407" ht="15.75" customHeight="1">
      <c r="A407" s="33"/>
      <c r="B407" s="33"/>
      <c r="F407" s="33"/>
      <c r="G407" s="33"/>
      <c r="H407" s="33"/>
      <c r="I407" s="33"/>
      <c r="J407" s="33"/>
      <c r="L407" s="33"/>
      <c r="M407" s="33"/>
      <c r="N407" s="33"/>
      <c r="O407" s="33"/>
      <c r="P407" s="33"/>
      <c r="R407" s="33"/>
      <c r="S407" s="33"/>
      <c r="T407" s="33"/>
      <c r="U407" s="33"/>
      <c r="V407" s="33"/>
      <c r="W407" s="33"/>
      <c r="X407" s="33"/>
      <c r="AA407" s="33"/>
      <c r="AC407" s="33"/>
    </row>
    <row r="408" ht="15.75" customHeight="1">
      <c r="A408" s="33"/>
      <c r="B408" s="33"/>
      <c r="F408" s="33"/>
      <c r="G408" s="33"/>
      <c r="H408" s="33"/>
      <c r="I408" s="33"/>
      <c r="J408" s="33"/>
      <c r="L408" s="33"/>
      <c r="M408" s="33"/>
      <c r="N408" s="33"/>
      <c r="O408" s="33"/>
      <c r="P408" s="33"/>
      <c r="R408" s="33"/>
      <c r="S408" s="33"/>
      <c r="T408" s="33"/>
      <c r="U408" s="33"/>
      <c r="V408" s="33"/>
      <c r="W408" s="33"/>
      <c r="X408" s="33"/>
      <c r="AA408" s="33"/>
      <c r="AC408" s="33"/>
    </row>
    <row r="409" ht="15.75" customHeight="1">
      <c r="A409" s="33"/>
      <c r="B409" s="33"/>
      <c r="F409" s="33"/>
      <c r="G409" s="33"/>
      <c r="H409" s="33"/>
      <c r="I409" s="33"/>
      <c r="J409" s="33"/>
      <c r="L409" s="33"/>
      <c r="M409" s="33"/>
      <c r="N409" s="33"/>
      <c r="O409" s="33"/>
      <c r="P409" s="33"/>
      <c r="R409" s="33"/>
      <c r="S409" s="33"/>
      <c r="T409" s="33"/>
      <c r="U409" s="33"/>
      <c r="V409" s="33"/>
      <c r="W409" s="33"/>
      <c r="X409" s="33"/>
      <c r="AA409" s="33"/>
      <c r="AC409" s="33"/>
    </row>
    <row r="410" ht="15.75" customHeight="1">
      <c r="A410" s="33"/>
      <c r="B410" s="33"/>
      <c r="F410" s="33"/>
      <c r="G410" s="33"/>
      <c r="H410" s="33"/>
      <c r="I410" s="33"/>
      <c r="J410" s="33"/>
      <c r="L410" s="33"/>
      <c r="M410" s="33"/>
      <c r="N410" s="33"/>
      <c r="O410" s="33"/>
      <c r="P410" s="33"/>
      <c r="R410" s="33"/>
      <c r="S410" s="33"/>
      <c r="T410" s="33"/>
      <c r="U410" s="33"/>
      <c r="V410" s="33"/>
      <c r="W410" s="33"/>
      <c r="X410" s="33"/>
      <c r="AA410" s="33"/>
      <c r="AC410" s="33"/>
    </row>
    <row r="411" ht="15.75" customHeight="1">
      <c r="A411" s="33"/>
      <c r="B411" s="33"/>
      <c r="F411" s="33"/>
      <c r="G411" s="33"/>
      <c r="H411" s="33"/>
      <c r="I411" s="33"/>
      <c r="J411" s="33"/>
      <c r="L411" s="33"/>
      <c r="M411" s="33"/>
      <c r="N411" s="33"/>
      <c r="O411" s="33"/>
      <c r="P411" s="33"/>
      <c r="R411" s="33"/>
      <c r="S411" s="33"/>
      <c r="T411" s="33"/>
      <c r="U411" s="33"/>
      <c r="V411" s="33"/>
      <c r="W411" s="33"/>
      <c r="X411" s="33"/>
      <c r="AA411" s="33"/>
      <c r="AC411" s="33"/>
    </row>
    <row r="412" ht="15.75" customHeight="1">
      <c r="A412" s="33"/>
      <c r="B412" s="33"/>
      <c r="F412" s="33"/>
      <c r="G412" s="33"/>
      <c r="H412" s="33"/>
      <c r="I412" s="33"/>
      <c r="J412" s="33"/>
      <c r="L412" s="33"/>
      <c r="M412" s="33"/>
      <c r="N412" s="33"/>
      <c r="O412" s="33"/>
      <c r="P412" s="33"/>
      <c r="R412" s="33"/>
      <c r="S412" s="33"/>
      <c r="T412" s="33"/>
      <c r="U412" s="33"/>
      <c r="V412" s="33"/>
      <c r="W412" s="33"/>
      <c r="X412" s="33"/>
      <c r="AA412" s="33"/>
      <c r="AC412" s="33"/>
    </row>
    <row r="413" ht="15.75" customHeight="1">
      <c r="A413" s="33"/>
      <c r="B413" s="33"/>
      <c r="F413" s="33"/>
      <c r="G413" s="33"/>
      <c r="H413" s="33"/>
      <c r="I413" s="33"/>
      <c r="J413" s="33"/>
      <c r="L413" s="33"/>
      <c r="M413" s="33"/>
      <c r="N413" s="33"/>
      <c r="O413" s="33"/>
      <c r="P413" s="33"/>
      <c r="R413" s="33"/>
      <c r="S413" s="33"/>
      <c r="T413" s="33"/>
      <c r="U413" s="33"/>
      <c r="V413" s="33"/>
      <c r="W413" s="33"/>
      <c r="X413" s="33"/>
      <c r="AA413" s="33"/>
      <c r="AC413" s="33"/>
    </row>
    <row r="414" ht="15.75" customHeight="1">
      <c r="A414" s="33"/>
      <c r="B414" s="33"/>
      <c r="F414" s="33"/>
      <c r="G414" s="33"/>
      <c r="H414" s="33"/>
      <c r="I414" s="33"/>
      <c r="J414" s="33"/>
      <c r="L414" s="33"/>
      <c r="M414" s="33"/>
      <c r="N414" s="33"/>
      <c r="O414" s="33"/>
      <c r="P414" s="33"/>
      <c r="R414" s="33"/>
      <c r="S414" s="33"/>
      <c r="T414" s="33"/>
      <c r="U414" s="33"/>
      <c r="V414" s="33"/>
      <c r="W414" s="33"/>
      <c r="X414" s="33"/>
      <c r="AA414" s="33"/>
      <c r="AC414" s="33"/>
    </row>
    <row r="415" ht="15.75" customHeight="1">
      <c r="A415" s="33"/>
      <c r="B415" s="33"/>
      <c r="F415" s="33"/>
      <c r="G415" s="33"/>
      <c r="H415" s="33"/>
      <c r="I415" s="33"/>
      <c r="J415" s="33"/>
      <c r="L415" s="33"/>
      <c r="M415" s="33"/>
      <c r="N415" s="33"/>
      <c r="O415" s="33"/>
      <c r="P415" s="33"/>
      <c r="R415" s="33"/>
      <c r="S415" s="33"/>
      <c r="T415" s="33"/>
      <c r="U415" s="33"/>
      <c r="V415" s="33"/>
      <c r="W415" s="33"/>
      <c r="X415" s="33"/>
      <c r="AA415" s="33"/>
      <c r="AC415" s="33"/>
    </row>
    <row r="416" ht="15.75" customHeight="1">
      <c r="A416" s="33"/>
      <c r="B416" s="33"/>
      <c r="F416" s="33"/>
      <c r="G416" s="33"/>
      <c r="H416" s="33"/>
      <c r="I416" s="33"/>
      <c r="J416" s="33"/>
      <c r="L416" s="33"/>
      <c r="M416" s="33"/>
      <c r="N416" s="33"/>
      <c r="O416" s="33"/>
      <c r="P416" s="33"/>
      <c r="R416" s="33"/>
      <c r="S416" s="33"/>
      <c r="T416" s="33"/>
      <c r="U416" s="33"/>
      <c r="V416" s="33"/>
      <c r="W416" s="33"/>
      <c r="X416" s="33"/>
      <c r="AA416" s="33"/>
      <c r="AC416" s="33"/>
    </row>
    <row r="417" ht="15.75" customHeight="1">
      <c r="A417" s="33"/>
      <c r="B417" s="33"/>
      <c r="F417" s="33"/>
      <c r="G417" s="33"/>
      <c r="H417" s="33"/>
      <c r="I417" s="33"/>
      <c r="J417" s="33"/>
      <c r="L417" s="33"/>
      <c r="M417" s="33"/>
      <c r="N417" s="33"/>
      <c r="O417" s="33"/>
      <c r="P417" s="33"/>
      <c r="R417" s="33"/>
      <c r="S417" s="33"/>
      <c r="T417" s="33"/>
      <c r="U417" s="33"/>
      <c r="V417" s="33"/>
      <c r="W417" s="33"/>
      <c r="X417" s="33"/>
      <c r="AA417" s="33"/>
      <c r="AC417" s="33"/>
    </row>
    <row r="418" ht="15.75" customHeight="1">
      <c r="A418" s="33"/>
      <c r="B418" s="33"/>
      <c r="F418" s="33"/>
      <c r="G418" s="33"/>
      <c r="H418" s="33"/>
      <c r="I418" s="33"/>
      <c r="J418" s="33"/>
      <c r="L418" s="33"/>
      <c r="M418" s="33"/>
      <c r="N418" s="33"/>
      <c r="O418" s="33"/>
      <c r="P418" s="33"/>
      <c r="R418" s="33"/>
      <c r="S418" s="33"/>
      <c r="T418" s="33"/>
      <c r="U418" s="33"/>
      <c r="V418" s="33"/>
      <c r="W418" s="33"/>
      <c r="X418" s="33"/>
      <c r="AA418" s="33"/>
      <c r="AC418" s="33"/>
    </row>
    <row r="419" ht="15.75" customHeight="1">
      <c r="A419" s="33"/>
      <c r="B419" s="33"/>
      <c r="F419" s="33"/>
      <c r="G419" s="33"/>
      <c r="H419" s="33"/>
      <c r="I419" s="33"/>
      <c r="J419" s="33"/>
      <c r="L419" s="33"/>
      <c r="M419" s="33"/>
      <c r="N419" s="33"/>
      <c r="O419" s="33"/>
      <c r="P419" s="33"/>
      <c r="R419" s="33"/>
      <c r="S419" s="33"/>
      <c r="T419" s="33"/>
      <c r="U419" s="33"/>
      <c r="V419" s="33"/>
      <c r="W419" s="33"/>
      <c r="X419" s="33"/>
      <c r="AA419" s="33"/>
      <c r="AC419" s="33"/>
    </row>
    <row r="420" ht="15.75" customHeight="1">
      <c r="A420" s="33"/>
      <c r="B420" s="33"/>
      <c r="F420" s="33"/>
      <c r="G420" s="33"/>
      <c r="H420" s="33"/>
      <c r="I420" s="33"/>
      <c r="J420" s="33"/>
      <c r="L420" s="33"/>
      <c r="M420" s="33"/>
      <c r="N420" s="33"/>
      <c r="O420" s="33"/>
      <c r="P420" s="33"/>
      <c r="R420" s="33"/>
      <c r="S420" s="33"/>
      <c r="T420" s="33"/>
      <c r="U420" s="33"/>
      <c r="V420" s="33"/>
      <c r="W420" s="33"/>
      <c r="X420" s="33"/>
      <c r="AA420" s="33"/>
      <c r="AC420" s="33"/>
    </row>
    <row r="421" ht="15.75" customHeight="1">
      <c r="A421" s="33"/>
      <c r="B421" s="33"/>
      <c r="F421" s="33"/>
      <c r="G421" s="33"/>
      <c r="H421" s="33"/>
      <c r="I421" s="33"/>
      <c r="J421" s="33"/>
      <c r="L421" s="33"/>
      <c r="M421" s="33"/>
      <c r="N421" s="33"/>
      <c r="O421" s="33"/>
      <c r="P421" s="33"/>
      <c r="R421" s="33"/>
      <c r="S421" s="33"/>
      <c r="T421" s="33"/>
      <c r="U421" s="33"/>
      <c r="V421" s="33"/>
      <c r="W421" s="33"/>
      <c r="X421" s="33"/>
      <c r="AA421" s="33"/>
      <c r="AC421" s="33"/>
    </row>
    <row r="422" ht="15.75" customHeight="1">
      <c r="A422" s="33"/>
      <c r="B422" s="33"/>
      <c r="F422" s="33"/>
      <c r="G422" s="33"/>
      <c r="H422" s="33"/>
      <c r="I422" s="33"/>
      <c r="J422" s="33"/>
      <c r="L422" s="33"/>
      <c r="M422" s="33"/>
      <c r="N422" s="33"/>
      <c r="O422" s="33"/>
      <c r="P422" s="33"/>
      <c r="R422" s="33"/>
      <c r="S422" s="33"/>
      <c r="T422" s="33"/>
      <c r="U422" s="33"/>
      <c r="V422" s="33"/>
      <c r="W422" s="33"/>
      <c r="X422" s="33"/>
      <c r="AA422" s="33"/>
      <c r="AC422" s="33"/>
    </row>
    <row r="423" ht="15.75" customHeight="1">
      <c r="A423" s="33"/>
      <c r="B423" s="33"/>
      <c r="F423" s="33"/>
      <c r="G423" s="33"/>
      <c r="H423" s="33"/>
      <c r="I423" s="33"/>
      <c r="J423" s="33"/>
      <c r="L423" s="33"/>
      <c r="M423" s="33"/>
      <c r="N423" s="33"/>
      <c r="O423" s="33"/>
      <c r="P423" s="33"/>
      <c r="R423" s="33"/>
      <c r="S423" s="33"/>
      <c r="T423" s="33"/>
      <c r="U423" s="33"/>
      <c r="V423" s="33"/>
      <c r="W423" s="33"/>
      <c r="X423" s="33"/>
      <c r="AA423" s="33"/>
      <c r="AC423" s="33"/>
    </row>
    <row r="424" ht="15.75" customHeight="1">
      <c r="A424" s="33"/>
      <c r="B424" s="33"/>
      <c r="F424" s="33"/>
      <c r="G424" s="33"/>
      <c r="H424" s="33"/>
      <c r="I424" s="33"/>
      <c r="J424" s="33"/>
      <c r="L424" s="33"/>
      <c r="M424" s="33"/>
      <c r="N424" s="33"/>
      <c r="O424" s="33"/>
      <c r="P424" s="33"/>
      <c r="R424" s="33"/>
      <c r="S424" s="33"/>
      <c r="T424" s="33"/>
      <c r="U424" s="33"/>
      <c r="V424" s="33"/>
      <c r="W424" s="33"/>
      <c r="X424" s="33"/>
      <c r="AA424" s="33"/>
      <c r="AC424" s="33"/>
    </row>
    <row r="425" ht="15.75" customHeight="1">
      <c r="A425" s="33"/>
      <c r="B425" s="33"/>
      <c r="F425" s="33"/>
      <c r="G425" s="33"/>
      <c r="H425" s="33"/>
      <c r="I425" s="33"/>
      <c r="J425" s="33"/>
      <c r="L425" s="33"/>
      <c r="M425" s="33"/>
      <c r="N425" s="33"/>
      <c r="O425" s="33"/>
      <c r="P425" s="33"/>
      <c r="R425" s="33"/>
      <c r="S425" s="33"/>
      <c r="T425" s="33"/>
      <c r="U425" s="33"/>
      <c r="V425" s="33"/>
      <c r="W425" s="33"/>
      <c r="X425" s="33"/>
      <c r="AA425" s="33"/>
      <c r="AC425" s="33"/>
    </row>
    <row r="426" ht="15.75" customHeight="1">
      <c r="A426" s="33"/>
      <c r="B426" s="33"/>
      <c r="F426" s="33"/>
      <c r="G426" s="33"/>
      <c r="H426" s="33"/>
      <c r="I426" s="33"/>
      <c r="J426" s="33"/>
      <c r="L426" s="33"/>
      <c r="M426" s="33"/>
      <c r="N426" s="33"/>
      <c r="O426" s="33"/>
      <c r="P426" s="33"/>
      <c r="R426" s="33"/>
      <c r="S426" s="33"/>
      <c r="T426" s="33"/>
      <c r="U426" s="33"/>
      <c r="V426" s="33"/>
      <c r="W426" s="33"/>
      <c r="X426" s="33"/>
      <c r="AA426" s="33"/>
      <c r="AC426" s="33"/>
    </row>
    <row r="427" ht="15.75" customHeight="1">
      <c r="A427" s="33"/>
      <c r="B427" s="33"/>
      <c r="F427" s="33"/>
      <c r="G427" s="33"/>
      <c r="H427" s="33"/>
      <c r="I427" s="33"/>
      <c r="J427" s="33"/>
      <c r="L427" s="33"/>
      <c r="M427" s="33"/>
      <c r="N427" s="33"/>
      <c r="O427" s="33"/>
      <c r="P427" s="33"/>
      <c r="R427" s="33"/>
      <c r="S427" s="33"/>
      <c r="T427" s="33"/>
      <c r="U427" s="33"/>
      <c r="V427" s="33"/>
      <c r="W427" s="33"/>
      <c r="X427" s="33"/>
      <c r="AA427" s="33"/>
      <c r="AC427" s="33"/>
    </row>
    <row r="428" ht="15.75" customHeight="1">
      <c r="A428" s="33"/>
      <c r="B428" s="33"/>
      <c r="F428" s="33"/>
      <c r="G428" s="33"/>
      <c r="H428" s="33"/>
      <c r="I428" s="33"/>
      <c r="J428" s="33"/>
      <c r="L428" s="33"/>
      <c r="M428" s="33"/>
      <c r="N428" s="33"/>
      <c r="O428" s="33"/>
      <c r="P428" s="33"/>
      <c r="R428" s="33"/>
      <c r="S428" s="33"/>
      <c r="T428" s="33"/>
      <c r="U428" s="33"/>
      <c r="V428" s="33"/>
      <c r="W428" s="33"/>
      <c r="X428" s="33"/>
      <c r="AA428" s="33"/>
      <c r="AC428" s="33"/>
    </row>
    <row r="429" ht="15.75" customHeight="1">
      <c r="A429" s="33"/>
      <c r="B429" s="33"/>
      <c r="F429" s="33"/>
      <c r="G429" s="33"/>
      <c r="H429" s="33"/>
      <c r="I429" s="33"/>
      <c r="J429" s="33"/>
      <c r="L429" s="33"/>
      <c r="M429" s="33"/>
      <c r="N429" s="33"/>
      <c r="O429" s="33"/>
      <c r="P429" s="33"/>
      <c r="R429" s="33"/>
      <c r="S429" s="33"/>
      <c r="T429" s="33"/>
      <c r="U429" s="33"/>
      <c r="V429" s="33"/>
      <c r="W429" s="33"/>
      <c r="X429" s="33"/>
      <c r="AA429" s="33"/>
      <c r="AC429" s="33"/>
    </row>
    <row r="430" ht="15.75" customHeight="1">
      <c r="A430" s="33"/>
      <c r="B430" s="33"/>
      <c r="F430" s="33"/>
      <c r="G430" s="33"/>
      <c r="H430" s="33"/>
      <c r="I430" s="33"/>
      <c r="J430" s="33"/>
      <c r="L430" s="33"/>
      <c r="M430" s="33"/>
      <c r="N430" s="33"/>
      <c r="O430" s="33"/>
      <c r="P430" s="33"/>
      <c r="R430" s="33"/>
      <c r="S430" s="33"/>
      <c r="T430" s="33"/>
      <c r="U430" s="33"/>
      <c r="V430" s="33"/>
      <c r="W430" s="33"/>
      <c r="X430" s="33"/>
      <c r="AA430" s="33"/>
      <c r="AC430" s="33"/>
    </row>
    <row r="431" ht="15.75" customHeight="1">
      <c r="A431" s="33"/>
      <c r="B431" s="33"/>
      <c r="F431" s="33"/>
      <c r="G431" s="33"/>
      <c r="H431" s="33"/>
      <c r="I431" s="33"/>
      <c r="J431" s="33"/>
      <c r="L431" s="33"/>
      <c r="M431" s="33"/>
      <c r="N431" s="33"/>
      <c r="O431" s="33"/>
      <c r="P431" s="33"/>
      <c r="R431" s="33"/>
      <c r="S431" s="33"/>
      <c r="T431" s="33"/>
      <c r="U431" s="33"/>
      <c r="V431" s="33"/>
      <c r="W431" s="33"/>
      <c r="X431" s="33"/>
      <c r="AA431" s="33"/>
      <c r="AC431" s="33"/>
    </row>
    <row r="432" ht="15.75" customHeight="1">
      <c r="A432" s="33"/>
      <c r="B432" s="33"/>
      <c r="F432" s="33"/>
      <c r="G432" s="33"/>
      <c r="H432" s="33"/>
      <c r="I432" s="33"/>
      <c r="J432" s="33"/>
      <c r="L432" s="33"/>
      <c r="M432" s="33"/>
      <c r="N432" s="33"/>
      <c r="O432" s="33"/>
      <c r="P432" s="33"/>
      <c r="R432" s="33"/>
      <c r="S432" s="33"/>
      <c r="T432" s="33"/>
      <c r="U432" s="33"/>
      <c r="V432" s="33"/>
      <c r="W432" s="33"/>
      <c r="X432" s="33"/>
      <c r="AA432" s="33"/>
      <c r="AC432" s="33"/>
    </row>
    <row r="433" ht="15.75" customHeight="1">
      <c r="A433" s="33"/>
      <c r="B433" s="33"/>
      <c r="F433" s="33"/>
      <c r="G433" s="33"/>
      <c r="H433" s="33"/>
      <c r="I433" s="33"/>
      <c r="J433" s="33"/>
      <c r="L433" s="33"/>
      <c r="M433" s="33"/>
      <c r="N433" s="33"/>
      <c r="O433" s="33"/>
      <c r="P433" s="33"/>
      <c r="R433" s="33"/>
      <c r="S433" s="33"/>
      <c r="T433" s="33"/>
      <c r="U433" s="33"/>
      <c r="V433" s="33"/>
      <c r="W433" s="33"/>
      <c r="X433" s="33"/>
      <c r="AA433" s="33"/>
      <c r="AC433" s="33"/>
    </row>
    <row r="434" ht="15.75" customHeight="1">
      <c r="A434" s="33"/>
      <c r="B434" s="33"/>
      <c r="F434" s="33"/>
      <c r="G434" s="33"/>
      <c r="H434" s="33"/>
      <c r="I434" s="33"/>
      <c r="J434" s="33"/>
      <c r="L434" s="33"/>
      <c r="M434" s="33"/>
      <c r="N434" s="33"/>
      <c r="O434" s="33"/>
      <c r="P434" s="33"/>
      <c r="R434" s="33"/>
      <c r="S434" s="33"/>
      <c r="T434" s="33"/>
      <c r="U434" s="33"/>
      <c r="V434" s="33"/>
      <c r="W434" s="33"/>
      <c r="X434" s="33"/>
      <c r="AA434" s="33"/>
      <c r="AC434" s="33"/>
    </row>
    <row r="435" ht="15.75" customHeight="1">
      <c r="A435" s="33"/>
      <c r="B435" s="33"/>
      <c r="F435" s="33"/>
      <c r="G435" s="33"/>
      <c r="H435" s="33"/>
      <c r="I435" s="33"/>
      <c r="J435" s="33"/>
      <c r="L435" s="33"/>
      <c r="M435" s="33"/>
      <c r="N435" s="33"/>
      <c r="O435" s="33"/>
      <c r="P435" s="33"/>
      <c r="R435" s="33"/>
      <c r="S435" s="33"/>
      <c r="T435" s="33"/>
      <c r="U435" s="33"/>
      <c r="V435" s="33"/>
      <c r="W435" s="33"/>
      <c r="X435" s="33"/>
      <c r="AA435" s="33"/>
      <c r="AC435" s="33"/>
    </row>
    <row r="436" ht="15.75" customHeight="1">
      <c r="A436" s="33"/>
      <c r="B436" s="33"/>
      <c r="F436" s="33"/>
      <c r="G436" s="33"/>
      <c r="H436" s="33"/>
      <c r="I436" s="33"/>
      <c r="J436" s="33"/>
      <c r="L436" s="33"/>
      <c r="M436" s="33"/>
      <c r="N436" s="33"/>
      <c r="O436" s="33"/>
      <c r="P436" s="33"/>
      <c r="R436" s="33"/>
      <c r="S436" s="33"/>
      <c r="T436" s="33"/>
      <c r="U436" s="33"/>
      <c r="V436" s="33"/>
      <c r="W436" s="33"/>
      <c r="X436" s="33"/>
      <c r="AA436" s="33"/>
      <c r="AC436" s="33"/>
    </row>
    <row r="437" ht="15.75" customHeight="1">
      <c r="A437" s="33"/>
      <c r="B437" s="33"/>
      <c r="F437" s="33"/>
      <c r="G437" s="33"/>
      <c r="H437" s="33"/>
      <c r="I437" s="33"/>
      <c r="J437" s="33"/>
      <c r="L437" s="33"/>
      <c r="M437" s="33"/>
      <c r="N437" s="33"/>
      <c r="O437" s="33"/>
      <c r="P437" s="33"/>
      <c r="R437" s="33"/>
      <c r="S437" s="33"/>
      <c r="T437" s="33"/>
      <c r="U437" s="33"/>
      <c r="V437" s="33"/>
      <c r="W437" s="33"/>
      <c r="X437" s="33"/>
      <c r="AA437" s="33"/>
      <c r="AC437" s="33"/>
    </row>
    <row r="438" ht="15.75" customHeight="1">
      <c r="A438" s="33"/>
      <c r="B438" s="33"/>
      <c r="F438" s="33"/>
      <c r="G438" s="33"/>
      <c r="H438" s="33"/>
      <c r="I438" s="33"/>
      <c r="J438" s="33"/>
      <c r="L438" s="33"/>
      <c r="M438" s="33"/>
      <c r="N438" s="33"/>
      <c r="O438" s="33"/>
      <c r="P438" s="33"/>
      <c r="R438" s="33"/>
      <c r="S438" s="33"/>
      <c r="T438" s="33"/>
      <c r="U438" s="33"/>
      <c r="V438" s="33"/>
      <c r="W438" s="33"/>
      <c r="X438" s="33"/>
      <c r="AA438" s="33"/>
      <c r="AC438" s="33"/>
    </row>
    <row r="439" ht="15.75" customHeight="1">
      <c r="A439" s="33"/>
      <c r="B439" s="33"/>
      <c r="F439" s="33"/>
      <c r="G439" s="33"/>
      <c r="H439" s="33"/>
      <c r="I439" s="33"/>
      <c r="J439" s="33"/>
      <c r="L439" s="33"/>
      <c r="M439" s="33"/>
      <c r="N439" s="33"/>
      <c r="O439" s="33"/>
      <c r="P439" s="33"/>
      <c r="R439" s="33"/>
      <c r="S439" s="33"/>
      <c r="T439" s="33"/>
      <c r="U439" s="33"/>
      <c r="V439" s="33"/>
      <c r="W439" s="33"/>
      <c r="X439" s="33"/>
      <c r="AA439" s="33"/>
      <c r="AC439" s="33"/>
    </row>
    <row r="440" ht="15.75" customHeight="1">
      <c r="A440" s="33"/>
      <c r="B440" s="33"/>
      <c r="F440" s="33"/>
      <c r="G440" s="33"/>
      <c r="H440" s="33"/>
      <c r="I440" s="33"/>
      <c r="J440" s="33"/>
      <c r="L440" s="33"/>
      <c r="M440" s="33"/>
      <c r="N440" s="33"/>
      <c r="O440" s="33"/>
      <c r="P440" s="33"/>
      <c r="R440" s="33"/>
      <c r="S440" s="33"/>
      <c r="T440" s="33"/>
      <c r="U440" s="33"/>
      <c r="V440" s="33"/>
      <c r="W440" s="33"/>
      <c r="X440" s="33"/>
      <c r="AA440" s="33"/>
      <c r="AC440" s="33"/>
    </row>
    <row r="441" ht="15.75" customHeight="1">
      <c r="A441" s="33"/>
      <c r="B441" s="33"/>
      <c r="F441" s="33"/>
      <c r="G441" s="33"/>
      <c r="H441" s="33"/>
      <c r="I441" s="33"/>
      <c r="J441" s="33"/>
      <c r="L441" s="33"/>
      <c r="M441" s="33"/>
      <c r="N441" s="33"/>
      <c r="O441" s="33"/>
      <c r="P441" s="33"/>
      <c r="R441" s="33"/>
      <c r="S441" s="33"/>
      <c r="T441" s="33"/>
      <c r="U441" s="33"/>
      <c r="V441" s="33"/>
      <c r="W441" s="33"/>
      <c r="X441" s="33"/>
      <c r="AA441" s="33"/>
      <c r="AC441" s="33"/>
    </row>
    <row r="442" ht="15.75" customHeight="1">
      <c r="A442" s="33"/>
      <c r="B442" s="33"/>
      <c r="F442" s="33"/>
      <c r="G442" s="33"/>
      <c r="H442" s="33"/>
      <c r="I442" s="33"/>
      <c r="J442" s="33"/>
      <c r="L442" s="33"/>
      <c r="M442" s="33"/>
      <c r="N442" s="33"/>
      <c r="O442" s="33"/>
      <c r="P442" s="33"/>
      <c r="R442" s="33"/>
      <c r="S442" s="33"/>
      <c r="T442" s="33"/>
      <c r="U442" s="33"/>
      <c r="V442" s="33"/>
      <c r="W442" s="33"/>
      <c r="X442" s="33"/>
      <c r="AA442" s="33"/>
      <c r="AC442" s="33"/>
    </row>
    <row r="443" ht="15.75" customHeight="1">
      <c r="A443" s="33"/>
      <c r="B443" s="33"/>
      <c r="F443" s="33"/>
      <c r="G443" s="33"/>
      <c r="H443" s="33"/>
      <c r="I443" s="33"/>
      <c r="J443" s="33"/>
      <c r="L443" s="33"/>
      <c r="M443" s="33"/>
      <c r="N443" s="33"/>
      <c r="O443" s="33"/>
      <c r="P443" s="33"/>
      <c r="R443" s="33"/>
      <c r="S443" s="33"/>
      <c r="T443" s="33"/>
      <c r="U443" s="33"/>
      <c r="V443" s="33"/>
      <c r="W443" s="33"/>
      <c r="X443" s="33"/>
      <c r="AA443" s="33"/>
      <c r="AC443" s="33"/>
    </row>
    <row r="444" ht="15.75" customHeight="1">
      <c r="A444" s="33"/>
      <c r="B444" s="33"/>
      <c r="F444" s="33"/>
      <c r="G444" s="33"/>
      <c r="H444" s="33"/>
      <c r="I444" s="33"/>
      <c r="J444" s="33"/>
      <c r="L444" s="33"/>
      <c r="M444" s="33"/>
      <c r="N444" s="33"/>
      <c r="O444" s="33"/>
      <c r="P444" s="33"/>
      <c r="R444" s="33"/>
      <c r="S444" s="33"/>
      <c r="T444" s="33"/>
      <c r="U444" s="33"/>
      <c r="V444" s="33"/>
      <c r="W444" s="33"/>
      <c r="X444" s="33"/>
      <c r="AA444" s="33"/>
      <c r="AC444" s="33"/>
    </row>
    <row r="445" ht="15.75" customHeight="1">
      <c r="A445" s="33"/>
      <c r="B445" s="33"/>
      <c r="F445" s="33"/>
      <c r="G445" s="33"/>
      <c r="H445" s="33"/>
      <c r="I445" s="33"/>
      <c r="J445" s="33"/>
      <c r="L445" s="33"/>
      <c r="M445" s="33"/>
      <c r="N445" s="33"/>
      <c r="O445" s="33"/>
      <c r="P445" s="33"/>
      <c r="R445" s="33"/>
      <c r="S445" s="33"/>
      <c r="T445" s="33"/>
      <c r="U445" s="33"/>
      <c r="V445" s="33"/>
      <c r="W445" s="33"/>
      <c r="X445" s="33"/>
      <c r="AA445" s="33"/>
      <c r="AC445" s="33"/>
    </row>
    <row r="446" ht="15.75" customHeight="1">
      <c r="A446" s="33"/>
      <c r="B446" s="33"/>
      <c r="F446" s="33"/>
      <c r="G446" s="33"/>
      <c r="H446" s="33"/>
      <c r="I446" s="33"/>
      <c r="J446" s="33"/>
      <c r="L446" s="33"/>
      <c r="M446" s="33"/>
      <c r="N446" s="33"/>
      <c r="O446" s="33"/>
      <c r="P446" s="33"/>
      <c r="R446" s="33"/>
      <c r="S446" s="33"/>
      <c r="T446" s="33"/>
      <c r="U446" s="33"/>
      <c r="V446" s="33"/>
      <c r="W446" s="33"/>
      <c r="X446" s="33"/>
      <c r="AA446" s="33"/>
      <c r="AC446" s="33"/>
    </row>
    <row r="447" ht="15.75" customHeight="1">
      <c r="A447" s="33"/>
      <c r="B447" s="33"/>
      <c r="F447" s="33"/>
      <c r="G447" s="33"/>
      <c r="H447" s="33"/>
      <c r="I447" s="33"/>
      <c r="J447" s="33"/>
      <c r="L447" s="33"/>
      <c r="M447" s="33"/>
      <c r="N447" s="33"/>
      <c r="O447" s="33"/>
      <c r="P447" s="33"/>
      <c r="R447" s="33"/>
      <c r="S447" s="33"/>
      <c r="T447" s="33"/>
      <c r="U447" s="33"/>
      <c r="V447" s="33"/>
      <c r="W447" s="33"/>
      <c r="X447" s="33"/>
      <c r="AA447" s="33"/>
      <c r="AC447" s="33"/>
    </row>
    <row r="448" ht="15.75" customHeight="1">
      <c r="A448" s="33"/>
      <c r="B448" s="33"/>
      <c r="F448" s="33"/>
      <c r="G448" s="33"/>
      <c r="H448" s="33"/>
      <c r="I448" s="33"/>
      <c r="J448" s="33"/>
      <c r="L448" s="33"/>
      <c r="M448" s="33"/>
      <c r="N448" s="33"/>
      <c r="O448" s="33"/>
      <c r="P448" s="33"/>
      <c r="R448" s="33"/>
      <c r="S448" s="33"/>
      <c r="T448" s="33"/>
      <c r="U448" s="33"/>
      <c r="V448" s="33"/>
      <c r="W448" s="33"/>
      <c r="X448" s="33"/>
      <c r="AA448" s="33"/>
      <c r="AC448" s="33"/>
    </row>
    <row r="449" ht="15.75" customHeight="1">
      <c r="A449" s="33"/>
      <c r="B449" s="33"/>
      <c r="F449" s="33"/>
      <c r="G449" s="33"/>
      <c r="H449" s="33"/>
      <c r="I449" s="33"/>
      <c r="J449" s="33"/>
      <c r="L449" s="33"/>
      <c r="M449" s="33"/>
      <c r="N449" s="33"/>
      <c r="O449" s="33"/>
      <c r="P449" s="33"/>
      <c r="R449" s="33"/>
      <c r="S449" s="33"/>
      <c r="T449" s="33"/>
      <c r="U449" s="33"/>
      <c r="V449" s="33"/>
      <c r="W449" s="33"/>
      <c r="X449" s="33"/>
      <c r="AA449" s="33"/>
      <c r="AC449" s="33"/>
    </row>
    <row r="450" ht="15.75" customHeight="1">
      <c r="A450" s="33"/>
      <c r="B450" s="33"/>
      <c r="F450" s="33"/>
      <c r="G450" s="33"/>
      <c r="H450" s="33"/>
      <c r="I450" s="33"/>
      <c r="J450" s="33"/>
      <c r="L450" s="33"/>
      <c r="M450" s="33"/>
      <c r="N450" s="33"/>
      <c r="O450" s="33"/>
      <c r="P450" s="33"/>
      <c r="R450" s="33"/>
      <c r="S450" s="33"/>
      <c r="T450" s="33"/>
      <c r="U450" s="33"/>
      <c r="V450" s="33"/>
      <c r="W450" s="33"/>
      <c r="X450" s="33"/>
      <c r="AA450" s="33"/>
      <c r="AC450" s="33"/>
    </row>
    <row r="451" ht="15.75" customHeight="1">
      <c r="A451" s="33"/>
      <c r="B451" s="33"/>
      <c r="F451" s="33"/>
      <c r="G451" s="33"/>
      <c r="H451" s="33"/>
      <c r="I451" s="33"/>
      <c r="J451" s="33"/>
      <c r="L451" s="33"/>
      <c r="M451" s="33"/>
      <c r="N451" s="33"/>
      <c r="O451" s="33"/>
      <c r="P451" s="33"/>
      <c r="R451" s="33"/>
      <c r="S451" s="33"/>
      <c r="T451" s="33"/>
      <c r="U451" s="33"/>
      <c r="V451" s="33"/>
      <c r="W451" s="33"/>
      <c r="X451" s="33"/>
      <c r="AA451" s="33"/>
      <c r="AC451" s="33"/>
    </row>
    <row r="452" ht="15.75" customHeight="1">
      <c r="A452" s="33"/>
      <c r="B452" s="33"/>
      <c r="F452" s="33"/>
      <c r="G452" s="33"/>
      <c r="H452" s="33"/>
      <c r="I452" s="33"/>
      <c r="J452" s="33"/>
      <c r="L452" s="33"/>
      <c r="M452" s="33"/>
      <c r="N452" s="33"/>
      <c r="O452" s="33"/>
      <c r="P452" s="33"/>
      <c r="R452" s="33"/>
      <c r="S452" s="33"/>
      <c r="T452" s="33"/>
      <c r="U452" s="33"/>
      <c r="V452" s="33"/>
      <c r="W452" s="33"/>
      <c r="X452" s="33"/>
      <c r="AA452" s="33"/>
      <c r="AC452" s="33"/>
    </row>
    <row r="453" ht="15.75" customHeight="1">
      <c r="A453" s="33"/>
      <c r="B453" s="33"/>
      <c r="F453" s="33"/>
      <c r="G453" s="33"/>
      <c r="H453" s="33"/>
      <c r="I453" s="33"/>
      <c r="J453" s="33"/>
      <c r="L453" s="33"/>
      <c r="M453" s="33"/>
      <c r="N453" s="33"/>
      <c r="O453" s="33"/>
      <c r="P453" s="33"/>
      <c r="R453" s="33"/>
      <c r="S453" s="33"/>
      <c r="T453" s="33"/>
      <c r="U453" s="33"/>
      <c r="V453" s="33"/>
      <c r="W453" s="33"/>
      <c r="X453" s="33"/>
      <c r="AA453" s="33"/>
      <c r="AC453" s="33"/>
    </row>
    <row r="454" ht="15.75" customHeight="1">
      <c r="A454" s="33"/>
      <c r="B454" s="33"/>
      <c r="F454" s="33"/>
      <c r="G454" s="33"/>
      <c r="H454" s="33"/>
      <c r="I454" s="33"/>
      <c r="J454" s="33"/>
      <c r="L454" s="33"/>
      <c r="M454" s="33"/>
      <c r="N454" s="33"/>
      <c r="O454" s="33"/>
      <c r="P454" s="33"/>
      <c r="R454" s="33"/>
      <c r="S454" s="33"/>
      <c r="T454" s="33"/>
      <c r="U454" s="33"/>
      <c r="V454" s="33"/>
      <c r="W454" s="33"/>
      <c r="X454" s="33"/>
      <c r="AA454" s="33"/>
      <c r="AC454" s="33"/>
    </row>
    <row r="455" ht="15.75" customHeight="1">
      <c r="A455" s="33"/>
      <c r="B455" s="33"/>
      <c r="F455" s="33"/>
      <c r="G455" s="33"/>
      <c r="H455" s="33"/>
      <c r="I455" s="33"/>
      <c r="J455" s="33"/>
      <c r="L455" s="33"/>
      <c r="M455" s="33"/>
      <c r="N455" s="33"/>
      <c r="O455" s="33"/>
      <c r="P455" s="33"/>
      <c r="R455" s="33"/>
      <c r="S455" s="33"/>
      <c r="T455" s="33"/>
      <c r="U455" s="33"/>
      <c r="V455" s="33"/>
      <c r="W455" s="33"/>
      <c r="X455" s="33"/>
      <c r="AA455" s="33"/>
      <c r="AC455" s="33"/>
    </row>
    <row r="456" ht="15.75" customHeight="1">
      <c r="A456" s="33"/>
      <c r="B456" s="33"/>
      <c r="F456" s="33"/>
      <c r="G456" s="33"/>
      <c r="H456" s="33"/>
      <c r="I456" s="33"/>
      <c r="J456" s="33"/>
      <c r="L456" s="33"/>
      <c r="M456" s="33"/>
      <c r="N456" s="33"/>
      <c r="O456" s="33"/>
      <c r="P456" s="33"/>
      <c r="R456" s="33"/>
      <c r="S456" s="33"/>
      <c r="T456" s="33"/>
      <c r="U456" s="33"/>
      <c r="V456" s="33"/>
      <c r="W456" s="33"/>
      <c r="X456" s="33"/>
      <c r="AA456" s="33"/>
      <c r="AC456" s="33"/>
    </row>
    <row r="457" ht="15.75" customHeight="1">
      <c r="A457" s="33"/>
      <c r="B457" s="33"/>
      <c r="F457" s="33"/>
      <c r="G457" s="33"/>
      <c r="H457" s="33"/>
      <c r="I457" s="33"/>
      <c r="J457" s="33"/>
      <c r="L457" s="33"/>
      <c r="M457" s="33"/>
      <c r="N457" s="33"/>
      <c r="O457" s="33"/>
      <c r="P457" s="33"/>
      <c r="R457" s="33"/>
      <c r="S457" s="33"/>
      <c r="T457" s="33"/>
      <c r="U457" s="33"/>
      <c r="V457" s="33"/>
      <c r="W457" s="33"/>
      <c r="X457" s="33"/>
      <c r="AA457" s="33"/>
      <c r="AC457" s="33"/>
    </row>
    <row r="458" ht="15.75" customHeight="1">
      <c r="A458" s="33"/>
      <c r="B458" s="33"/>
      <c r="F458" s="33"/>
      <c r="G458" s="33"/>
      <c r="H458" s="33"/>
      <c r="I458" s="33"/>
      <c r="J458" s="33"/>
      <c r="L458" s="33"/>
      <c r="M458" s="33"/>
      <c r="N458" s="33"/>
      <c r="O458" s="33"/>
      <c r="P458" s="33"/>
      <c r="R458" s="33"/>
      <c r="S458" s="33"/>
      <c r="T458" s="33"/>
      <c r="U458" s="33"/>
      <c r="V458" s="33"/>
      <c r="W458" s="33"/>
      <c r="X458" s="33"/>
      <c r="AA458" s="33"/>
      <c r="AC458" s="33"/>
    </row>
    <row r="459" ht="15.75" customHeight="1">
      <c r="A459" s="33"/>
      <c r="B459" s="33"/>
      <c r="F459" s="33"/>
      <c r="G459" s="33"/>
      <c r="H459" s="33"/>
      <c r="I459" s="33"/>
      <c r="J459" s="33"/>
      <c r="L459" s="33"/>
      <c r="M459" s="33"/>
      <c r="N459" s="33"/>
      <c r="O459" s="33"/>
      <c r="P459" s="33"/>
      <c r="R459" s="33"/>
      <c r="S459" s="33"/>
      <c r="T459" s="33"/>
      <c r="U459" s="33"/>
      <c r="V459" s="33"/>
      <c r="W459" s="33"/>
      <c r="X459" s="33"/>
      <c r="AA459" s="33"/>
      <c r="AC459" s="33"/>
    </row>
    <row r="460" ht="15.75" customHeight="1">
      <c r="A460" s="33"/>
      <c r="B460" s="33"/>
      <c r="F460" s="33"/>
      <c r="G460" s="33"/>
      <c r="H460" s="33"/>
      <c r="I460" s="33"/>
      <c r="J460" s="33"/>
      <c r="L460" s="33"/>
      <c r="M460" s="33"/>
      <c r="N460" s="33"/>
      <c r="O460" s="33"/>
      <c r="P460" s="33"/>
      <c r="R460" s="33"/>
      <c r="S460" s="33"/>
      <c r="T460" s="33"/>
      <c r="U460" s="33"/>
      <c r="V460" s="33"/>
      <c r="W460" s="33"/>
      <c r="X460" s="33"/>
      <c r="AA460" s="33"/>
      <c r="AC460" s="33"/>
    </row>
    <row r="461" ht="15.75" customHeight="1">
      <c r="A461" s="33"/>
      <c r="B461" s="33"/>
      <c r="F461" s="33"/>
      <c r="G461" s="33"/>
      <c r="H461" s="33"/>
      <c r="I461" s="33"/>
      <c r="J461" s="33"/>
      <c r="L461" s="33"/>
      <c r="M461" s="33"/>
      <c r="N461" s="33"/>
      <c r="O461" s="33"/>
      <c r="P461" s="33"/>
      <c r="R461" s="33"/>
      <c r="S461" s="33"/>
      <c r="T461" s="33"/>
      <c r="U461" s="33"/>
      <c r="V461" s="33"/>
      <c r="W461" s="33"/>
      <c r="X461" s="33"/>
      <c r="AA461" s="33"/>
      <c r="AC461" s="33"/>
    </row>
    <row r="462" ht="15.75" customHeight="1">
      <c r="A462" s="33"/>
      <c r="B462" s="33"/>
      <c r="F462" s="33"/>
      <c r="G462" s="33"/>
      <c r="H462" s="33"/>
      <c r="I462" s="33"/>
      <c r="J462" s="33"/>
      <c r="L462" s="33"/>
      <c r="M462" s="33"/>
      <c r="N462" s="33"/>
      <c r="O462" s="33"/>
      <c r="P462" s="33"/>
      <c r="R462" s="33"/>
      <c r="S462" s="33"/>
      <c r="T462" s="33"/>
      <c r="U462" s="33"/>
      <c r="V462" s="33"/>
      <c r="W462" s="33"/>
      <c r="X462" s="33"/>
      <c r="AA462" s="33"/>
      <c r="AC462" s="33"/>
    </row>
    <row r="463" ht="15.75" customHeight="1">
      <c r="A463" s="33"/>
      <c r="B463" s="33"/>
      <c r="F463" s="33"/>
      <c r="G463" s="33"/>
      <c r="H463" s="33"/>
      <c r="I463" s="33"/>
      <c r="J463" s="33"/>
      <c r="L463" s="33"/>
      <c r="M463" s="33"/>
      <c r="N463" s="33"/>
      <c r="O463" s="33"/>
      <c r="P463" s="33"/>
      <c r="R463" s="33"/>
      <c r="S463" s="33"/>
      <c r="T463" s="33"/>
      <c r="U463" s="33"/>
      <c r="V463" s="33"/>
      <c r="W463" s="33"/>
      <c r="X463" s="33"/>
      <c r="AA463" s="33"/>
      <c r="AC463" s="33"/>
    </row>
    <row r="464" ht="15.75" customHeight="1">
      <c r="A464" s="33"/>
      <c r="B464" s="33"/>
      <c r="F464" s="33"/>
      <c r="G464" s="33"/>
      <c r="H464" s="33"/>
      <c r="I464" s="33"/>
      <c r="J464" s="33"/>
      <c r="L464" s="33"/>
      <c r="M464" s="33"/>
      <c r="N464" s="33"/>
      <c r="O464" s="33"/>
      <c r="P464" s="33"/>
      <c r="R464" s="33"/>
      <c r="S464" s="33"/>
      <c r="T464" s="33"/>
      <c r="U464" s="33"/>
      <c r="V464" s="33"/>
      <c r="W464" s="33"/>
      <c r="X464" s="33"/>
      <c r="AA464" s="33"/>
      <c r="AC464" s="33"/>
    </row>
    <row r="465" ht="15.75" customHeight="1">
      <c r="A465" s="33"/>
      <c r="B465" s="33"/>
      <c r="F465" s="33"/>
      <c r="G465" s="33"/>
      <c r="H465" s="33"/>
      <c r="I465" s="33"/>
      <c r="J465" s="33"/>
      <c r="L465" s="33"/>
      <c r="M465" s="33"/>
      <c r="N465" s="33"/>
      <c r="O465" s="33"/>
      <c r="P465" s="33"/>
      <c r="R465" s="33"/>
      <c r="S465" s="33"/>
      <c r="T465" s="33"/>
      <c r="U465" s="33"/>
      <c r="V465" s="33"/>
      <c r="W465" s="33"/>
      <c r="X465" s="33"/>
      <c r="AA465" s="33"/>
      <c r="AC465" s="33"/>
    </row>
    <row r="466" ht="15.75" customHeight="1">
      <c r="A466" s="33"/>
      <c r="B466" s="33"/>
      <c r="F466" s="33"/>
      <c r="G466" s="33"/>
      <c r="H466" s="33"/>
      <c r="I466" s="33"/>
      <c r="J466" s="33"/>
      <c r="L466" s="33"/>
      <c r="M466" s="33"/>
      <c r="N466" s="33"/>
      <c r="O466" s="33"/>
      <c r="P466" s="33"/>
      <c r="R466" s="33"/>
      <c r="S466" s="33"/>
      <c r="T466" s="33"/>
      <c r="U466" s="33"/>
      <c r="V466" s="33"/>
      <c r="W466" s="33"/>
      <c r="X466" s="33"/>
      <c r="AA466" s="33"/>
      <c r="AC466" s="33"/>
    </row>
    <row r="467" ht="15.75" customHeight="1">
      <c r="A467" s="33"/>
      <c r="B467" s="33"/>
      <c r="F467" s="33"/>
      <c r="G467" s="33"/>
      <c r="H467" s="33"/>
      <c r="I467" s="33"/>
      <c r="J467" s="33"/>
      <c r="L467" s="33"/>
      <c r="M467" s="33"/>
      <c r="N467" s="33"/>
      <c r="O467" s="33"/>
      <c r="P467" s="33"/>
      <c r="R467" s="33"/>
      <c r="S467" s="33"/>
      <c r="T467" s="33"/>
      <c r="U467" s="33"/>
      <c r="V467" s="33"/>
      <c r="W467" s="33"/>
      <c r="X467" s="33"/>
      <c r="AA467" s="33"/>
      <c r="AC467" s="33"/>
    </row>
    <row r="468" ht="15.75" customHeight="1">
      <c r="A468" s="33"/>
      <c r="B468" s="33"/>
      <c r="F468" s="33"/>
      <c r="G468" s="33"/>
      <c r="H468" s="33"/>
      <c r="I468" s="33"/>
      <c r="J468" s="33"/>
      <c r="L468" s="33"/>
      <c r="M468" s="33"/>
      <c r="N468" s="33"/>
      <c r="O468" s="33"/>
      <c r="P468" s="33"/>
      <c r="R468" s="33"/>
      <c r="S468" s="33"/>
      <c r="T468" s="33"/>
      <c r="U468" s="33"/>
      <c r="V468" s="33"/>
      <c r="W468" s="33"/>
      <c r="X468" s="33"/>
      <c r="AA468" s="33"/>
      <c r="AC468" s="33"/>
    </row>
    <row r="469" ht="15.75" customHeight="1">
      <c r="A469" s="33"/>
      <c r="B469" s="33"/>
      <c r="F469" s="33"/>
      <c r="G469" s="33"/>
      <c r="H469" s="33"/>
      <c r="I469" s="33"/>
      <c r="J469" s="33"/>
      <c r="L469" s="33"/>
      <c r="M469" s="33"/>
      <c r="N469" s="33"/>
      <c r="O469" s="33"/>
      <c r="P469" s="33"/>
      <c r="R469" s="33"/>
      <c r="S469" s="33"/>
      <c r="T469" s="33"/>
      <c r="U469" s="33"/>
      <c r="V469" s="33"/>
      <c r="W469" s="33"/>
      <c r="X469" s="33"/>
      <c r="AA469" s="33"/>
      <c r="AC469" s="33"/>
    </row>
    <row r="470" ht="15.75" customHeight="1">
      <c r="A470" s="33"/>
      <c r="B470" s="33"/>
      <c r="F470" s="33"/>
      <c r="G470" s="33"/>
      <c r="H470" s="33"/>
      <c r="I470" s="33"/>
      <c r="J470" s="33"/>
      <c r="L470" s="33"/>
      <c r="M470" s="33"/>
      <c r="N470" s="33"/>
      <c r="O470" s="33"/>
      <c r="P470" s="33"/>
      <c r="R470" s="33"/>
      <c r="S470" s="33"/>
      <c r="T470" s="33"/>
      <c r="U470" s="33"/>
      <c r="V470" s="33"/>
      <c r="W470" s="33"/>
      <c r="X470" s="33"/>
      <c r="AA470" s="33"/>
      <c r="AC470" s="33"/>
    </row>
    <row r="471" ht="15.75" customHeight="1">
      <c r="A471" s="33"/>
      <c r="B471" s="33"/>
      <c r="F471" s="33"/>
      <c r="G471" s="33"/>
      <c r="H471" s="33"/>
      <c r="I471" s="33"/>
      <c r="J471" s="33"/>
      <c r="L471" s="33"/>
      <c r="M471" s="33"/>
      <c r="N471" s="33"/>
      <c r="O471" s="33"/>
      <c r="P471" s="33"/>
      <c r="R471" s="33"/>
      <c r="S471" s="33"/>
      <c r="T471" s="33"/>
      <c r="U471" s="33"/>
      <c r="V471" s="33"/>
      <c r="W471" s="33"/>
      <c r="X471" s="33"/>
      <c r="AA471" s="33"/>
      <c r="AC471" s="33"/>
    </row>
    <row r="472" ht="15.75" customHeight="1">
      <c r="A472" s="33"/>
      <c r="B472" s="33"/>
      <c r="F472" s="33"/>
      <c r="G472" s="33"/>
      <c r="H472" s="33"/>
      <c r="I472" s="33"/>
      <c r="J472" s="33"/>
      <c r="L472" s="33"/>
      <c r="M472" s="33"/>
      <c r="N472" s="33"/>
      <c r="O472" s="33"/>
      <c r="P472" s="33"/>
      <c r="R472" s="33"/>
      <c r="S472" s="33"/>
      <c r="T472" s="33"/>
      <c r="U472" s="33"/>
      <c r="V472" s="33"/>
      <c r="W472" s="33"/>
      <c r="X472" s="33"/>
      <c r="AA472" s="33"/>
      <c r="AC472" s="33"/>
    </row>
    <row r="473" ht="15.75" customHeight="1">
      <c r="A473" s="33"/>
      <c r="B473" s="33"/>
      <c r="F473" s="33"/>
      <c r="G473" s="33"/>
      <c r="H473" s="33"/>
      <c r="I473" s="33"/>
      <c r="J473" s="33"/>
      <c r="L473" s="33"/>
      <c r="M473" s="33"/>
      <c r="N473" s="33"/>
      <c r="O473" s="33"/>
      <c r="P473" s="33"/>
      <c r="R473" s="33"/>
      <c r="S473" s="33"/>
      <c r="T473" s="33"/>
      <c r="U473" s="33"/>
      <c r="V473" s="33"/>
      <c r="W473" s="33"/>
      <c r="X473" s="33"/>
      <c r="AA473" s="33"/>
      <c r="AC473" s="33"/>
    </row>
    <row r="474" ht="15.75" customHeight="1">
      <c r="A474" s="33"/>
      <c r="B474" s="33"/>
      <c r="F474" s="33"/>
      <c r="G474" s="33"/>
      <c r="H474" s="33"/>
      <c r="I474" s="33"/>
      <c r="J474" s="33"/>
      <c r="L474" s="33"/>
      <c r="M474" s="33"/>
      <c r="N474" s="33"/>
      <c r="O474" s="33"/>
      <c r="P474" s="33"/>
      <c r="R474" s="33"/>
      <c r="S474" s="33"/>
      <c r="T474" s="33"/>
      <c r="U474" s="33"/>
      <c r="V474" s="33"/>
      <c r="W474" s="33"/>
      <c r="X474" s="33"/>
      <c r="AA474" s="33"/>
      <c r="AC474" s="33"/>
    </row>
    <row r="475" ht="15.75" customHeight="1">
      <c r="A475" s="33"/>
      <c r="B475" s="33"/>
      <c r="F475" s="33"/>
      <c r="G475" s="33"/>
      <c r="H475" s="33"/>
      <c r="I475" s="33"/>
      <c r="J475" s="33"/>
      <c r="L475" s="33"/>
      <c r="M475" s="33"/>
      <c r="N475" s="33"/>
      <c r="O475" s="33"/>
      <c r="P475" s="33"/>
      <c r="R475" s="33"/>
      <c r="S475" s="33"/>
      <c r="T475" s="33"/>
      <c r="U475" s="33"/>
      <c r="V475" s="33"/>
      <c r="W475" s="33"/>
      <c r="X475" s="33"/>
      <c r="AA475" s="33"/>
      <c r="AC475" s="33"/>
    </row>
    <row r="476" ht="15.75" customHeight="1">
      <c r="A476" s="33"/>
      <c r="B476" s="33"/>
      <c r="F476" s="33"/>
      <c r="G476" s="33"/>
      <c r="H476" s="33"/>
      <c r="I476" s="33"/>
      <c r="J476" s="33"/>
      <c r="L476" s="33"/>
      <c r="M476" s="33"/>
      <c r="N476" s="33"/>
      <c r="O476" s="33"/>
      <c r="P476" s="33"/>
      <c r="R476" s="33"/>
      <c r="S476" s="33"/>
      <c r="T476" s="33"/>
      <c r="U476" s="33"/>
      <c r="V476" s="33"/>
      <c r="W476" s="33"/>
      <c r="X476" s="33"/>
      <c r="AA476" s="33"/>
      <c r="AC476" s="33"/>
    </row>
    <row r="477" ht="15.75" customHeight="1">
      <c r="A477" s="33"/>
      <c r="B477" s="33"/>
      <c r="F477" s="33"/>
      <c r="G477" s="33"/>
      <c r="H477" s="33"/>
      <c r="I477" s="33"/>
      <c r="J477" s="33"/>
      <c r="L477" s="33"/>
      <c r="M477" s="33"/>
      <c r="N477" s="33"/>
      <c r="O477" s="33"/>
      <c r="P477" s="33"/>
      <c r="R477" s="33"/>
      <c r="S477" s="33"/>
      <c r="T477" s="33"/>
      <c r="U477" s="33"/>
      <c r="V477" s="33"/>
      <c r="W477" s="33"/>
      <c r="X477" s="33"/>
      <c r="AA477" s="33"/>
      <c r="AC477" s="33"/>
    </row>
    <row r="478" ht="15.75" customHeight="1">
      <c r="A478" s="33"/>
      <c r="B478" s="33"/>
      <c r="F478" s="33"/>
      <c r="G478" s="33"/>
      <c r="H478" s="33"/>
      <c r="I478" s="33"/>
      <c r="J478" s="33"/>
      <c r="L478" s="33"/>
      <c r="M478" s="33"/>
      <c r="N478" s="33"/>
      <c r="O478" s="33"/>
      <c r="P478" s="33"/>
      <c r="R478" s="33"/>
      <c r="S478" s="33"/>
      <c r="T478" s="33"/>
      <c r="U478" s="33"/>
      <c r="V478" s="33"/>
      <c r="W478" s="33"/>
      <c r="X478" s="33"/>
      <c r="AA478" s="33"/>
      <c r="AC478" s="33"/>
    </row>
    <row r="479" ht="15.75" customHeight="1">
      <c r="A479" s="33"/>
      <c r="B479" s="33"/>
      <c r="F479" s="33"/>
      <c r="G479" s="33"/>
      <c r="H479" s="33"/>
      <c r="I479" s="33"/>
      <c r="J479" s="33"/>
      <c r="L479" s="33"/>
      <c r="M479" s="33"/>
      <c r="N479" s="33"/>
      <c r="O479" s="33"/>
      <c r="P479" s="33"/>
      <c r="R479" s="33"/>
      <c r="S479" s="33"/>
      <c r="T479" s="33"/>
      <c r="U479" s="33"/>
      <c r="V479" s="33"/>
      <c r="W479" s="33"/>
      <c r="X479" s="33"/>
      <c r="AA479" s="33"/>
      <c r="AC479" s="33"/>
    </row>
    <row r="480" ht="15.75" customHeight="1">
      <c r="A480" s="33"/>
      <c r="B480" s="33"/>
      <c r="F480" s="33"/>
      <c r="G480" s="33"/>
      <c r="H480" s="33"/>
      <c r="I480" s="33"/>
      <c r="J480" s="33"/>
      <c r="L480" s="33"/>
      <c r="M480" s="33"/>
      <c r="N480" s="33"/>
      <c r="O480" s="33"/>
      <c r="P480" s="33"/>
      <c r="R480" s="33"/>
      <c r="S480" s="33"/>
      <c r="T480" s="33"/>
      <c r="U480" s="33"/>
      <c r="V480" s="33"/>
      <c r="W480" s="33"/>
      <c r="X480" s="33"/>
      <c r="AA480" s="33"/>
      <c r="AC480" s="33"/>
    </row>
    <row r="481" ht="15.75" customHeight="1">
      <c r="A481" s="33"/>
      <c r="B481" s="33"/>
      <c r="F481" s="33"/>
      <c r="G481" s="33"/>
      <c r="H481" s="33"/>
      <c r="I481" s="33"/>
      <c r="J481" s="33"/>
      <c r="L481" s="33"/>
      <c r="M481" s="33"/>
      <c r="N481" s="33"/>
      <c r="O481" s="33"/>
      <c r="P481" s="33"/>
      <c r="R481" s="33"/>
      <c r="S481" s="33"/>
      <c r="T481" s="33"/>
      <c r="U481" s="33"/>
      <c r="V481" s="33"/>
      <c r="W481" s="33"/>
      <c r="X481" s="33"/>
      <c r="AA481" s="33"/>
      <c r="AC481" s="33"/>
    </row>
    <row r="482" ht="15.75" customHeight="1">
      <c r="A482" s="33"/>
      <c r="B482" s="33"/>
      <c r="F482" s="33"/>
      <c r="G482" s="33"/>
      <c r="H482" s="33"/>
      <c r="I482" s="33"/>
      <c r="J482" s="33"/>
      <c r="L482" s="33"/>
      <c r="M482" s="33"/>
      <c r="N482" s="33"/>
      <c r="O482" s="33"/>
      <c r="P482" s="33"/>
      <c r="R482" s="33"/>
      <c r="S482" s="33"/>
      <c r="T482" s="33"/>
      <c r="U482" s="33"/>
      <c r="V482" s="33"/>
      <c r="W482" s="33"/>
      <c r="X482" s="33"/>
      <c r="AA482" s="33"/>
      <c r="AC482" s="33"/>
    </row>
    <row r="483" ht="15.75" customHeight="1">
      <c r="A483" s="33"/>
      <c r="B483" s="33"/>
      <c r="F483" s="33"/>
      <c r="G483" s="33"/>
      <c r="H483" s="33"/>
      <c r="I483" s="33"/>
      <c r="J483" s="33"/>
      <c r="L483" s="33"/>
      <c r="M483" s="33"/>
      <c r="N483" s="33"/>
      <c r="O483" s="33"/>
      <c r="P483" s="33"/>
      <c r="R483" s="33"/>
      <c r="S483" s="33"/>
      <c r="T483" s="33"/>
      <c r="U483" s="33"/>
      <c r="V483" s="33"/>
      <c r="W483" s="33"/>
      <c r="X483" s="33"/>
      <c r="AA483" s="33"/>
      <c r="AC483" s="33"/>
    </row>
    <row r="484" ht="15.75" customHeight="1">
      <c r="A484" s="33"/>
      <c r="B484" s="33"/>
      <c r="F484" s="33"/>
      <c r="G484" s="33"/>
      <c r="H484" s="33"/>
      <c r="I484" s="33"/>
      <c r="J484" s="33"/>
      <c r="L484" s="33"/>
      <c r="M484" s="33"/>
      <c r="N484" s="33"/>
      <c r="O484" s="33"/>
      <c r="P484" s="33"/>
      <c r="R484" s="33"/>
      <c r="S484" s="33"/>
      <c r="T484" s="33"/>
      <c r="U484" s="33"/>
      <c r="V484" s="33"/>
      <c r="W484" s="33"/>
      <c r="X484" s="33"/>
      <c r="AA484" s="33"/>
      <c r="AC484" s="33"/>
    </row>
    <row r="485" ht="15.75" customHeight="1">
      <c r="A485" s="33"/>
      <c r="B485" s="33"/>
      <c r="F485" s="33"/>
      <c r="G485" s="33"/>
      <c r="H485" s="33"/>
      <c r="I485" s="33"/>
      <c r="J485" s="33"/>
      <c r="L485" s="33"/>
      <c r="M485" s="33"/>
      <c r="N485" s="33"/>
      <c r="O485" s="33"/>
      <c r="P485" s="33"/>
      <c r="R485" s="33"/>
      <c r="S485" s="33"/>
      <c r="T485" s="33"/>
      <c r="U485" s="33"/>
      <c r="V485" s="33"/>
      <c r="W485" s="33"/>
      <c r="X485" s="33"/>
      <c r="AA485" s="33"/>
      <c r="AC485" s="33"/>
    </row>
    <row r="486" ht="15.75" customHeight="1">
      <c r="A486" s="33"/>
      <c r="B486" s="33"/>
      <c r="F486" s="33"/>
      <c r="G486" s="33"/>
      <c r="H486" s="33"/>
      <c r="I486" s="33"/>
      <c r="J486" s="33"/>
      <c r="L486" s="33"/>
      <c r="M486" s="33"/>
      <c r="N486" s="33"/>
      <c r="O486" s="33"/>
      <c r="P486" s="33"/>
      <c r="R486" s="33"/>
      <c r="S486" s="33"/>
      <c r="T486" s="33"/>
      <c r="U486" s="33"/>
      <c r="V486" s="33"/>
      <c r="W486" s="33"/>
      <c r="X486" s="33"/>
      <c r="AA486" s="33"/>
      <c r="AC486" s="33"/>
    </row>
    <row r="487" ht="15.75" customHeight="1">
      <c r="A487" s="33"/>
      <c r="B487" s="33"/>
      <c r="F487" s="33"/>
      <c r="G487" s="33"/>
      <c r="H487" s="33"/>
      <c r="I487" s="33"/>
      <c r="J487" s="33"/>
      <c r="L487" s="33"/>
      <c r="M487" s="33"/>
      <c r="N487" s="33"/>
      <c r="O487" s="33"/>
      <c r="P487" s="33"/>
      <c r="R487" s="33"/>
      <c r="S487" s="33"/>
      <c r="T487" s="33"/>
      <c r="U487" s="33"/>
      <c r="V487" s="33"/>
      <c r="W487" s="33"/>
      <c r="X487" s="33"/>
      <c r="AA487" s="33"/>
      <c r="AC487" s="33"/>
    </row>
    <row r="488" ht="15.75" customHeight="1">
      <c r="A488" s="33"/>
      <c r="B488" s="33"/>
      <c r="F488" s="33"/>
      <c r="G488" s="33"/>
      <c r="H488" s="33"/>
      <c r="I488" s="33"/>
      <c r="J488" s="33"/>
      <c r="L488" s="33"/>
      <c r="M488" s="33"/>
      <c r="N488" s="33"/>
      <c r="O488" s="33"/>
      <c r="P488" s="33"/>
      <c r="R488" s="33"/>
      <c r="S488" s="33"/>
      <c r="T488" s="33"/>
      <c r="U488" s="33"/>
      <c r="V488" s="33"/>
      <c r="W488" s="33"/>
      <c r="X488" s="33"/>
      <c r="AA488" s="33"/>
      <c r="AC488" s="33"/>
    </row>
    <row r="489" ht="15.75" customHeight="1">
      <c r="A489" s="33"/>
      <c r="B489" s="33"/>
      <c r="F489" s="33"/>
      <c r="G489" s="33"/>
      <c r="H489" s="33"/>
      <c r="I489" s="33"/>
      <c r="J489" s="33"/>
      <c r="L489" s="33"/>
      <c r="M489" s="33"/>
      <c r="N489" s="33"/>
      <c r="O489" s="33"/>
      <c r="P489" s="33"/>
      <c r="R489" s="33"/>
      <c r="S489" s="33"/>
      <c r="T489" s="33"/>
      <c r="U489" s="33"/>
      <c r="V489" s="33"/>
      <c r="W489" s="33"/>
      <c r="X489" s="33"/>
      <c r="AA489" s="33"/>
      <c r="AC489" s="33"/>
    </row>
    <row r="490" ht="15.75" customHeight="1">
      <c r="A490" s="33"/>
      <c r="B490" s="33"/>
      <c r="F490" s="33"/>
      <c r="G490" s="33"/>
      <c r="H490" s="33"/>
      <c r="I490" s="33"/>
      <c r="J490" s="33"/>
      <c r="L490" s="33"/>
      <c r="M490" s="33"/>
      <c r="N490" s="33"/>
      <c r="O490" s="33"/>
      <c r="P490" s="33"/>
      <c r="R490" s="33"/>
      <c r="S490" s="33"/>
      <c r="T490" s="33"/>
      <c r="U490" s="33"/>
      <c r="V490" s="33"/>
      <c r="W490" s="33"/>
      <c r="X490" s="33"/>
      <c r="AA490" s="33"/>
      <c r="AC490" s="33"/>
    </row>
    <row r="491" ht="15.75" customHeight="1">
      <c r="A491" s="33"/>
      <c r="B491" s="33"/>
      <c r="F491" s="33"/>
      <c r="G491" s="33"/>
      <c r="H491" s="33"/>
      <c r="I491" s="33"/>
      <c r="J491" s="33"/>
      <c r="L491" s="33"/>
      <c r="M491" s="33"/>
      <c r="N491" s="33"/>
      <c r="O491" s="33"/>
      <c r="P491" s="33"/>
      <c r="R491" s="33"/>
      <c r="S491" s="33"/>
      <c r="T491" s="33"/>
      <c r="U491" s="33"/>
      <c r="V491" s="33"/>
      <c r="W491" s="33"/>
      <c r="X491" s="33"/>
      <c r="AA491" s="33"/>
      <c r="AC491" s="33"/>
    </row>
    <row r="492" ht="15.75" customHeight="1">
      <c r="A492" s="33"/>
      <c r="B492" s="33"/>
      <c r="F492" s="33"/>
      <c r="G492" s="33"/>
      <c r="H492" s="33"/>
      <c r="I492" s="33"/>
      <c r="J492" s="33"/>
      <c r="L492" s="33"/>
      <c r="M492" s="33"/>
      <c r="N492" s="33"/>
      <c r="O492" s="33"/>
      <c r="P492" s="33"/>
      <c r="R492" s="33"/>
      <c r="S492" s="33"/>
      <c r="T492" s="33"/>
      <c r="U492" s="33"/>
      <c r="V492" s="33"/>
      <c r="W492" s="33"/>
      <c r="X492" s="33"/>
      <c r="AA492" s="33"/>
      <c r="AC492" s="33"/>
    </row>
    <row r="493" ht="15.75" customHeight="1">
      <c r="A493" s="33"/>
      <c r="B493" s="33"/>
      <c r="F493" s="33"/>
      <c r="G493" s="33"/>
      <c r="H493" s="33"/>
      <c r="I493" s="33"/>
      <c r="J493" s="33"/>
      <c r="L493" s="33"/>
      <c r="M493" s="33"/>
      <c r="N493" s="33"/>
      <c r="O493" s="33"/>
      <c r="P493" s="33"/>
      <c r="R493" s="33"/>
      <c r="S493" s="33"/>
      <c r="T493" s="33"/>
      <c r="U493" s="33"/>
      <c r="V493" s="33"/>
      <c r="W493" s="33"/>
      <c r="X493" s="33"/>
      <c r="AA493" s="33"/>
      <c r="AC493" s="33"/>
    </row>
    <row r="494" ht="15.75" customHeight="1">
      <c r="A494" s="33"/>
      <c r="B494" s="33"/>
      <c r="F494" s="33"/>
      <c r="G494" s="33"/>
      <c r="H494" s="33"/>
      <c r="I494" s="33"/>
      <c r="J494" s="33"/>
      <c r="L494" s="33"/>
      <c r="M494" s="33"/>
      <c r="N494" s="33"/>
      <c r="O494" s="33"/>
      <c r="P494" s="33"/>
      <c r="R494" s="33"/>
      <c r="S494" s="33"/>
      <c r="T494" s="33"/>
      <c r="U494" s="33"/>
      <c r="V494" s="33"/>
      <c r="W494" s="33"/>
      <c r="X494" s="33"/>
      <c r="AA494" s="33"/>
      <c r="AC494" s="33"/>
    </row>
    <row r="495" ht="15.75" customHeight="1">
      <c r="A495" s="33"/>
      <c r="B495" s="33"/>
      <c r="F495" s="33"/>
      <c r="G495" s="33"/>
      <c r="H495" s="33"/>
      <c r="I495" s="33"/>
      <c r="J495" s="33"/>
      <c r="L495" s="33"/>
      <c r="M495" s="33"/>
      <c r="N495" s="33"/>
      <c r="O495" s="33"/>
      <c r="P495" s="33"/>
      <c r="R495" s="33"/>
      <c r="S495" s="33"/>
      <c r="T495" s="33"/>
      <c r="U495" s="33"/>
      <c r="V495" s="33"/>
      <c r="W495" s="33"/>
      <c r="X495" s="33"/>
      <c r="AA495" s="33"/>
      <c r="AC495" s="33"/>
    </row>
    <row r="496" ht="15.75" customHeight="1">
      <c r="A496" s="33"/>
      <c r="B496" s="33"/>
      <c r="F496" s="33"/>
      <c r="G496" s="33"/>
      <c r="H496" s="33"/>
      <c r="I496" s="33"/>
      <c r="J496" s="33"/>
      <c r="L496" s="33"/>
      <c r="M496" s="33"/>
      <c r="N496" s="33"/>
      <c r="O496" s="33"/>
      <c r="P496" s="33"/>
      <c r="R496" s="33"/>
      <c r="S496" s="33"/>
      <c r="T496" s="33"/>
      <c r="U496" s="33"/>
      <c r="V496" s="33"/>
      <c r="W496" s="33"/>
      <c r="X496" s="33"/>
      <c r="AA496" s="33"/>
      <c r="AC496" s="33"/>
    </row>
    <row r="497" ht="15.75" customHeight="1">
      <c r="A497" s="33"/>
      <c r="B497" s="33"/>
      <c r="F497" s="33"/>
      <c r="G497" s="33"/>
      <c r="H497" s="33"/>
      <c r="I497" s="33"/>
      <c r="J497" s="33"/>
      <c r="L497" s="33"/>
      <c r="M497" s="33"/>
      <c r="N497" s="33"/>
      <c r="O497" s="33"/>
      <c r="P497" s="33"/>
      <c r="R497" s="33"/>
      <c r="S497" s="33"/>
      <c r="T497" s="33"/>
      <c r="U497" s="33"/>
      <c r="V497" s="33"/>
      <c r="W497" s="33"/>
      <c r="X497" s="33"/>
      <c r="AA497" s="33"/>
      <c r="AC497" s="33"/>
    </row>
    <row r="498" ht="15.75" customHeight="1">
      <c r="A498" s="33"/>
      <c r="B498" s="33"/>
      <c r="F498" s="33"/>
      <c r="G498" s="33"/>
      <c r="H498" s="33"/>
      <c r="I498" s="33"/>
      <c r="J498" s="33"/>
      <c r="L498" s="33"/>
      <c r="M498" s="33"/>
      <c r="N498" s="33"/>
      <c r="O498" s="33"/>
      <c r="P498" s="33"/>
      <c r="R498" s="33"/>
      <c r="S498" s="33"/>
      <c r="T498" s="33"/>
      <c r="U498" s="33"/>
      <c r="V498" s="33"/>
      <c r="W498" s="33"/>
      <c r="X498" s="33"/>
      <c r="AA498" s="33"/>
      <c r="AC498" s="33"/>
    </row>
    <row r="499" ht="15.75" customHeight="1">
      <c r="A499" s="33"/>
      <c r="B499" s="33"/>
      <c r="F499" s="33"/>
      <c r="G499" s="33"/>
      <c r="H499" s="33"/>
      <c r="I499" s="33"/>
      <c r="J499" s="33"/>
      <c r="L499" s="33"/>
      <c r="M499" s="33"/>
      <c r="N499" s="33"/>
      <c r="O499" s="33"/>
      <c r="P499" s="33"/>
      <c r="R499" s="33"/>
      <c r="S499" s="33"/>
      <c r="T499" s="33"/>
      <c r="U499" s="33"/>
      <c r="V499" s="33"/>
      <c r="W499" s="33"/>
      <c r="X499" s="33"/>
      <c r="AA499" s="33"/>
      <c r="AC499" s="33"/>
    </row>
    <row r="500" ht="15.75" customHeight="1">
      <c r="A500" s="33"/>
      <c r="B500" s="33"/>
      <c r="F500" s="33"/>
      <c r="G500" s="33"/>
      <c r="H500" s="33"/>
      <c r="I500" s="33"/>
      <c r="J500" s="33"/>
      <c r="L500" s="33"/>
      <c r="M500" s="33"/>
      <c r="N500" s="33"/>
      <c r="O500" s="33"/>
      <c r="P500" s="33"/>
      <c r="R500" s="33"/>
      <c r="S500" s="33"/>
      <c r="T500" s="33"/>
      <c r="U500" s="33"/>
      <c r="V500" s="33"/>
      <c r="W500" s="33"/>
      <c r="X500" s="33"/>
      <c r="AA500" s="33"/>
      <c r="AC500" s="33"/>
    </row>
    <row r="501" ht="15.75" customHeight="1">
      <c r="A501" s="33"/>
      <c r="B501" s="33"/>
      <c r="F501" s="33"/>
      <c r="G501" s="33"/>
      <c r="H501" s="33"/>
      <c r="I501" s="33"/>
      <c r="J501" s="33"/>
      <c r="L501" s="33"/>
      <c r="M501" s="33"/>
      <c r="N501" s="33"/>
      <c r="O501" s="33"/>
      <c r="P501" s="33"/>
      <c r="R501" s="33"/>
      <c r="S501" s="33"/>
      <c r="T501" s="33"/>
      <c r="U501" s="33"/>
      <c r="V501" s="33"/>
      <c r="W501" s="33"/>
      <c r="X501" s="33"/>
      <c r="AA501" s="33"/>
      <c r="AC501" s="33"/>
    </row>
    <row r="502" ht="15.75" customHeight="1">
      <c r="A502" s="33"/>
      <c r="B502" s="33"/>
      <c r="F502" s="33"/>
      <c r="G502" s="33"/>
      <c r="H502" s="33"/>
      <c r="I502" s="33"/>
      <c r="J502" s="33"/>
      <c r="L502" s="33"/>
      <c r="M502" s="33"/>
      <c r="N502" s="33"/>
      <c r="O502" s="33"/>
      <c r="P502" s="33"/>
      <c r="R502" s="33"/>
      <c r="S502" s="33"/>
      <c r="T502" s="33"/>
      <c r="U502" s="33"/>
      <c r="V502" s="33"/>
      <c r="W502" s="33"/>
      <c r="X502" s="33"/>
      <c r="AA502" s="33"/>
      <c r="AC502" s="33"/>
    </row>
    <row r="503" ht="15.75" customHeight="1">
      <c r="A503" s="33"/>
      <c r="B503" s="33"/>
      <c r="F503" s="33"/>
      <c r="G503" s="33"/>
      <c r="H503" s="33"/>
      <c r="I503" s="33"/>
      <c r="J503" s="33"/>
      <c r="L503" s="33"/>
      <c r="M503" s="33"/>
      <c r="N503" s="33"/>
      <c r="O503" s="33"/>
      <c r="P503" s="33"/>
      <c r="R503" s="33"/>
      <c r="S503" s="33"/>
      <c r="T503" s="33"/>
      <c r="U503" s="33"/>
      <c r="V503" s="33"/>
      <c r="W503" s="33"/>
      <c r="X503" s="33"/>
      <c r="AA503" s="33"/>
      <c r="AC503" s="33"/>
    </row>
    <row r="504" ht="15.75" customHeight="1">
      <c r="A504" s="33"/>
      <c r="B504" s="33"/>
      <c r="F504" s="33"/>
      <c r="G504" s="33"/>
      <c r="H504" s="33"/>
      <c r="I504" s="33"/>
      <c r="J504" s="33"/>
      <c r="L504" s="33"/>
      <c r="M504" s="33"/>
      <c r="N504" s="33"/>
      <c r="O504" s="33"/>
      <c r="P504" s="33"/>
      <c r="R504" s="33"/>
      <c r="S504" s="33"/>
      <c r="T504" s="33"/>
      <c r="U504" s="33"/>
      <c r="V504" s="33"/>
      <c r="W504" s="33"/>
      <c r="X504" s="33"/>
      <c r="AA504" s="33"/>
      <c r="AC504" s="33"/>
    </row>
    <row r="505" ht="15.75" customHeight="1">
      <c r="A505" s="33"/>
      <c r="B505" s="33"/>
      <c r="F505" s="33"/>
      <c r="G505" s="33"/>
      <c r="H505" s="33"/>
      <c r="I505" s="33"/>
      <c r="J505" s="33"/>
      <c r="L505" s="33"/>
      <c r="M505" s="33"/>
      <c r="N505" s="33"/>
      <c r="O505" s="33"/>
      <c r="P505" s="33"/>
      <c r="R505" s="33"/>
      <c r="S505" s="33"/>
      <c r="T505" s="33"/>
      <c r="U505" s="33"/>
      <c r="V505" s="33"/>
      <c r="W505" s="33"/>
      <c r="X505" s="33"/>
      <c r="AA505" s="33"/>
      <c r="AC505" s="33"/>
    </row>
    <row r="506" ht="15.75" customHeight="1">
      <c r="A506" s="33"/>
      <c r="B506" s="33"/>
      <c r="F506" s="33"/>
      <c r="G506" s="33"/>
      <c r="H506" s="33"/>
      <c r="I506" s="33"/>
      <c r="J506" s="33"/>
      <c r="L506" s="33"/>
      <c r="M506" s="33"/>
      <c r="N506" s="33"/>
      <c r="O506" s="33"/>
      <c r="P506" s="33"/>
      <c r="R506" s="33"/>
      <c r="S506" s="33"/>
      <c r="T506" s="33"/>
      <c r="U506" s="33"/>
      <c r="V506" s="33"/>
      <c r="W506" s="33"/>
      <c r="X506" s="33"/>
      <c r="AA506" s="33"/>
      <c r="AC506" s="33"/>
    </row>
    <row r="507" ht="15.75" customHeight="1">
      <c r="A507" s="33"/>
      <c r="B507" s="33"/>
      <c r="F507" s="33"/>
      <c r="G507" s="33"/>
      <c r="H507" s="33"/>
      <c r="I507" s="33"/>
      <c r="J507" s="33"/>
      <c r="L507" s="33"/>
      <c r="M507" s="33"/>
      <c r="N507" s="33"/>
      <c r="O507" s="33"/>
      <c r="P507" s="33"/>
      <c r="R507" s="33"/>
      <c r="S507" s="33"/>
      <c r="T507" s="33"/>
      <c r="U507" s="33"/>
      <c r="V507" s="33"/>
      <c r="W507" s="33"/>
      <c r="X507" s="33"/>
      <c r="AA507" s="33"/>
      <c r="AC507" s="33"/>
    </row>
    <row r="508" ht="15.75" customHeight="1">
      <c r="A508" s="33"/>
      <c r="B508" s="33"/>
      <c r="F508" s="33"/>
      <c r="G508" s="33"/>
      <c r="H508" s="33"/>
      <c r="I508" s="33"/>
      <c r="J508" s="33"/>
      <c r="L508" s="33"/>
      <c r="M508" s="33"/>
      <c r="N508" s="33"/>
      <c r="O508" s="33"/>
      <c r="P508" s="33"/>
      <c r="R508" s="33"/>
      <c r="S508" s="33"/>
      <c r="T508" s="33"/>
      <c r="U508" s="33"/>
      <c r="V508" s="33"/>
      <c r="W508" s="33"/>
      <c r="X508" s="33"/>
      <c r="AA508" s="33"/>
      <c r="AC508" s="33"/>
    </row>
    <row r="509" ht="15.75" customHeight="1">
      <c r="A509" s="33"/>
      <c r="B509" s="33"/>
      <c r="F509" s="33"/>
      <c r="G509" s="33"/>
      <c r="H509" s="33"/>
      <c r="I509" s="33"/>
      <c r="J509" s="33"/>
      <c r="L509" s="33"/>
      <c r="M509" s="33"/>
      <c r="N509" s="33"/>
      <c r="O509" s="33"/>
      <c r="P509" s="33"/>
      <c r="R509" s="33"/>
      <c r="S509" s="33"/>
      <c r="T509" s="33"/>
      <c r="U509" s="33"/>
      <c r="V509" s="33"/>
      <c r="W509" s="33"/>
      <c r="X509" s="33"/>
      <c r="AA509" s="33"/>
      <c r="AC509" s="33"/>
    </row>
    <row r="510" ht="15.75" customHeight="1">
      <c r="A510" s="33"/>
      <c r="B510" s="33"/>
      <c r="F510" s="33"/>
      <c r="G510" s="33"/>
      <c r="H510" s="33"/>
      <c r="I510" s="33"/>
      <c r="J510" s="33"/>
      <c r="L510" s="33"/>
      <c r="M510" s="33"/>
      <c r="N510" s="33"/>
      <c r="O510" s="33"/>
      <c r="P510" s="33"/>
      <c r="R510" s="33"/>
      <c r="S510" s="33"/>
      <c r="T510" s="33"/>
      <c r="U510" s="33"/>
      <c r="V510" s="33"/>
      <c r="W510" s="33"/>
      <c r="X510" s="33"/>
      <c r="AA510" s="33"/>
      <c r="AC510" s="33"/>
    </row>
    <row r="511" ht="15.75" customHeight="1">
      <c r="A511" s="33"/>
      <c r="B511" s="33"/>
      <c r="F511" s="33"/>
      <c r="G511" s="33"/>
      <c r="H511" s="33"/>
      <c r="I511" s="33"/>
      <c r="J511" s="33"/>
      <c r="L511" s="33"/>
      <c r="M511" s="33"/>
      <c r="N511" s="33"/>
      <c r="O511" s="33"/>
      <c r="P511" s="33"/>
      <c r="R511" s="33"/>
      <c r="S511" s="33"/>
      <c r="T511" s="33"/>
      <c r="U511" s="33"/>
      <c r="V511" s="33"/>
      <c r="W511" s="33"/>
      <c r="X511" s="33"/>
      <c r="AA511" s="33"/>
      <c r="AC511" s="33"/>
    </row>
    <row r="512" ht="15.75" customHeight="1">
      <c r="A512" s="33"/>
      <c r="B512" s="33"/>
      <c r="F512" s="33"/>
      <c r="G512" s="33"/>
      <c r="H512" s="33"/>
      <c r="I512" s="33"/>
      <c r="J512" s="33"/>
      <c r="L512" s="33"/>
      <c r="M512" s="33"/>
      <c r="N512" s="33"/>
      <c r="O512" s="33"/>
      <c r="P512" s="33"/>
      <c r="R512" s="33"/>
      <c r="S512" s="33"/>
      <c r="T512" s="33"/>
      <c r="U512" s="33"/>
      <c r="V512" s="33"/>
      <c r="W512" s="33"/>
      <c r="X512" s="33"/>
      <c r="AA512" s="33"/>
      <c r="AC512" s="33"/>
    </row>
    <row r="513" ht="15.75" customHeight="1">
      <c r="A513" s="33"/>
      <c r="B513" s="33"/>
      <c r="F513" s="33"/>
      <c r="G513" s="33"/>
      <c r="H513" s="33"/>
      <c r="I513" s="33"/>
      <c r="J513" s="33"/>
      <c r="L513" s="33"/>
      <c r="M513" s="33"/>
      <c r="N513" s="33"/>
      <c r="O513" s="33"/>
      <c r="P513" s="33"/>
      <c r="R513" s="33"/>
      <c r="S513" s="33"/>
      <c r="T513" s="33"/>
      <c r="U513" s="33"/>
      <c r="V513" s="33"/>
      <c r="W513" s="33"/>
      <c r="X513" s="33"/>
      <c r="AA513" s="33"/>
      <c r="AC513" s="33"/>
    </row>
    <row r="514" ht="15.75" customHeight="1">
      <c r="A514" s="33"/>
      <c r="B514" s="33"/>
      <c r="F514" s="33"/>
      <c r="G514" s="33"/>
      <c r="H514" s="33"/>
      <c r="I514" s="33"/>
      <c r="J514" s="33"/>
      <c r="L514" s="33"/>
      <c r="M514" s="33"/>
      <c r="N514" s="33"/>
      <c r="O514" s="33"/>
      <c r="P514" s="33"/>
      <c r="R514" s="33"/>
      <c r="S514" s="33"/>
      <c r="T514" s="33"/>
      <c r="U514" s="33"/>
      <c r="V514" s="33"/>
      <c r="W514" s="33"/>
      <c r="X514" s="33"/>
      <c r="AA514" s="33"/>
      <c r="AC514" s="33"/>
    </row>
    <row r="515" ht="15.75" customHeight="1">
      <c r="A515" s="33"/>
      <c r="B515" s="33"/>
      <c r="F515" s="33"/>
      <c r="G515" s="33"/>
      <c r="H515" s="33"/>
      <c r="I515" s="33"/>
      <c r="J515" s="33"/>
      <c r="L515" s="33"/>
      <c r="M515" s="33"/>
      <c r="N515" s="33"/>
      <c r="O515" s="33"/>
      <c r="P515" s="33"/>
      <c r="R515" s="33"/>
      <c r="S515" s="33"/>
      <c r="T515" s="33"/>
      <c r="U515" s="33"/>
      <c r="V515" s="33"/>
      <c r="W515" s="33"/>
      <c r="X515" s="33"/>
      <c r="AA515" s="33"/>
      <c r="AC515" s="33"/>
    </row>
    <row r="516" ht="15.75" customHeight="1">
      <c r="A516" s="33"/>
      <c r="B516" s="33"/>
      <c r="F516" s="33"/>
      <c r="G516" s="33"/>
      <c r="H516" s="33"/>
      <c r="I516" s="33"/>
      <c r="J516" s="33"/>
      <c r="L516" s="33"/>
      <c r="M516" s="33"/>
      <c r="N516" s="33"/>
      <c r="O516" s="33"/>
      <c r="P516" s="33"/>
      <c r="R516" s="33"/>
      <c r="S516" s="33"/>
      <c r="T516" s="33"/>
      <c r="U516" s="33"/>
      <c r="V516" s="33"/>
      <c r="W516" s="33"/>
      <c r="X516" s="33"/>
      <c r="AA516" s="33"/>
      <c r="AC516" s="33"/>
    </row>
    <row r="517" ht="15.75" customHeight="1">
      <c r="A517" s="33"/>
      <c r="B517" s="33"/>
      <c r="F517" s="33"/>
      <c r="G517" s="33"/>
      <c r="H517" s="33"/>
      <c r="I517" s="33"/>
      <c r="J517" s="33"/>
      <c r="L517" s="33"/>
      <c r="M517" s="33"/>
      <c r="N517" s="33"/>
      <c r="O517" s="33"/>
      <c r="P517" s="33"/>
      <c r="R517" s="33"/>
      <c r="S517" s="33"/>
      <c r="T517" s="33"/>
      <c r="U517" s="33"/>
      <c r="V517" s="33"/>
      <c r="W517" s="33"/>
      <c r="X517" s="33"/>
      <c r="AA517" s="33"/>
      <c r="AC517" s="33"/>
    </row>
    <row r="518" ht="15.75" customHeight="1">
      <c r="A518" s="33"/>
      <c r="B518" s="33"/>
      <c r="F518" s="33"/>
      <c r="G518" s="33"/>
      <c r="H518" s="33"/>
      <c r="I518" s="33"/>
      <c r="J518" s="33"/>
      <c r="L518" s="33"/>
      <c r="M518" s="33"/>
      <c r="N518" s="33"/>
      <c r="O518" s="33"/>
      <c r="P518" s="33"/>
      <c r="R518" s="33"/>
      <c r="S518" s="33"/>
      <c r="T518" s="33"/>
      <c r="U518" s="33"/>
      <c r="V518" s="33"/>
      <c r="W518" s="33"/>
      <c r="X518" s="33"/>
      <c r="AA518" s="33"/>
      <c r="AC518" s="33"/>
    </row>
    <row r="519" ht="15.75" customHeight="1">
      <c r="A519" s="33"/>
      <c r="B519" s="33"/>
      <c r="F519" s="33"/>
      <c r="G519" s="33"/>
      <c r="H519" s="33"/>
      <c r="I519" s="33"/>
      <c r="J519" s="33"/>
      <c r="L519" s="33"/>
      <c r="M519" s="33"/>
      <c r="N519" s="33"/>
      <c r="O519" s="33"/>
      <c r="P519" s="33"/>
      <c r="R519" s="33"/>
      <c r="S519" s="33"/>
      <c r="T519" s="33"/>
      <c r="U519" s="33"/>
      <c r="V519" s="33"/>
      <c r="W519" s="33"/>
      <c r="X519" s="33"/>
      <c r="AA519" s="33"/>
      <c r="AC519" s="33"/>
    </row>
    <row r="520" ht="15.75" customHeight="1">
      <c r="A520" s="33"/>
      <c r="B520" s="33"/>
      <c r="F520" s="33"/>
      <c r="G520" s="33"/>
      <c r="H520" s="33"/>
      <c r="I520" s="33"/>
      <c r="J520" s="33"/>
      <c r="L520" s="33"/>
      <c r="M520" s="33"/>
      <c r="N520" s="33"/>
      <c r="O520" s="33"/>
      <c r="P520" s="33"/>
      <c r="R520" s="33"/>
      <c r="S520" s="33"/>
      <c r="T520" s="33"/>
      <c r="U520" s="33"/>
      <c r="V520" s="33"/>
      <c r="W520" s="33"/>
      <c r="X520" s="33"/>
      <c r="AA520" s="33"/>
      <c r="AC520" s="33"/>
    </row>
    <row r="521" ht="15.75" customHeight="1">
      <c r="A521" s="33"/>
      <c r="B521" s="33"/>
      <c r="F521" s="33"/>
      <c r="G521" s="33"/>
      <c r="H521" s="33"/>
      <c r="I521" s="33"/>
      <c r="J521" s="33"/>
      <c r="L521" s="33"/>
      <c r="M521" s="33"/>
      <c r="N521" s="33"/>
      <c r="O521" s="33"/>
      <c r="P521" s="33"/>
      <c r="R521" s="33"/>
      <c r="S521" s="33"/>
      <c r="T521" s="33"/>
      <c r="U521" s="33"/>
      <c r="V521" s="33"/>
      <c r="W521" s="33"/>
      <c r="X521" s="33"/>
      <c r="AA521" s="33"/>
      <c r="AC521" s="33"/>
    </row>
    <row r="522" ht="15.75" customHeight="1">
      <c r="A522" s="33"/>
      <c r="B522" s="33"/>
      <c r="F522" s="33"/>
      <c r="G522" s="33"/>
      <c r="H522" s="33"/>
      <c r="I522" s="33"/>
      <c r="J522" s="33"/>
      <c r="L522" s="33"/>
      <c r="M522" s="33"/>
      <c r="N522" s="33"/>
      <c r="O522" s="33"/>
      <c r="P522" s="33"/>
      <c r="R522" s="33"/>
      <c r="S522" s="33"/>
      <c r="T522" s="33"/>
      <c r="U522" s="33"/>
      <c r="V522" s="33"/>
      <c r="W522" s="33"/>
      <c r="X522" s="33"/>
      <c r="AA522" s="33"/>
      <c r="AC522" s="33"/>
    </row>
    <row r="523" ht="15.75" customHeight="1">
      <c r="A523" s="33"/>
      <c r="B523" s="33"/>
      <c r="F523" s="33"/>
      <c r="G523" s="33"/>
      <c r="H523" s="33"/>
      <c r="I523" s="33"/>
      <c r="J523" s="33"/>
      <c r="L523" s="33"/>
      <c r="M523" s="33"/>
      <c r="N523" s="33"/>
      <c r="O523" s="33"/>
      <c r="P523" s="33"/>
      <c r="R523" s="33"/>
      <c r="S523" s="33"/>
      <c r="T523" s="33"/>
      <c r="U523" s="33"/>
      <c r="V523" s="33"/>
      <c r="W523" s="33"/>
      <c r="X523" s="33"/>
      <c r="AA523" s="33"/>
      <c r="AC523" s="33"/>
    </row>
    <row r="524" ht="15.75" customHeight="1">
      <c r="A524" s="33"/>
      <c r="B524" s="33"/>
      <c r="F524" s="33"/>
      <c r="G524" s="33"/>
      <c r="H524" s="33"/>
      <c r="I524" s="33"/>
      <c r="J524" s="33"/>
      <c r="L524" s="33"/>
      <c r="M524" s="33"/>
      <c r="N524" s="33"/>
      <c r="O524" s="33"/>
      <c r="P524" s="33"/>
      <c r="R524" s="33"/>
      <c r="S524" s="33"/>
      <c r="T524" s="33"/>
      <c r="U524" s="33"/>
      <c r="V524" s="33"/>
      <c r="W524" s="33"/>
      <c r="X524" s="33"/>
      <c r="AA524" s="33"/>
      <c r="AC524" s="33"/>
    </row>
    <row r="525" ht="15.75" customHeight="1">
      <c r="A525" s="33"/>
      <c r="B525" s="33"/>
      <c r="F525" s="33"/>
      <c r="G525" s="33"/>
      <c r="H525" s="33"/>
      <c r="I525" s="33"/>
      <c r="J525" s="33"/>
      <c r="L525" s="33"/>
      <c r="M525" s="33"/>
      <c r="N525" s="33"/>
      <c r="O525" s="33"/>
      <c r="P525" s="33"/>
      <c r="R525" s="33"/>
      <c r="S525" s="33"/>
      <c r="T525" s="33"/>
      <c r="U525" s="33"/>
      <c r="V525" s="33"/>
      <c r="W525" s="33"/>
      <c r="X525" s="33"/>
      <c r="AA525" s="33"/>
      <c r="AC525" s="33"/>
    </row>
    <row r="526" ht="15.75" customHeight="1">
      <c r="A526" s="33"/>
      <c r="B526" s="33"/>
      <c r="F526" s="33"/>
      <c r="G526" s="33"/>
      <c r="H526" s="33"/>
      <c r="I526" s="33"/>
      <c r="J526" s="33"/>
      <c r="L526" s="33"/>
      <c r="M526" s="33"/>
      <c r="N526" s="33"/>
      <c r="O526" s="33"/>
      <c r="P526" s="33"/>
      <c r="R526" s="33"/>
      <c r="S526" s="33"/>
      <c r="T526" s="33"/>
      <c r="U526" s="33"/>
      <c r="V526" s="33"/>
      <c r="W526" s="33"/>
      <c r="X526" s="33"/>
      <c r="AA526" s="33"/>
      <c r="AC526" s="33"/>
    </row>
    <row r="527" ht="15.75" customHeight="1">
      <c r="A527" s="33"/>
      <c r="B527" s="33"/>
      <c r="F527" s="33"/>
      <c r="G527" s="33"/>
      <c r="H527" s="33"/>
      <c r="I527" s="33"/>
      <c r="J527" s="33"/>
      <c r="L527" s="33"/>
      <c r="M527" s="33"/>
      <c r="N527" s="33"/>
      <c r="O527" s="33"/>
      <c r="P527" s="33"/>
      <c r="R527" s="33"/>
      <c r="S527" s="33"/>
      <c r="T527" s="33"/>
      <c r="U527" s="33"/>
      <c r="V527" s="33"/>
      <c r="W527" s="33"/>
      <c r="X527" s="33"/>
      <c r="AA527" s="33"/>
      <c r="AC527" s="33"/>
    </row>
    <row r="528" ht="15.75" customHeight="1">
      <c r="A528" s="33"/>
      <c r="B528" s="33"/>
      <c r="F528" s="33"/>
      <c r="G528" s="33"/>
      <c r="H528" s="33"/>
      <c r="I528" s="33"/>
      <c r="J528" s="33"/>
      <c r="L528" s="33"/>
      <c r="M528" s="33"/>
      <c r="N528" s="33"/>
      <c r="O528" s="33"/>
      <c r="P528" s="33"/>
      <c r="R528" s="33"/>
      <c r="S528" s="33"/>
      <c r="T528" s="33"/>
      <c r="U528" s="33"/>
      <c r="V528" s="33"/>
      <c r="W528" s="33"/>
      <c r="X528" s="33"/>
      <c r="AA528" s="33"/>
      <c r="AC528" s="33"/>
    </row>
    <row r="529" ht="15.75" customHeight="1">
      <c r="A529" s="33"/>
      <c r="B529" s="33"/>
      <c r="F529" s="33"/>
      <c r="G529" s="33"/>
      <c r="H529" s="33"/>
      <c r="I529" s="33"/>
      <c r="J529" s="33"/>
      <c r="L529" s="33"/>
      <c r="M529" s="33"/>
      <c r="N529" s="33"/>
      <c r="O529" s="33"/>
      <c r="P529" s="33"/>
      <c r="R529" s="33"/>
      <c r="S529" s="33"/>
      <c r="T529" s="33"/>
      <c r="U529" s="33"/>
      <c r="V529" s="33"/>
      <c r="W529" s="33"/>
      <c r="X529" s="33"/>
      <c r="AA529" s="33"/>
      <c r="AC529" s="33"/>
    </row>
    <row r="530" ht="15.75" customHeight="1">
      <c r="A530" s="33"/>
      <c r="B530" s="33"/>
      <c r="F530" s="33"/>
      <c r="G530" s="33"/>
      <c r="H530" s="33"/>
      <c r="I530" s="33"/>
      <c r="J530" s="33"/>
      <c r="L530" s="33"/>
      <c r="M530" s="33"/>
      <c r="N530" s="33"/>
      <c r="O530" s="33"/>
      <c r="P530" s="33"/>
      <c r="R530" s="33"/>
      <c r="S530" s="33"/>
      <c r="T530" s="33"/>
      <c r="U530" s="33"/>
      <c r="V530" s="33"/>
      <c r="W530" s="33"/>
      <c r="X530" s="33"/>
      <c r="AA530" s="33"/>
      <c r="AC530" s="33"/>
    </row>
    <row r="531" ht="15.75" customHeight="1">
      <c r="A531" s="33"/>
      <c r="B531" s="33"/>
      <c r="F531" s="33"/>
      <c r="G531" s="33"/>
      <c r="H531" s="33"/>
      <c r="I531" s="33"/>
      <c r="J531" s="33"/>
      <c r="L531" s="33"/>
      <c r="M531" s="33"/>
      <c r="N531" s="33"/>
      <c r="O531" s="33"/>
      <c r="P531" s="33"/>
      <c r="R531" s="33"/>
      <c r="S531" s="33"/>
      <c r="T531" s="33"/>
      <c r="U531" s="33"/>
      <c r="V531" s="33"/>
      <c r="W531" s="33"/>
      <c r="X531" s="33"/>
      <c r="AA531" s="33"/>
      <c r="AC531" s="33"/>
    </row>
    <row r="532" ht="15.75" customHeight="1">
      <c r="A532" s="33"/>
      <c r="B532" s="33"/>
      <c r="F532" s="33"/>
      <c r="G532" s="33"/>
      <c r="H532" s="33"/>
      <c r="I532" s="33"/>
      <c r="J532" s="33"/>
      <c r="L532" s="33"/>
      <c r="M532" s="33"/>
      <c r="N532" s="33"/>
      <c r="O532" s="33"/>
      <c r="P532" s="33"/>
      <c r="R532" s="33"/>
      <c r="S532" s="33"/>
      <c r="T532" s="33"/>
      <c r="U532" s="33"/>
      <c r="V532" s="33"/>
      <c r="W532" s="33"/>
      <c r="X532" s="33"/>
      <c r="AA532" s="33"/>
      <c r="AC532" s="33"/>
    </row>
    <row r="533" ht="15.75" customHeight="1">
      <c r="A533" s="33"/>
      <c r="B533" s="33"/>
      <c r="F533" s="33"/>
      <c r="G533" s="33"/>
      <c r="H533" s="33"/>
      <c r="I533" s="33"/>
      <c r="J533" s="33"/>
      <c r="L533" s="33"/>
      <c r="M533" s="33"/>
      <c r="N533" s="33"/>
      <c r="O533" s="33"/>
      <c r="P533" s="33"/>
      <c r="R533" s="33"/>
      <c r="S533" s="33"/>
      <c r="T533" s="33"/>
      <c r="U533" s="33"/>
      <c r="V533" s="33"/>
      <c r="W533" s="33"/>
      <c r="X533" s="33"/>
      <c r="AA533" s="33"/>
      <c r="AC533" s="33"/>
    </row>
    <row r="534" ht="15.75" customHeight="1">
      <c r="A534" s="33"/>
      <c r="B534" s="33"/>
      <c r="F534" s="33"/>
      <c r="G534" s="33"/>
      <c r="H534" s="33"/>
      <c r="I534" s="33"/>
      <c r="J534" s="33"/>
      <c r="L534" s="33"/>
      <c r="M534" s="33"/>
      <c r="N534" s="33"/>
      <c r="O534" s="33"/>
      <c r="P534" s="33"/>
      <c r="R534" s="33"/>
      <c r="S534" s="33"/>
      <c r="T534" s="33"/>
      <c r="U534" s="33"/>
      <c r="V534" s="33"/>
      <c r="W534" s="33"/>
      <c r="X534" s="33"/>
      <c r="AA534" s="33"/>
      <c r="AC534" s="33"/>
    </row>
    <row r="535" ht="15.75" customHeight="1">
      <c r="A535" s="33"/>
      <c r="B535" s="33"/>
      <c r="F535" s="33"/>
      <c r="G535" s="33"/>
      <c r="H535" s="33"/>
      <c r="I535" s="33"/>
      <c r="J535" s="33"/>
      <c r="L535" s="33"/>
      <c r="M535" s="33"/>
      <c r="N535" s="33"/>
      <c r="O535" s="33"/>
      <c r="P535" s="33"/>
      <c r="R535" s="33"/>
      <c r="S535" s="33"/>
      <c r="T535" s="33"/>
      <c r="U535" s="33"/>
      <c r="V535" s="33"/>
      <c r="W535" s="33"/>
      <c r="X535" s="33"/>
      <c r="AA535" s="33"/>
      <c r="AC535" s="33"/>
    </row>
    <row r="536" ht="15.75" customHeight="1">
      <c r="A536" s="33"/>
      <c r="B536" s="33"/>
      <c r="F536" s="33"/>
      <c r="G536" s="33"/>
      <c r="H536" s="33"/>
      <c r="I536" s="33"/>
      <c r="J536" s="33"/>
      <c r="L536" s="33"/>
      <c r="M536" s="33"/>
      <c r="N536" s="33"/>
      <c r="O536" s="33"/>
      <c r="P536" s="33"/>
      <c r="R536" s="33"/>
      <c r="S536" s="33"/>
      <c r="T536" s="33"/>
      <c r="U536" s="33"/>
      <c r="V536" s="33"/>
      <c r="W536" s="33"/>
      <c r="X536" s="33"/>
      <c r="AA536" s="33"/>
      <c r="AC536" s="33"/>
    </row>
    <row r="537" ht="15.75" customHeight="1">
      <c r="A537" s="33"/>
      <c r="B537" s="33"/>
      <c r="F537" s="33"/>
      <c r="G537" s="33"/>
      <c r="H537" s="33"/>
      <c r="I537" s="33"/>
      <c r="J537" s="33"/>
      <c r="L537" s="33"/>
      <c r="M537" s="33"/>
      <c r="N537" s="33"/>
      <c r="O537" s="33"/>
      <c r="P537" s="33"/>
      <c r="R537" s="33"/>
      <c r="S537" s="33"/>
      <c r="T537" s="33"/>
      <c r="U537" s="33"/>
      <c r="V537" s="33"/>
      <c r="W537" s="33"/>
      <c r="X537" s="33"/>
      <c r="AA537" s="33"/>
      <c r="AC537" s="33"/>
    </row>
    <row r="538" ht="15.75" customHeight="1">
      <c r="A538" s="33"/>
      <c r="B538" s="33"/>
      <c r="F538" s="33"/>
      <c r="G538" s="33"/>
      <c r="H538" s="33"/>
      <c r="I538" s="33"/>
      <c r="J538" s="33"/>
      <c r="L538" s="33"/>
      <c r="M538" s="33"/>
      <c r="N538" s="33"/>
      <c r="O538" s="33"/>
      <c r="P538" s="33"/>
      <c r="R538" s="33"/>
      <c r="S538" s="33"/>
      <c r="T538" s="33"/>
      <c r="U538" s="33"/>
      <c r="V538" s="33"/>
      <c r="W538" s="33"/>
      <c r="X538" s="33"/>
      <c r="AA538" s="33"/>
      <c r="AC538" s="33"/>
    </row>
    <row r="539" ht="15.75" customHeight="1">
      <c r="A539" s="33"/>
      <c r="B539" s="33"/>
      <c r="F539" s="33"/>
      <c r="G539" s="33"/>
      <c r="H539" s="33"/>
      <c r="I539" s="33"/>
      <c r="J539" s="33"/>
      <c r="L539" s="33"/>
      <c r="M539" s="33"/>
      <c r="N539" s="33"/>
      <c r="O539" s="33"/>
      <c r="P539" s="33"/>
      <c r="R539" s="33"/>
      <c r="S539" s="33"/>
      <c r="T539" s="33"/>
      <c r="U539" s="33"/>
      <c r="V539" s="33"/>
      <c r="W539" s="33"/>
      <c r="X539" s="33"/>
      <c r="AA539" s="33"/>
      <c r="AC539" s="33"/>
    </row>
    <row r="540" ht="15.75" customHeight="1">
      <c r="A540" s="33"/>
      <c r="B540" s="33"/>
      <c r="F540" s="33"/>
      <c r="G540" s="33"/>
      <c r="H540" s="33"/>
      <c r="I540" s="33"/>
      <c r="J540" s="33"/>
      <c r="L540" s="33"/>
      <c r="M540" s="33"/>
      <c r="N540" s="33"/>
      <c r="O540" s="33"/>
      <c r="P540" s="33"/>
      <c r="R540" s="33"/>
      <c r="S540" s="33"/>
      <c r="T540" s="33"/>
      <c r="U540" s="33"/>
      <c r="V540" s="33"/>
      <c r="W540" s="33"/>
      <c r="X540" s="33"/>
      <c r="AA540" s="33"/>
      <c r="AC540" s="33"/>
    </row>
    <row r="541" ht="15.75" customHeight="1">
      <c r="A541" s="33"/>
      <c r="B541" s="33"/>
      <c r="F541" s="33"/>
      <c r="G541" s="33"/>
      <c r="H541" s="33"/>
      <c r="I541" s="33"/>
      <c r="J541" s="33"/>
      <c r="L541" s="33"/>
      <c r="M541" s="33"/>
      <c r="N541" s="33"/>
      <c r="O541" s="33"/>
      <c r="P541" s="33"/>
      <c r="R541" s="33"/>
      <c r="S541" s="33"/>
      <c r="T541" s="33"/>
      <c r="U541" s="33"/>
      <c r="V541" s="33"/>
      <c r="W541" s="33"/>
      <c r="X541" s="33"/>
      <c r="AA541" s="33"/>
      <c r="AC541" s="33"/>
    </row>
    <row r="542" ht="15.75" customHeight="1">
      <c r="A542" s="33"/>
      <c r="B542" s="33"/>
      <c r="F542" s="33"/>
      <c r="G542" s="33"/>
      <c r="H542" s="33"/>
      <c r="I542" s="33"/>
      <c r="J542" s="33"/>
      <c r="L542" s="33"/>
      <c r="M542" s="33"/>
      <c r="N542" s="33"/>
      <c r="O542" s="33"/>
      <c r="P542" s="33"/>
      <c r="R542" s="33"/>
      <c r="S542" s="33"/>
      <c r="T542" s="33"/>
      <c r="U542" s="33"/>
      <c r="V542" s="33"/>
      <c r="W542" s="33"/>
      <c r="X542" s="33"/>
      <c r="AA542" s="33"/>
      <c r="AC542" s="33"/>
    </row>
    <row r="543" ht="15.75" customHeight="1">
      <c r="A543" s="33"/>
      <c r="B543" s="33"/>
      <c r="F543" s="33"/>
      <c r="G543" s="33"/>
      <c r="H543" s="33"/>
      <c r="I543" s="33"/>
      <c r="J543" s="33"/>
      <c r="L543" s="33"/>
      <c r="M543" s="33"/>
      <c r="N543" s="33"/>
      <c r="O543" s="33"/>
      <c r="P543" s="33"/>
      <c r="R543" s="33"/>
      <c r="S543" s="33"/>
      <c r="T543" s="33"/>
      <c r="U543" s="33"/>
      <c r="V543" s="33"/>
      <c r="W543" s="33"/>
      <c r="X543" s="33"/>
      <c r="AA543" s="33"/>
      <c r="AC543" s="33"/>
    </row>
    <row r="544" ht="15.75" customHeight="1">
      <c r="A544" s="33"/>
      <c r="B544" s="33"/>
      <c r="F544" s="33"/>
      <c r="G544" s="33"/>
      <c r="H544" s="33"/>
      <c r="I544" s="33"/>
      <c r="J544" s="33"/>
      <c r="L544" s="33"/>
      <c r="M544" s="33"/>
      <c r="N544" s="33"/>
      <c r="O544" s="33"/>
      <c r="P544" s="33"/>
      <c r="R544" s="33"/>
      <c r="S544" s="33"/>
      <c r="T544" s="33"/>
      <c r="U544" s="33"/>
      <c r="V544" s="33"/>
      <c r="W544" s="33"/>
      <c r="X544" s="33"/>
      <c r="AA544" s="33"/>
      <c r="AC544" s="33"/>
    </row>
    <row r="545" ht="15.75" customHeight="1">
      <c r="A545" s="33"/>
      <c r="B545" s="33"/>
      <c r="F545" s="33"/>
      <c r="G545" s="33"/>
      <c r="H545" s="33"/>
      <c r="I545" s="33"/>
      <c r="J545" s="33"/>
      <c r="L545" s="33"/>
      <c r="M545" s="33"/>
      <c r="N545" s="33"/>
      <c r="O545" s="33"/>
      <c r="P545" s="33"/>
      <c r="R545" s="33"/>
      <c r="S545" s="33"/>
      <c r="T545" s="33"/>
      <c r="U545" s="33"/>
      <c r="V545" s="33"/>
      <c r="W545" s="33"/>
      <c r="X545" s="33"/>
      <c r="AA545" s="33"/>
      <c r="AC545" s="33"/>
    </row>
    <row r="546" ht="15.75" customHeight="1">
      <c r="A546" s="33"/>
      <c r="B546" s="33"/>
      <c r="F546" s="33"/>
      <c r="G546" s="33"/>
      <c r="H546" s="33"/>
      <c r="I546" s="33"/>
      <c r="J546" s="33"/>
      <c r="L546" s="33"/>
      <c r="M546" s="33"/>
      <c r="N546" s="33"/>
      <c r="O546" s="33"/>
      <c r="P546" s="33"/>
      <c r="R546" s="33"/>
      <c r="S546" s="33"/>
      <c r="T546" s="33"/>
      <c r="U546" s="33"/>
      <c r="V546" s="33"/>
      <c r="W546" s="33"/>
      <c r="X546" s="33"/>
      <c r="AA546" s="33"/>
      <c r="AC546" s="33"/>
    </row>
    <row r="547" ht="15.75" customHeight="1">
      <c r="A547" s="33"/>
      <c r="B547" s="33"/>
      <c r="F547" s="33"/>
      <c r="G547" s="33"/>
      <c r="H547" s="33"/>
      <c r="I547" s="33"/>
      <c r="J547" s="33"/>
      <c r="L547" s="33"/>
      <c r="M547" s="33"/>
      <c r="N547" s="33"/>
      <c r="O547" s="33"/>
      <c r="P547" s="33"/>
      <c r="R547" s="33"/>
      <c r="S547" s="33"/>
      <c r="T547" s="33"/>
      <c r="U547" s="33"/>
      <c r="V547" s="33"/>
      <c r="W547" s="33"/>
      <c r="X547" s="33"/>
      <c r="AA547" s="33"/>
      <c r="AC547" s="33"/>
    </row>
    <row r="548" ht="15.75" customHeight="1">
      <c r="A548" s="33"/>
      <c r="B548" s="33"/>
      <c r="F548" s="33"/>
      <c r="G548" s="33"/>
      <c r="H548" s="33"/>
      <c r="I548" s="33"/>
      <c r="J548" s="33"/>
      <c r="L548" s="33"/>
      <c r="M548" s="33"/>
      <c r="N548" s="33"/>
      <c r="O548" s="33"/>
      <c r="P548" s="33"/>
      <c r="R548" s="33"/>
      <c r="S548" s="33"/>
      <c r="T548" s="33"/>
      <c r="U548" s="33"/>
      <c r="V548" s="33"/>
      <c r="W548" s="33"/>
      <c r="X548" s="33"/>
      <c r="AA548" s="33"/>
      <c r="AC548" s="33"/>
    </row>
    <row r="549" ht="15.75" customHeight="1">
      <c r="A549" s="33"/>
      <c r="B549" s="33"/>
      <c r="F549" s="33"/>
      <c r="G549" s="33"/>
      <c r="H549" s="33"/>
      <c r="I549" s="33"/>
      <c r="J549" s="33"/>
      <c r="L549" s="33"/>
      <c r="M549" s="33"/>
      <c r="N549" s="33"/>
      <c r="O549" s="33"/>
      <c r="P549" s="33"/>
      <c r="R549" s="33"/>
      <c r="S549" s="33"/>
      <c r="T549" s="33"/>
      <c r="U549" s="33"/>
      <c r="V549" s="33"/>
      <c r="W549" s="33"/>
      <c r="X549" s="33"/>
      <c r="AA549" s="33"/>
      <c r="AC549" s="33"/>
    </row>
    <row r="550" ht="15.75" customHeight="1">
      <c r="A550" s="33"/>
      <c r="B550" s="33"/>
      <c r="F550" s="33"/>
      <c r="G550" s="33"/>
      <c r="H550" s="33"/>
      <c r="I550" s="33"/>
      <c r="J550" s="33"/>
      <c r="L550" s="33"/>
      <c r="M550" s="33"/>
      <c r="N550" s="33"/>
      <c r="O550" s="33"/>
      <c r="P550" s="33"/>
      <c r="R550" s="33"/>
      <c r="S550" s="33"/>
      <c r="T550" s="33"/>
      <c r="U550" s="33"/>
      <c r="V550" s="33"/>
      <c r="W550" s="33"/>
      <c r="X550" s="33"/>
      <c r="AA550" s="33"/>
      <c r="AC550" s="33"/>
    </row>
    <row r="551" ht="15.75" customHeight="1">
      <c r="A551" s="33"/>
      <c r="B551" s="33"/>
      <c r="F551" s="33"/>
      <c r="G551" s="33"/>
      <c r="H551" s="33"/>
      <c r="I551" s="33"/>
      <c r="J551" s="33"/>
      <c r="L551" s="33"/>
      <c r="M551" s="33"/>
      <c r="N551" s="33"/>
      <c r="O551" s="33"/>
      <c r="P551" s="33"/>
      <c r="R551" s="33"/>
      <c r="S551" s="33"/>
      <c r="T551" s="33"/>
      <c r="U551" s="33"/>
      <c r="V551" s="33"/>
      <c r="W551" s="33"/>
      <c r="X551" s="33"/>
      <c r="AA551" s="33"/>
      <c r="AC551" s="33"/>
    </row>
    <row r="552" ht="15.75" customHeight="1">
      <c r="A552" s="33"/>
      <c r="B552" s="33"/>
      <c r="F552" s="33"/>
      <c r="G552" s="33"/>
      <c r="H552" s="33"/>
      <c r="I552" s="33"/>
      <c r="J552" s="33"/>
      <c r="L552" s="33"/>
      <c r="M552" s="33"/>
      <c r="N552" s="33"/>
      <c r="O552" s="33"/>
      <c r="P552" s="33"/>
      <c r="R552" s="33"/>
      <c r="S552" s="33"/>
      <c r="T552" s="33"/>
      <c r="U552" s="33"/>
      <c r="V552" s="33"/>
      <c r="W552" s="33"/>
      <c r="X552" s="33"/>
      <c r="AA552" s="33"/>
      <c r="AC552" s="33"/>
    </row>
    <row r="553" ht="15.75" customHeight="1">
      <c r="A553" s="33"/>
      <c r="B553" s="33"/>
      <c r="F553" s="33"/>
      <c r="G553" s="33"/>
      <c r="H553" s="33"/>
      <c r="I553" s="33"/>
      <c r="J553" s="33"/>
      <c r="L553" s="33"/>
      <c r="M553" s="33"/>
      <c r="N553" s="33"/>
      <c r="O553" s="33"/>
      <c r="P553" s="33"/>
      <c r="R553" s="33"/>
      <c r="S553" s="33"/>
      <c r="T553" s="33"/>
      <c r="U553" s="33"/>
      <c r="V553" s="33"/>
      <c r="W553" s="33"/>
      <c r="X553" s="33"/>
      <c r="AA553" s="33"/>
      <c r="AC553" s="33"/>
    </row>
    <row r="554" ht="15.75" customHeight="1">
      <c r="A554" s="33"/>
      <c r="B554" s="33"/>
      <c r="F554" s="33"/>
      <c r="G554" s="33"/>
      <c r="H554" s="33"/>
      <c r="I554" s="33"/>
      <c r="J554" s="33"/>
      <c r="L554" s="33"/>
      <c r="M554" s="33"/>
      <c r="N554" s="33"/>
      <c r="O554" s="33"/>
      <c r="P554" s="33"/>
      <c r="R554" s="33"/>
      <c r="S554" s="33"/>
      <c r="T554" s="33"/>
      <c r="U554" s="33"/>
      <c r="V554" s="33"/>
      <c r="W554" s="33"/>
      <c r="X554" s="33"/>
      <c r="AA554" s="33"/>
      <c r="AC554" s="33"/>
    </row>
    <row r="555" ht="15.75" customHeight="1">
      <c r="A555" s="33"/>
      <c r="B555" s="33"/>
      <c r="F555" s="33"/>
      <c r="G555" s="33"/>
      <c r="H555" s="33"/>
      <c r="I555" s="33"/>
      <c r="J555" s="33"/>
      <c r="L555" s="33"/>
      <c r="M555" s="33"/>
      <c r="N555" s="33"/>
      <c r="O555" s="33"/>
      <c r="P555" s="33"/>
      <c r="R555" s="33"/>
      <c r="S555" s="33"/>
      <c r="T555" s="33"/>
      <c r="U555" s="33"/>
      <c r="V555" s="33"/>
      <c r="W555" s="33"/>
      <c r="X555" s="33"/>
      <c r="AA555" s="33"/>
      <c r="AC555" s="33"/>
    </row>
    <row r="556" ht="15.75" customHeight="1">
      <c r="A556" s="33"/>
      <c r="B556" s="33"/>
      <c r="F556" s="33"/>
      <c r="G556" s="33"/>
      <c r="H556" s="33"/>
      <c r="I556" s="33"/>
      <c r="J556" s="33"/>
      <c r="L556" s="33"/>
      <c r="M556" s="33"/>
      <c r="N556" s="33"/>
      <c r="O556" s="33"/>
      <c r="P556" s="33"/>
      <c r="R556" s="33"/>
      <c r="S556" s="33"/>
      <c r="T556" s="33"/>
      <c r="U556" s="33"/>
      <c r="V556" s="33"/>
      <c r="W556" s="33"/>
      <c r="X556" s="33"/>
      <c r="AA556" s="33"/>
      <c r="AC556" s="33"/>
    </row>
    <row r="557" ht="15.75" customHeight="1">
      <c r="A557" s="33"/>
      <c r="B557" s="33"/>
      <c r="F557" s="33"/>
      <c r="G557" s="33"/>
      <c r="H557" s="33"/>
      <c r="I557" s="33"/>
      <c r="J557" s="33"/>
      <c r="L557" s="33"/>
      <c r="M557" s="33"/>
      <c r="N557" s="33"/>
      <c r="O557" s="33"/>
      <c r="P557" s="33"/>
      <c r="R557" s="33"/>
      <c r="S557" s="33"/>
      <c r="T557" s="33"/>
      <c r="U557" s="33"/>
      <c r="V557" s="33"/>
      <c r="W557" s="33"/>
      <c r="X557" s="33"/>
      <c r="AA557" s="33"/>
      <c r="AC557" s="33"/>
    </row>
    <row r="558" ht="15.75" customHeight="1">
      <c r="A558" s="33"/>
      <c r="B558" s="33"/>
      <c r="F558" s="33"/>
      <c r="G558" s="33"/>
      <c r="H558" s="33"/>
      <c r="I558" s="33"/>
      <c r="J558" s="33"/>
      <c r="L558" s="33"/>
      <c r="M558" s="33"/>
      <c r="N558" s="33"/>
      <c r="O558" s="33"/>
      <c r="P558" s="33"/>
      <c r="R558" s="33"/>
      <c r="S558" s="33"/>
      <c r="T558" s="33"/>
      <c r="U558" s="33"/>
      <c r="V558" s="33"/>
      <c r="W558" s="33"/>
      <c r="X558" s="33"/>
      <c r="AA558" s="33"/>
      <c r="AC558" s="33"/>
    </row>
    <row r="559" ht="15.75" customHeight="1">
      <c r="A559" s="33"/>
      <c r="B559" s="33"/>
      <c r="F559" s="33"/>
      <c r="G559" s="33"/>
      <c r="H559" s="33"/>
      <c r="I559" s="33"/>
      <c r="J559" s="33"/>
      <c r="L559" s="33"/>
      <c r="M559" s="33"/>
      <c r="N559" s="33"/>
      <c r="O559" s="33"/>
      <c r="P559" s="33"/>
      <c r="R559" s="33"/>
      <c r="S559" s="33"/>
      <c r="T559" s="33"/>
      <c r="U559" s="33"/>
      <c r="V559" s="33"/>
      <c r="W559" s="33"/>
      <c r="X559" s="33"/>
      <c r="AA559" s="33"/>
      <c r="AC559" s="33"/>
    </row>
    <row r="560" ht="15.75" customHeight="1">
      <c r="A560" s="33"/>
      <c r="B560" s="33"/>
      <c r="F560" s="33"/>
      <c r="G560" s="33"/>
      <c r="H560" s="33"/>
      <c r="I560" s="33"/>
      <c r="J560" s="33"/>
      <c r="L560" s="33"/>
      <c r="M560" s="33"/>
      <c r="N560" s="33"/>
      <c r="O560" s="33"/>
      <c r="P560" s="33"/>
      <c r="R560" s="33"/>
      <c r="S560" s="33"/>
      <c r="T560" s="33"/>
      <c r="U560" s="33"/>
      <c r="V560" s="33"/>
      <c r="W560" s="33"/>
      <c r="X560" s="33"/>
      <c r="AA560" s="33"/>
      <c r="AC560" s="33"/>
    </row>
    <row r="561" ht="15.75" customHeight="1">
      <c r="A561" s="33"/>
      <c r="B561" s="33"/>
      <c r="F561" s="33"/>
      <c r="G561" s="33"/>
      <c r="H561" s="33"/>
      <c r="I561" s="33"/>
      <c r="J561" s="33"/>
      <c r="L561" s="33"/>
      <c r="M561" s="33"/>
      <c r="N561" s="33"/>
      <c r="O561" s="33"/>
      <c r="P561" s="33"/>
      <c r="R561" s="33"/>
      <c r="S561" s="33"/>
      <c r="T561" s="33"/>
      <c r="U561" s="33"/>
      <c r="V561" s="33"/>
      <c r="W561" s="33"/>
      <c r="X561" s="33"/>
      <c r="AA561" s="33"/>
      <c r="AC561" s="33"/>
    </row>
    <row r="562" ht="15.75" customHeight="1">
      <c r="A562" s="33"/>
      <c r="B562" s="33"/>
      <c r="F562" s="33"/>
      <c r="G562" s="33"/>
      <c r="H562" s="33"/>
      <c r="I562" s="33"/>
      <c r="J562" s="33"/>
      <c r="L562" s="33"/>
      <c r="M562" s="33"/>
      <c r="N562" s="33"/>
      <c r="O562" s="33"/>
      <c r="P562" s="33"/>
      <c r="R562" s="33"/>
      <c r="S562" s="33"/>
      <c r="T562" s="33"/>
      <c r="U562" s="33"/>
      <c r="V562" s="33"/>
      <c r="W562" s="33"/>
      <c r="X562" s="33"/>
      <c r="AA562" s="33"/>
      <c r="AC562" s="33"/>
    </row>
    <row r="563" ht="15.75" customHeight="1">
      <c r="A563" s="33"/>
      <c r="B563" s="33"/>
      <c r="F563" s="33"/>
      <c r="G563" s="33"/>
      <c r="H563" s="33"/>
      <c r="I563" s="33"/>
      <c r="J563" s="33"/>
      <c r="L563" s="33"/>
      <c r="M563" s="33"/>
      <c r="N563" s="33"/>
      <c r="O563" s="33"/>
      <c r="P563" s="33"/>
      <c r="R563" s="33"/>
      <c r="S563" s="33"/>
      <c r="T563" s="33"/>
      <c r="U563" s="33"/>
      <c r="V563" s="33"/>
      <c r="W563" s="33"/>
      <c r="X563" s="33"/>
      <c r="AA563" s="33"/>
      <c r="AC563" s="33"/>
    </row>
    <row r="564" ht="15.75" customHeight="1">
      <c r="A564" s="33"/>
      <c r="B564" s="33"/>
      <c r="F564" s="33"/>
      <c r="G564" s="33"/>
      <c r="H564" s="33"/>
      <c r="I564" s="33"/>
      <c r="J564" s="33"/>
      <c r="L564" s="33"/>
      <c r="M564" s="33"/>
      <c r="N564" s="33"/>
      <c r="O564" s="33"/>
      <c r="P564" s="33"/>
      <c r="R564" s="33"/>
      <c r="S564" s="33"/>
      <c r="T564" s="33"/>
      <c r="U564" s="33"/>
      <c r="V564" s="33"/>
      <c r="W564" s="33"/>
      <c r="X564" s="33"/>
      <c r="AA564" s="33"/>
      <c r="AC564" s="33"/>
    </row>
    <row r="565" ht="15.75" customHeight="1">
      <c r="A565" s="33"/>
      <c r="B565" s="33"/>
      <c r="F565" s="33"/>
      <c r="G565" s="33"/>
      <c r="H565" s="33"/>
      <c r="I565" s="33"/>
      <c r="J565" s="33"/>
      <c r="L565" s="33"/>
      <c r="M565" s="33"/>
      <c r="N565" s="33"/>
      <c r="O565" s="33"/>
      <c r="P565" s="33"/>
      <c r="R565" s="33"/>
      <c r="S565" s="33"/>
      <c r="T565" s="33"/>
      <c r="U565" s="33"/>
      <c r="V565" s="33"/>
      <c r="W565" s="33"/>
      <c r="X565" s="33"/>
      <c r="AA565" s="33"/>
      <c r="AC565" s="33"/>
    </row>
    <row r="566" ht="15.75" customHeight="1">
      <c r="A566" s="33"/>
      <c r="B566" s="33"/>
      <c r="F566" s="33"/>
      <c r="G566" s="33"/>
      <c r="H566" s="33"/>
      <c r="I566" s="33"/>
      <c r="J566" s="33"/>
      <c r="L566" s="33"/>
      <c r="M566" s="33"/>
      <c r="N566" s="33"/>
      <c r="O566" s="33"/>
      <c r="P566" s="33"/>
      <c r="R566" s="33"/>
      <c r="S566" s="33"/>
      <c r="T566" s="33"/>
      <c r="U566" s="33"/>
      <c r="V566" s="33"/>
      <c r="W566" s="33"/>
      <c r="X566" s="33"/>
      <c r="AA566" s="33"/>
      <c r="AC566" s="33"/>
    </row>
    <row r="567" ht="15.75" customHeight="1">
      <c r="A567" s="33"/>
      <c r="B567" s="33"/>
      <c r="F567" s="33"/>
      <c r="G567" s="33"/>
      <c r="H567" s="33"/>
      <c r="I567" s="33"/>
      <c r="J567" s="33"/>
      <c r="L567" s="33"/>
      <c r="M567" s="33"/>
      <c r="N567" s="33"/>
      <c r="O567" s="33"/>
      <c r="P567" s="33"/>
      <c r="R567" s="33"/>
      <c r="S567" s="33"/>
      <c r="T567" s="33"/>
      <c r="U567" s="33"/>
      <c r="V567" s="33"/>
      <c r="W567" s="33"/>
      <c r="X567" s="33"/>
      <c r="AA567" s="33"/>
      <c r="AC567" s="33"/>
    </row>
    <row r="568" ht="15.75" customHeight="1">
      <c r="A568" s="33"/>
      <c r="B568" s="33"/>
      <c r="F568" s="33"/>
      <c r="G568" s="33"/>
      <c r="H568" s="33"/>
      <c r="I568" s="33"/>
      <c r="J568" s="33"/>
      <c r="L568" s="33"/>
      <c r="M568" s="33"/>
      <c r="N568" s="33"/>
      <c r="O568" s="33"/>
      <c r="P568" s="33"/>
      <c r="R568" s="33"/>
      <c r="S568" s="33"/>
      <c r="T568" s="33"/>
      <c r="U568" s="33"/>
      <c r="V568" s="33"/>
      <c r="W568" s="33"/>
      <c r="X568" s="33"/>
      <c r="AA568" s="33"/>
      <c r="AC568" s="33"/>
    </row>
    <row r="569" ht="15.75" customHeight="1">
      <c r="A569" s="33"/>
      <c r="B569" s="33"/>
      <c r="F569" s="33"/>
      <c r="G569" s="33"/>
      <c r="H569" s="33"/>
      <c r="I569" s="33"/>
      <c r="J569" s="33"/>
      <c r="L569" s="33"/>
      <c r="M569" s="33"/>
      <c r="N569" s="33"/>
      <c r="O569" s="33"/>
      <c r="P569" s="33"/>
      <c r="R569" s="33"/>
      <c r="S569" s="33"/>
      <c r="T569" s="33"/>
      <c r="U569" s="33"/>
      <c r="V569" s="33"/>
      <c r="W569" s="33"/>
      <c r="X569" s="33"/>
      <c r="AA569" s="33"/>
      <c r="AC569" s="33"/>
    </row>
    <row r="570" ht="15.75" customHeight="1">
      <c r="A570" s="33"/>
      <c r="B570" s="33"/>
      <c r="F570" s="33"/>
      <c r="G570" s="33"/>
      <c r="H570" s="33"/>
      <c r="I570" s="33"/>
      <c r="J570" s="33"/>
      <c r="L570" s="33"/>
      <c r="M570" s="33"/>
      <c r="N570" s="33"/>
      <c r="O570" s="33"/>
      <c r="P570" s="33"/>
      <c r="R570" s="33"/>
      <c r="S570" s="33"/>
      <c r="T570" s="33"/>
      <c r="U570" s="33"/>
      <c r="V570" s="33"/>
      <c r="W570" s="33"/>
      <c r="X570" s="33"/>
      <c r="AA570" s="33"/>
      <c r="AC570" s="33"/>
    </row>
    <row r="571" ht="15.75" customHeight="1">
      <c r="A571" s="33"/>
      <c r="B571" s="33"/>
      <c r="F571" s="33"/>
      <c r="G571" s="33"/>
      <c r="H571" s="33"/>
      <c r="I571" s="33"/>
      <c r="J571" s="33"/>
      <c r="L571" s="33"/>
      <c r="M571" s="33"/>
      <c r="N571" s="33"/>
      <c r="O571" s="33"/>
      <c r="P571" s="33"/>
      <c r="R571" s="33"/>
      <c r="S571" s="33"/>
      <c r="T571" s="33"/>
      <c r="U571" s="33"/>
      <c r="V571" s="33"/>
      <c r="W571" s="33"/>
      <c r="X571" s="33"/>
      <c r="AA571" s="33"/>
      <c r="AC571" s="33"/>
    </row>
    <row r="572" ht="15.75" customHeight="1">
      <c r="A572" s="33"/>
      <c r="B572" s="33"/>
      <c r="F572" s="33"/>
      <c r="G572" s="33"/>
      <c r="H572" s="33"/>
      <c r="I572" s="33"/>
      <c r="J572" s="33"/>
      <c r="L572" s="33"/>
      <c r="M572" s="33"/>
      <c r="N572" s="33"/>
      <c r="O572" s="33"/>
      <c r="P572" s="33"/>
      <c r="R572" s="33"/>
      <c r="S572" s="33"/>
      <c r="T572" s="33"/>
      <c r="U572" s="33"/>
      <c r="V572" s="33"/>
      <c r="W572" s="33"/>
      <c r="X572" s="33"/>
      <c r="AA572" s="33"/>
      <c r="AC572" s="33"/>
    </row>
    <row r="573" ht="15.75" customHeight="1">
      <c r="A573" s="33"/>
      <c r="B573" s="33"/>
      <c r="F573" s="33"/>
      <c r="G573" s="33"/>
      <c r="H573" s="33"/>
      <c r="I573" s="33"/>
      <c r="J573" s="33"/>
      <c r="L573" s="33"/>
      <c r="M573" s="33"/>
      <c r="N573" s="33"/>
      <c r="O573" s="33"/>
      <c r="P573" s="33"/>
      <c r="R573" s="33"/>
      <c r="S573" s="33"/>
      <c r="T573" s="33"/>
      <c r="U573" s="33"/>
      <c r="V573" s="33"/>
      <c r="W573" s="33"/>
      <c r="X573" s="33"/>
      <c r="AA573" s="33"/>
      <c r="AC573" s="33"/>
    </row>
    <row r="574" ht="15.75" customHeight="1">
      <c r="A574" s="33"/>
      <c r="B574" s="33"/>
      <c r="F574" s="33"/>
      <c r="G574" s="33"/>
      <c r="H574" s="33"/>
      <c r="I574" s="33"/>
      <c r="J574" s="33"/>
      <c r="L574" s="33"/>
      <c r="M574" s="33"/>
      <c r="N574" s="33"/>
      <c r="O574" s="33"/>
      <c r="P574" s="33"/>
      <c r="R574" s="33"/>
      <c r="S574" s="33"/>
      <c r="T574" s="33"/>
      <c r="U574" s="33"/>
      <c r="V574" s="33"/>
      <c r="W574" s="33"/>
      <c r="X574" s="33"/>
      <c r="AA574" s="33"/>
      <c r="AC574" s="33"/>
    </row>
    <row r="575" ht="15.75" customHeight="1">
      <c r="A575" s="33"/>
      <c r="B575" s="33"/>
      <c r="F575" s="33"/>
      <c r="G575" s="33"/>
      <c r="H575" s="33"/>
      <c r="I575" s="33"/>
      <c r="J575" s="33"/>
      <c r="L575" s="33"/>
      <c r="M575" s="33"/>
      <c r="N575" s="33"/>
      <c r="O575" s="33"/>
      <c r="P575" s="33"/>
      <c r="R575" s="33"/>
      <c r="S575" s="33"/>
      <c r="T575" s="33"/>
      <c r="U575" s="33"/>
      <c r="V575" s="33"/>
      <c r="W575" s="33"/>
      <c r="X575" s="33"/>
      <c r="AA575" s="33"/>
      <c r="AC575" s="33"/>
    </row>
    <row r="576" ht="15.75" customHeight="1">
      <c r="A576" s="33"/>
      <c r="B576" s="33"/>
      <c r="F576" s="33"/>
      <c r="G576" s="33"/>
      <c r="H576" s="33"/>
      <c r="I576" s="33"/>
      <c r="J576" s="33"/>
      <c r="L576" s="33"/>
      <c r="M576" s="33"/>
      <c r="N576" s="33"/>
      <c r="O576" s="33"/>
      <c r="P576" s="33"/>
      <c r="R576" s="33"/>
      <c r="S576" s="33"/>
      <c r="T576" s="33"/>
      <c r="U576" s="33"/>
      <c r="V576" s="33"/>
      <c r="W576" s="33"/>
      <c r="X576" s="33"/>
      <c r="AA576" s="33"/>
      <c r="AC576" s="33"/>
    </row>
    <row r="577" ht="15.75" customHeight="1">
      <c r="A577" s="33"/>
      <c r="B577" s="33"/>
      <c r="F577" s="33"/>
      <c r="G577" s="33"/>
      <c r="H577" s="33"/>
      <c r="I577" s="33"/>
      <c r="J577" s="33"/>
      <c r="L577" s="33"/>
      <c r="M577" s="33"/>
      <c r="N577" s="33"/>
      <c r="O577" s="33"/>
      <c r="P577" s="33"/>
      <c r="R577" s="33"/>
      <c r="S577" s="33"/>
      <c r="T577" s="33"/>
      <c r="U577" s="33"/>
      <c r="V577" s="33"/>
      <c r="W577" s="33"/>
      <c r="X577" s="33"/>
      <c r="AA577" s="33"/>
      <c r="AC577" s="33"/>
    </row>
    <row r="578" ht="15.75" customHeight="1">
      <c r="A578" s="33"/>
      <c r="B578" s="33"/>
      <c r="F578" s="33"/>
      <c r="G578" s="33"/>
      <c r="H578" s="33"/>
      <c r="I578" s="33"/>
      <c r="J578" s="33"/>
      <c r="L578" s="33"/>
      <c r="M578" s="33"/>
      <c r="N578" s="33"/>
      <c r="O578" s="33"/>
      <c r="P578" s="33"/>
      <c r="R578" s="33"/>
      <c r="S578" s="33"/>
      <c r="T578" s="33"/>
      <c r="U578" s="33"/>
      <c r="V578" s="33"/>
      <c r="W578" s="33"/>
      <c r="X578" s="33"/>
      <c r="AA578" s="33"/>
      <c r="AC578" s="33"/>
    </row>
    <row r="579" ht="15.75" customHeight="1">
      <c r="A579" s="33"/>
      <c r="B579" s="33"/>
      <c r="F579" s="33"/>
      <c r="G579" s="33"/>
      <c r="H579" s="33"/>
      <c r="I579" s="33"/>
      <c r="J579" s="33"/>
      <c r="L579" s="33"/>
      <c r="M579" s="33"/>
      <c r="N579" s="33"/>
      <c r="O579" s="33"/>
      <c r="P579" s="33"/>
      <c r="R579" s="33"/>
      <c r="S579" s="33"/>
      <c r="T579" s="33"/>
      <c r="U579" s="33"/>
      <c r="V579" s="33"/>
      <c r="W579" s="33"/>
      <c r="X579" s="33"/>
      <c r="AA579" s="33"/>
      <c r="AC579" s="33"/>
    </row>
    <row r="580" ht="15.75" customHeight="1">
      <c r="A580" s="33"/>
      <c r="B580" s="33"/>
      <c r="F580" s="33"/>
      <c r="G580" s="33"/>
      <c r="H580" s="33"/>
      <c r="I580" s="33"/>
      <c r="J580" s="33"/>
      <c r="L580" s="33"/>
      <c r="M580" s="33"/>
      <c r="N580" s="33"/>
      <c r="O580" s="33"/>
      <c r="P580" s="33"/>
      <c r="R580" s="33"/>
      <c r="S580" s="33"/>
      <c r="T580" s="33"/>
      <c r="U580" s="33"/>
      <c r="V580" s="33"/>
      <c r="W580" s="33"/>
      <c r="X580" s="33"/>
      <c r="AA580" s="33"/>
      <c r="AC580" s="33"/>
    </row>
    <row r="581" ht="15.75" customHeight="1">
      <c r="A581" s="33"/>
      <c r="B581" s="33"/>
      <c r="F581" s="33"/>
      <c r="G581" s="33"/>
      <c r="H581" s="33"/>
      <c r="I581" s="33"/>
      <c r="J581" s="33"/>
      <c r="L581" s="33"/>
      <c r="M581" s="33"/>
      <c r="N581" s="33"/>
      <c r="O581" s="33"/>
      <c r="P581" s="33"/>
      <c r="R581" s="33"/>
      <c r="S581" s="33"/>
      <c r="T581" s="33"/>
      <c r="U581" s="33"/>
      <c r="V581" s="33"/>
      <c r="W581" s="33"/>
      <c r="X581" s="33"/>
      <c r="AA581" s="33"/>
      <c r="AC581" s="33"/>
    </row>
    <row r="582" ht="15.75" customHeight="1">
      <c r="A582" s="33"/>
      <c r="B582" s="33"/>
      <c r="F582" s="33"/>
      <c r="G582" s="33"/>
      <c r="H582" s="33"/>
      <c r="I582" s="33"/>
      <c r="J582" s="33"/>
      <c r="L582" s="33"/>
      <c r="M582" s="33"/>
      <c r="N582" s="33"/>
      <c r="O582" s="33"/>
      <c r="P582" s="33"/>
      <c r="R582" s="33"/>
      <c r="S582" s="33"/>
      <c r="T582" s="33"/>
      <c r="U582" s="33"/>
      <c r="V582" s="33"/>
      <c r="W582" s="33"/>
      <c r="X582" s="33"/>
      <c r="AA582" s="33"/>
      <c r="AC582" s="33"/>
    </row>
    <row r="583" ht="15.75" customHeight="1">
      <c r="A583" s="33"/>
      <c r="B583" s="33"/>
      <c r="F583" s="33"/>
      <c r="G583" s="33"/>
      <c r="H583" s="33"/>
      <c r="I583" s="33"/>
      <c r="J583" s="33"/>
      <c r="L583" s="33"/>
      <c r="M583" s="33"/>
      <c r="N583" s="33"/>
      <c r="O583" s="33"/>
      <c r="P583" s="33"/>
      <c r="R583" s="33"/>
      <c r="S583" s="33"/>
      <c r="T583" s="33"/>
      <c r="U583" s="33"/>
      <c r="V583" s="33"/>
      <c r="W583" s="33"/>
      <c r="X583" s="33"/>
      <c r="AA583" s="33"/>
      <c r="AC583" s="33"/>
    </row>
    <row r="584" ht="15.75" customHeight="1">
      <c r="A584" s="33"/>
      <c r="B584" s="33"/>
      <c r="F584" s="33"/>
      <c r="G584" s="33"/>
      <c r="H584" s="33"/>
      <c r="I584" s="33"/>
      <c r="J584" s="33"/>
      <c r="L584" s="33"/>
      <c r="M584" s="33"/>
      <c r="N584" s="33"/>
      <c r="O584" s="33"/>
      <c r="P584" s="33"/>
      <c r="R584" s="33"/>
      <c r="S584" s="33"/>
      <c r="T584" s="33"/>
      <c r="U584" s="33"/>
      <c r="V584" s="33"/>
      <c r="W584" s="33"/>
      <c r="X584" s="33"/>
      <c r="AA584" s="33"/>
      <c r="AC584" s="33"/>
    </row>
    <row r="585" ht="15.75" customHeight="1">
      <c r="A585" s="33"/>
      <c r="B585" s="33"/>
      <c r="F585" s="33"/>
      <c r="G585" s="33"/>
      <c r="H585" s="33"/>
      <c r="I585" s="33"/>
      <c r="J585" s="33"/>
      <c r="L585" s="33"/>
      <c r="M585" s="33"/>
      <c r="N585" s="33"/>
      <c r="O585" s="33"/>
      <c r="P585" s="33"/>
      <c r="R585" s="33"/>
      <c r="S585" s="33"/>
      <c r="T585" s="33"/>
      <c r="U585" s="33"/>
      <c r="V585" s="33"/>
      <c r="W585" s="33"/>
      <c r="X585" s="33"/>
      <c r="AA585" s="33"/>
      <c r="AC585" s="33"/>
    </row>
    <row r="586" ht="15.75" customHeight="1">
      <c r="A586" s="33"/>
      <c r="B586" s="33"/>
      <c r="F586" s="33"/>
      <c r="G586" s="33"/>
      <c r="H586" s="33"/>
      <c r="I586" s="33"/>
      <c r="J586" s="33"/>
      <c r="L586" s="33"/>
      <c r="M586" s="33"/>
      <c r="N586" s="33"/>
      <c r="O586" s="33"/>
      <c r="P586" s="33"/>
      <c r="R586" s="33"/>
      <c r="S586" s="33"/>
      <c r="T586" s="33"/>
      <c r="U586" s="33"/>
      <c r="V586" s="33"/>
      <c r="W586" s="33"/>
      <c r="X586" s="33"/>
      <c r="AA586" s="33"/>
      <c r="AC586" s="33"/>
    </row>
    <row r="587" ht="15.75" customHeight="1">
      <c r="A587" s="33"/>
      <c r="B587" s="33"/>
      <c r="F587" s="33"/>
      <c r="G587" s="33"/>
      <c r="H587" s="33"/>
      <c r="I587" s="33"/>
      <c r="J587" s="33"/>
      <c r="L587" s="33"/>
      <c r="M587" s="33"/>
      <c r="N587" s="33"/>
      <c r="O587" s="33"/>
      <c r="P587" s="33"/>
      <c r="R587" s="33"/>
      <c r="S587" s="33"/>
      <c r="T587" s="33"/>
      <c r="U587" s="33"/>
      <c r="V587" s="33"/>
      <c r="W587" s="33"/>
      <c r="X587" s="33"/>
      <c r="AA587" s="33"/>
      <c r="AC587" s="33"/>
    </row>
    <row r="588" ht="15.75" customHeight="1">
      <c r="A588" s="33"/>
      <c r="B588" s="33"/>
      <c r="F588" s="33"/>
      <c r="G588" s="33"/>
      <c r="H588" s="33"/>
      <c r="I588" s="33"/>
      <c r="J588" s="33"/>
      <c r="L588" s="33"/>
      <c r="M588" s="33"/>
      <c r="N588" s="33"/>
      <c r="O588" s="33"/>
      <c r="P588" s="33"/>
      <c r="R588" s="33"/>
      <c r="S588" s="33"/>
      <c r="T588" s="33"/>
      <c r="U588" s="33"/>
      <c r="V588" s="33"/>
      <c r="W588" s="33"/>
      <c r="X588" s="33"/>
      <c r="AA588" s="33"/>
      <c r="AC588" s="33"/>
    </row>
    <row r="589" ht="15.75" customHeight="1">
      <c r="A589" s="33"/>
      <c r="B589" s="33"/>
      <c r="F589" s="33"/>
      <c r="G589" s="33"/>
      <c r="H589" s="33"/>
      <c r="I589" s="33"/>
      <c r="J589" s="33"/>
      <c r="L589" s="33"/>
      <c r="M589" s="33"/>
      <c r="N589" s="33"/>
      <c r="O589" s="33"/>
      <c r="P589" s="33"/>
      <c r="R589" s="33"/>
      <c r="S589" s="33"/>
      <c r="T589" s="33"/>
      <c r="U589" s="33"/>
      <c r="V589" s="33"/>
      <c r="W589" s="33"/>
      <c r="X589" s="33"/>
      <c r="AA589" s="33"/>
      <c r="AC589" s="33"/>
    </row>
    <row r="590" ht="15.75" customHeight="1">
      <c r="A590" s="33"/>
      <c r="B590" s="33"/>
      <c r="F590" s="33"/>
      <c r="G590" s="33"/>
      <c r="H590" s="33"/>
      <c r="I590" s="33"/>
      <c r="J590" s="33"/>
      <c r="L590" s="33"/>
      <c r="M590" s="33"/>
      <c r="N590" s="33"/>
      <c r="O590" s="33"/>
      <c r="P590" s="33"/>
      <c r="R590" s="33"/>
      <c r="S590" s="33"/>
      <c r="T590" s="33"/>
      <c r="U590" s="33"/>
      <c r="V590" s="33"/>
      <c r="W590" s="33"/>
      <c r="X590" s="33"/>
      <c r="AA590" s="33"/>
      <c r="AC590" s="33"/>
    </row>
    <row r="591" ht="15.75" customHeight="1">
      <c r="A591" s="33"/>
      <c r="B591" s="33"/>
      <c r="F591" s="33"/>
      <c r="G591" s="33"/>
      <c r="H591" s="33"/>
      <c r="I591" s="33"/>
      <c r="J591" s="33"/>
      <c r="L591" s="33"/>
      <c r="M591" s="33"/>
      <c r="N591" s="33"/>
      <c r="O591" s="33"/>
      <c r="P591" s="33"/>
      <c r="R591" s="33"/>
      <c r="S591" s="33"/>
      <c r="T591" s="33"/>
      <c r="U591" s="33"/>
      <c r="V591" s="33"/>
      <c r="W591" s="33"/>
      <c r="X591" s="33"/>
      <c r="AA591" s="33"/>
      <c r="AC591" s="33"/>
    </row>
    <row r="592" ht="15.75" customHeight="1">
      <c r="A592" s="33"/>
      <c r="B592" s="33"/>
      <c r="F592" s="33"/>
      <c r="G592" s="33"/>
      <c r="H592" s="33"/>
      <c r="I592" s="33"/>
      <c r="J592" s="33"/>
      <c r="L592" s="33"/>
      <c r="M592" s="33"/>
      <c r="N592" s="33"/>
      <c r="O592" s="33"/>
      <c r="P592" s="33"/>
      <c r="R592" s="33"/>
      <c r="S592" s="33"/>
      <c r="T592" s="33"/>
      <c r="U592" s="33"/>
      <c r="V592" s="33"/>
      <c r="W592" s="33"/>
      <c r="X592" s="33"/>
      <c r="AA592" s="33"/>
      <c r="AC592" s="33"/>
    </row>
    <row r="593" ht="15.75" customHeight="1">
      <c r="A593" s="33"/>
      <c r="B593" s="33"/>
      <c r="F593" s="33"/>
      <c r="G593" s="33"/>
      <c r="H593" s="33"/>
      <c r="I593" s="33"/>
      <c r="J593" s="33"/>
      <c r="L593" s="33"/>
      <c r="M593" s="33"/>
      <c r="N593" s="33"/>
      <c r="O593" s="33"/>
      <c r="P593" s="33"/>
      <c r="R593" s="33"/>
      <c r="S593" s="33"/>
      <c r="T593" s="33"/>
      <c r="U593" s="33"/>
      <c r="V593" s="33"/>
      <c r="W593" s="33"/>
      <c r="X593" s="33"/>
      <c r="AA593" s="33"/>
      <c r="AC593" s="33"/>
    </row>
    <row r="594" ht="15.75" customHeight="1">
      <c r="A594" s="33"/>
      <c r="B594" s="33"/>
      <c r="F594" s="33"/>
      <c r="G594" s="33"/>
      <c r="H594" s="33"/>
      <c r="I594" s="33"/>
      <c r="J594" s="33"/>
      <c r="L594" s="33"/>
      <c r="M594" s="33"/>
      <c r="N594" s="33"/>
      <c r="O594" s="33"/>
      <c r="P594" s="33"/>
      <c r="R594" s="33"/>
      <c r="S594" s="33"/>
      <c r="T594" s="33"/>
      <c r="U594" s="33"/>
      <c r="V594" s="33"/>
      <c r="W594" s="33"/>
      <c r="X594" s="33"/>
      <c r="AA594" s="33"/>
      <c r="AC594" s="33"/>
    </row>
    <row r="595" ht="15.75" customHeight="1">
      <c r="A595" s="33"/>
      <c r="B595" s="33"/>
      <c r="F595" s="33"/>
      <c r="G595" s="33"/>
      <c r="H595" s="33"/>
      <c r="I595" s="33"/>
      <c r="J595" s="33"/>
      <c r="L595" s="33"/>
      <c r="M595" s="33"/>
      <c r="N595" s="33"/>
      <c r="O595" s="33"/>
      <c r="P595" s="33"/>
      <c r="R595" s="33"/>
      <c r="S595" s="33"/>
      <c r="T595" s="33"/>
      <c r="U595" s="33"/>
      <c r="V595" s="33"/>
      <c r="W595" s="33"/>
      <c r="X595" s="33"/>
      <c r="AA595" s="33"/>
      <c r="AC595" s="33"/>
    </row>
    <row r="596" ht="15.75" customHeight="1">
      <c r="A596" s="33"/>
      <c r="B596" s="33"/>
      <c r="F596" s="33"/>
      <c r="G596" s="33"/>
      <c r="H596" s="33"/>
      <c r="I596" s="33"/>
      <c r="J596" s="33"/>
      <c r="L596" s="33"/>
      <c r="M596" s="33"/>
      <c r="N596" s="33"/>
      <c r="O596" s="33"/>
      <c r="P596" s="33"/>
      <c r="R596" s="33"/>
      <c r="S596" s="33"/>
      <c r="T596" s="33"/>
      <c r="U596" s="33"/>
      <c r="V596" s="33"/>
      <c r="W596" s="33"/>
      <c r="X596" s="33"/>
      <c r="AA596" s="33"/>
      <c r="AC596" s="33"/>
    </row>
    <row r="597" ht="15.75" customHeight="1">
      <c r="A597" s="33"/>
      <c r="B597" s="33"/>
      <c r="F597" s="33"/>
      <c r="G597" s="33"/>
      <c r="H597" s="33"/>
      <c r="I597" s="33"/>
      <c r="J597" s="33"/>
      <c r="L597" s="33"/>
      <c r="M597" s="33"/>
      <c r="N597" s="33"/>
      <c r="O597" s="33"/>
      <c r="P597" s="33"/>
      <c r="R597" s="33"/>
      <c r="S597" s="33"/>
      <c r="T597" s="33"/>
      <c r="U597" s="33"/>
      <c r="V597" s="33"/>
      <c r="W597" s="33"/>
      <c r="X597" s="33"/>
      <c r="AA597" s="33"/>
      <c r="AC597" s="33"/>
    </row>
    <row r="598" ht="15.75" customHeight="1">
      <c r="A598" s="33"/>
      <c r="B598" s="33"/>
      <c r="F598" s="33"/>
      <c r="G598" s="33"/>
      <c r="H598" s="33"/>
      <c r="I598" s="33"/>
      <c r="J598" s="33"/>
      <c r="L598" s="33"/>
      <c r="M598" s="33"/>
      <c r="N598" s="33"/>
      <c r="O598" s="33"/>
      <c r="P598" s="33"/>
      <c r="R598" s="33"/>
      <c r="S598" s="33"/>
      <c r="T598" s="33"/>
      <c r="U598" s="33"/>
      <c r="V598" s="33"/>
      <c r="W598" s="33"/>
      <c r="X598" s="33"/>
      <c r="AA598" s="33"/>
      <c r="AC598" s="33"/>
    </row>
    <row r="599" ht="15.75" customHeight="1">
      <c r="A599" s="33"/>
      <c r="B599" s="33"/>
      <c r="F599" s="33"/>
      <c r="G599" s="33"/>
      <c r="H599" s="33"/>
      <c r="I599" s="33"/>
      <c r="J599" s="33"/>
      <c r="L599" s="33"/>
      <c r="M599" s="33"/>
      <c r="N599" s="33"/>
      <c r="O599" s="33"/>
      <c r="P599" s="33"/>
      <c r="R599" s="33"/>
      <c r="S599" s="33"/>
      <c r="T599" s="33"/>
      <c r="U599" s="33"/>
      <c r="V599" s="33"/>
      <c r="W599" s="33"/>
      <c r="X599" s="33"/>
      <c r="AA599" s="33"/>
      <c r="AC599" s="33"/>
    </row>
    <row r="600" ht="15.75" customHeight="1">
      <c r="A600" s="33"/>
      <c r="B600" s="33"/>
      <c r="F600" s="33"/>
      <c r="G600" s="33"/>
      <c r="H600" s="33"/>
      <c r="I600" s="33"/>
      <c r="J600" s="33"/>
      <c r="L600" s="33"/>
      <c r="M600" s="33"/>
      <c r="N600" s="33"/>
      <c r="O600" s="33"/>
      <c r="P600" s="33"/>
      <c r="R600" s="33"/>
      <c r="S600" s="33"/>
      <c r="T600" s="33"/>
      <c r="U600" s="33"/>
      <c r="V600" s="33"/>
      <c r="W600" s="33"/>
      <c r="X600" s="33"/>
      <c r="AA600" s="33"/>
      <c r="AC600" s="33"/>
    </row>
    <row r="601" ht="15.75" customHeight="1">
      <c r="A601" s="33"/>
      <c r="B601" s="33"/>
      <c r="F601" s="33"/>
      <c r="G601" s="33"/>
      <c r="H601" s="33"/>
      <c r="I601" s="33"/>
      <c r="J601" s="33"/>
      <c r="L601" s="33"/>
      <c r="M601" s="33"/>
      <c r="N601" s="33"/>
      <c r="O601" s="33"/>
      <c r="P601" s="33"/>
      <c r="R601" s="33"/>
      <c r="S601" s="33"/>
      <c r="T601" s="33"/>
      <c r="U601" s="33"/>
      <c r="V601" s="33"/>
      <c r="W601" s="33"/>
      <c r="X601" s="33"/>
      <c r="AA601" s="33"/>
      <c r="AC601" s="33"/>
    </row>
    <row r="602" ht="15.75" customHeight="1">
      <c r="A602" s="33"/>
      <c r="B602" s="33"/>
      <c r="F602" s="33"/>
      <c r="G602" s="33"/>
      <c r="H602" s="33"/>
      <c r="I602" s="33"/>
      <c r="J602" s="33"/>
      <c r="L602" s="33"/>
      <c r="M602" s="33"/>
      <c r="N602" s="33"/>
      <c r="O602" s="33"/>
      <c r="P602" s="33"/>
      <c r="R602" s="33"/>
      <c r="S602" s="33"/>
      <c r="T602" s="33"/>
      <c r="U602" s="33"/>
      <c r="V602" s="33"/>
      <c r="W602" s="33"/>
      <c r="X602" s="33"/>
      <c r="AA602" s="33"/>
      <c r="AC602" s="33"/>
    </row>
    <row r="603" ht="15.75" customHeight="1">
      <c r="A603" s="33"/>
      <c r="B603" s="33"/>
      <c r="F603" s="33"/>
      <c r="G603" s="33"/>
      <c r="H603" s="33"/>
      <c r="I603" s="33"/>
      <c r="J603" s="33"/>
      <c r="L603" s="33"/>
      <c r="M603" s="33"/>
      <c r="N603" s="33"/>
      <c r="O603" s="33"/>
      <c r="P603" s="33"/>
      <c r="R603" s="33"/>
      <c r="S603" s="33"/>
      <c r="T603" s="33"/>
      <c r="U603" s="33"/>
      <c r="V603" s="33"/>
      <c r="W603" s="33"/>
      <c r="X603" s="33"/>
      <c r="AA603" s="33"/>
      <c r="AC603" s="33"/>
    </row>
    <row r="604" ht="15.75" customHeight="1">
      <c r="A604" s="33"/>
      <c r="B604" s="33"/>
      <c r="F604" s="33"/>
      <c r="G604" s="33"/>
      <c r="H604" s="33"/>
      <c r="I604" s="33"/>
      <c r="J604" s="33"/>
      <c r="L604" s="33"/>
      <c r="M604" s="33"/>
      <c r="N604" s="33"/>
      <c r="O604" s="33"/>
      <c r="P604" s="33"/>
      <c r="R604" s="33"/>
      <c r="S604" s="33"/>
      <c r="T604" s="33"/>
      <c r="U604" s="33"/>
      <c r="V604" s="33"/>
      <c r="W604" s="33"/>
      <c r="X604" s="33"/>
      <c r="AA604" s="33"/>
      <c r="AC604" s="33"/>
    </row>
    <row r="605" ht="15.75" customHeight="1">
      <c r="A605" s="33"/>
      <c r="B605" s="33"/>
      <c r="F605" s="33"/>
      <c r="G605" s="33"/>
      <c r="H605" s="33"/>
      <c r="I605" s="33"/>
      <c r="J605" s="33"/>
      <c r="L605" s="33"/>
      <c r="M605" s="33"/>
      <c r="N605" s="33"/>
      <c r="O605" s="33"/>
      <c r="P605" s="33"/>
      <c r="R605" s="33"/>
      <c r="S605" s="33"/>
      <c r="T605" s="33"/>
      <c r="U605" s="33"/>
      <c r="V605" s="33"/>
      <c r="W605" s="33"/>
      <c r="X605" s="33"/>
      <c r="AA605" s="33"/>
      <c r="AC605" s="33"/>
    </row>
    <row r="606" ht="15.75" customHeight="1">
      <c r="A606" s="33"/>
      <c r="B606" s="33"/>
      <c r="F606" s="33"/>
      <c r="G606" s="33"/>
      <c r="H606" s="33"/>
      <c r="I606" s="33"/>
      <c r="J606" s="33"/>
      <c r="L606" s="33"/>
      <c r="M606" s="33"/>
      <c r="N606" s="33"/>
      <c r="O606" s="33"/>
      <c r="P606" s="33"/>
      <c r="R606" s="33"/>
      <c r="S606" s="33"/>
      <c r="T606" s="33"/>
      <c r="U606" s="33"/>
      <c r="V606" s="33"/>
      <c r="W606" s="33"/>
      <c r="X606" s="33"/>
      <c r="AA606" s="33"/>
      <c r="AC606" s="33"/>
    </row>
    <row r="607" ht="15.75" customHeight="1">
      <c r="A607" s="33"/>
      <c r="B607" s="33"/>
      <c r="F607" s="33"/>
      <c r="G607" s="33"/>
      <c r="H607" s="33"/>
      <c r="I607" s="33"/>
      <c r="J607" s="33"/>
      <c r="L607" s="33"/>
      <c r="M607" s="33"/>
      <c r="N607" s="33"/>
      <c r="O607" s="33"/>
      <c r="P607" s="33"/>
      <c r="R607" s="33"/>
      <c r="S607" s="33"/>
      <c r="T607" s="33"/>
      <c r="U607" s="33"/>
      <c r="V607" s="33"/>
      <c r="W607" s="33"/>
      <c r="X607" s="33"/>
      <c r="AA607" s="33"/>
      <c r="AC607" s="33"/>
    </row>
    <row r="608" ht="15.75" customHeight="1">
      <c r="A608" s="33"/>
      <c r="B608" s="33"/>
      <c r="F608" s="33"/>
      <c r="G608" s="33"/>
      <c r="H608" s="33"/>
      <c r="I608" s="33"/>
      <c r="J608" s="33"/>
      <c r="L608" s="33"/>
      <c r="M608" s="33"/>
      <c r="N608" s="33"/>
      <c r="O608" s="33"/>
      <c r="P608" s="33"/>
      <c r="R608" s="33"/>
      <c r="S608" s="33"/>
      <c r="T608" s="33"/>
      <c r="U608" s="33"/>
      <c r="V608" s="33"/>
      <c r="W608" s="33"/>
      <c r="X608" s="33"/>
      <c r="AA608" s="33"/>
      <c r="AC608" s="33"/>
    </row>
    <row r="609" ht="15.75" customHeight="1">
      <c r="A609" s="33"/>
      <c r="B609" s="33"/>
      <c r="F609" s="33"/>
      <c r="G609" s="33"/>
      <c r="H609" s="33"/>
      <c r="I609" s="33"/>
      <c r="J609" s="33"/>
      <c r="L609" s="33"/>
      <c r="M609" s="33"/>
      <c r="N609" s="33"/>
      <c r="O609" s="33"/>
      <c r="P609" s="33"/>
      <c r="R609" s="33"/>
      <c r="S609" s="33"/>
      <c r="T609" s="33"/>
      <c r="U609" s="33"/>
      <c r="V609" s="33"/>
      <c r="W609" s="33"/>
      <c r="X609" s="33"/>
      <c r="AA609" s="33"/>
      <c r="AC609" s="33"/>
    </row>
    <row r="610" ht="15.75" customHeight="1">
      <c r="A610" s="33"/>
      <c r="B610" s="33"/>
      <c r="F610" s="33"/>
      <c r="G610" s="33"/>
      <c r="H610" s="33"/>
      <c r="I610" s="33"/>
      <c r="J610" s="33"/>
      <c r="L610" s="33"/>
      <c r="M610" s="33"/>
      <c r="N610" s="33"/>
      <c r="O610" s="33"/>
      <c r="P610" s="33"/>
      <c r="R610" s="33"/>
      <c r="S610" s="33"/>
      <c r="T610" s="33"/>
      <c r="U610" s="33"/>
      <c r="V610" s="33"/>
      <c r="W610" s="33"/>
      <c r="X610" s="33"/>
      <c r="AA610" s="33"/>
      <c r="AC610" s="33"/>
    </row>
    <row r="611" ht="15.75" customHeight="1">
      <c r="A611" s="33"/>
      <c r="B611" s="33"/>
      <c r="F611" s="33"/>
      <c r="G611" s="33"/>
      <c r="H611" s="33"/>
      <c r="I611" s="33"/>
      <c r="J611" s="33"/>
      <c r="L611" s="33"/>
      <c r="M611" s="33"/>
      <c r="N611" s="33"/>
      <c r="O611" s="33"/>
      <c r="P611" s="33"/>
      <c r="R611" s="33"/>
      <c r="S611" s="33"/>
      <c r="T611" s="33"/>
      <c r="U611" s="33"/>
      <c r="V611" s="33"/>
      <c r="W611" s="33"/>
      <c r="X611" s="33"/>
      <c r="AA611" s="33"/>
      <c r="AC611" s="33"/>
    </row>
    <row r="612" ht="15.75" customHeight="1">
      <c r="A612" s="33"/>
      <c r="B612" s="33"/>
      <c r="F612" s="33"/>
      <c r="G612" s="33"/>
      <c r="H612" s="33"/>
      <c r="I612" s="33"/>
      <c r="J612" s="33"/>
      <c r="L612" s="33"/>
      <c r="M612" s="33"/>
      <c r="N612" s="33"/>
      <c r="O612" s="33"/>
      <c r="P612" s="33"/>
      <c r="R612" s="33"/>
      <c r="S612" s="33"/>
      <c r="T612" s="33"/>
      <c r="U612" s="33"/>
      <c r="V612" s="33"/>
      <c r="W612" s="33"/>
      <c r="X612" s="33"/>
      <c r="AA612" s="33"/>
      <c r="AC612" s="33"/>
    </row>
    <row r="613" ht="15.75" customHeight="1">
      <c r="A613" s="33"/>
      <c r="B613" s="33"/>
      <c r="F613" s="33"/>
      <c r="G613" s="33"/>
      <c r="H613" s="33"/>
      <c r="I613" s="33"/>
      <c r="J613" s="33"/>
      <c r="L613" s="33"/>
      <c r="M613" s="33"/>
      <c r="N613" s="33"/>
      <c r="O613" s="33"/>
      <c r="P613" s="33"/>
      <c r="R613" s="33"/>
      <c r="S613" s="33"/>
      <c r="T613" s="33"/>
      <c r="U613" s="33"/>
      <c r="V613" s="33"/>
      <c r="W613" s="33"/>
      <c r="X613" s="33"/>
      <c r="AA613" s="33"/>
      <c r="AC613" s="33"/>
    </row>
    <row r="614" ht="15.75" customHeight="1">
      <c r="A614" s="33"/>
      <c r="B614" s="33"/>
      <c r="F614" s="33"/>
      <c r="G614" s="33"/>
      <c r="H614" s="33"/>
      <c r="I614" s="33"/>
      <c r="J614" s="33"/>
      <c r="L614" s="33"/>
      <c r="M614" s="33"/>
      <c r="N614" s="33"/>
      <c r="O614" s="33"/>
      <c r="P614" s="33"/>
      <c r="R614" s="33"/>
      <c r="S614" s="33"/>
      <c r="T614" s="33"/>
      <c r="U614" s="33"/>
      <c r="V614" s="33"/>
      <c r="W614" s="33"/>
      <c r="X614" s="33"/>
      <c r="AA614" s="33"/>
      <c r="AC614" s="33"/>
    </row>
    <row r="615" ht="15.75" customHeight="1">
      <c r="A615" s="33"/>
      <c r="B615" s="33"/>
      <c r="F615" s="33"/>
      <c r="G615" s="33"/>
      <c r="H615" s="33"/>
      <c r="I615" s="33"/>
      <c r="J615" s="33"/>
      <c r="L615" s="33"/>
      <c r="M615" s="33"/>
      <c r="N615" s="33"/>
      <c r="O615" s="33"/>
      <c r="P615" s="33"/>
      <c r="R615" s="33"/>
      <c r="S615" s="33"/>
      <c r="T615" s="33"/>
      <c r="U615" s="33"/>
      <c r="V615" s="33"/>
      <c r="W615" s="33"/>
      <c r="X615" s="33"/>
      <c r="AA615" s="33"/>
      <c r="AC615" s="33"/>
    </row>
    <row r="616" ht="15.75" customHeight="1">
      <c r="A616" s="33"/>
      <c r="B616" s="33"/>
      <c r="F616" s="33"/>
      <c r="G616" s="33"/>
      <c r="H616" s="33"/>
      <c r="I616" s="33"/>
      <c r="J616" s="33"/>
      <c r="L616" s="33"/>
      <c r="M616" s="33"/>
      <c r="N616" s="33"/>
      <c r="O616" s="33"/>
      <c r="P616" s="33"/>
      <c r="R616" s="33"/>
      <c r="S616" s="33"/>
      <c r="T616" s="33"/>
      <c r="U616" s="33"/>
      <c r="V616" s="33"/>
      <c r="W616" s="33"/>
      <c r="X616" s="33"/>
      <c r="AA616" s="33"/>
      <c r="AC616" s="33"/>
    </row>
    <row r="617" ht="15.75" customHeight="1">
      <c r="A617" s="33"/>
      <c r="B617" s="33"/>
      <c r="F617" s="33"/>
      <c r="G617" s="33"/>
      <c r="H617" s="33"/>
      <c r="I617" s="33"/>
      <c r="J617" s="33"/>
      <c r="L617" s="33"/>
      <c r="M617" s="33"/>
      <c r="N617" s="33"/>
      <c r="O617" s="33"/>
      <c r="P617" s="33"/>
      <c r="R617" s="33"/>
      <c r="S617" s="33"/>
      <c r="T617" s="33"/>
      <c r="U617" s="33"/>
      <c r="V617" s="33"/>
      <c r="W617" s="33"/>
      <c r="X617" s="33"/>
      <c r="AA617" s="33"/>
      <c r="AC617" s="33"/>
    </row>
    <row r="618" ht="15.75" customHeight="1">
      <c r="A618" s="33"/>
      <c r="B618" s="33"/>
      <c r="F618" s="33"/>
      <c r="G618" s="33"/>
      <c r="H618" s="33"/>
      <c r="I618" s="33"/>
      <c r="J618" s="33"/>
      <c r="L618" s="33"/>
      <c r="M618" s="33"/>
      <c r="N618" s="33"/>
      <c r="O618" s="33"/>
      <c r="P618" s="33"/>
      <c r="R618" s="33"/>
      <c r="S618" s="33"/>
      <c r="T618" s="33"/>
      <c r="U618" s="33"/>
      <c r="V618" s="33"/>
      <c r="W618" s="33"/>
      <c r="X618" s="33"/>
      <c r="AA618" s="33"/>
      <c r="AC618" s="33"/>
    </row>
    <row r="619" ht="15.75" customHeight="1">
      <c r="A619" s="33"/>
      <c r="B619" s="33"/>
      <c r="F619" s="33"/>
      <c r="G619" s="33"/>
      <c r="H619" s="33"/>
      <c r="I619" s="33"/>
      <c r="J619" s="33"/>
      <c r="L619" s="33"/>
      <c r="M619" s="33"/>
      <c r="N619" s="33"/>
      <c r="O619" s="33"/>
      <c r="P619" s="33"/>
      <c r="R619" s="33"/>
      <c r="S619" s="33"/>
      <c r="T619" s="33"/>
      <c r="U619" s="33"/>
      <c r="V619" s="33"/>
      <c r="W619" s="33"/>
      <c r="X619" s="33"/>
      <c r="AA619" s="33"/>
      <c r="AC619" s="33"/>
    </row>
    <row r="620" ht="15.75" customHeight="1">
      <c r="A620" s="33"/>
      <c r="B620" s="33"/>
      <c r="F620" s="33"/>
      <c r="G620" s="33"/>
      <c r="H620" s="33"/>
      <c r="I620" s="33"/>
      <c r="J620" s="33"/>
      <c r="L620" s="33"/>
      <c r="M620" s="33"/>
      <c r="N620" s="33"/>
      <c r="O620" s="33"/>
      <c r="P620" s="33"/>
      <c r="R620" s="33"/>
      <c r="S620" s="33"/>
      <c r="T620" s="33"/>
      <c r="U620" s="33"/>
      <c r="V620" s="33"/>
      <c r="W620" s="33"/>
      <c r="X620" s="33"/>
      <c r="AA620" s="33"/>
      <c r="AC620" s="33"/>
    </row>
    <row r="621" ht="15.75" customHeight="1">
      <c r="A621" s="33"/>
      <c r="B621" s="33"/>
      <c r="F621" s="33"/>
      <c r="G621" s="33"/>
      <c r="H621" s="33"/>
      <c r="I621" s="33"/>
      <c r="J621" s="33"/>
      <c r="L621" s="33"/>
      <c r="M621" s="33"/>
      <c r="N621" s="33"/>
      <c r="O621" s="33"/>
      <c r="P621" s="33"/>
      <c r="R621" s="33"/>
      <c r="S621" s="33"/>
      <c r="T621" s="33"/>
      <c r="U621" s="33"/>
      <c r="V621" s="33"/>
      <c r="W621" s="33"/>
      <c r="X621" s="33"/>
      <c r="AA621" s="33"/>
      <c r="AC621" s="33"/>
    </row>
    <row r="622" ht="15.75" customHeight="1">
      <c r="A622" s="33"/>
      <c r="B622" s="33"/>
      <c r="F622" s="33"/>
      <c r="G622" s="33"/>
      <c r="H622" s="33"/>
      <c r="I622" s="33"/>
      <c r="J622" s="33"/>
      <c r="L622" s="33"/>
      <c r="M622" s="33"/>
      <c r="N622" s="33"/>
      <c r="O622" s="33"/>
      <c r="P622" s="33"/>
      <c r="R622" s="33"/>
      <c r="S622" s="33"/>
      <c r="T622" s="33"/>
      <c r="U622" s="33"/>
      <c r="V622" s="33"/>
      <c r="W622" s="33"/>
      <c r="X622" s="33"/>
      <c r="AA622" s="33"/>
      <c r="AC622" s="33"/>
    </row>
    <row r="623" ht="15.75" customHeight="1">
      <c r="A623" s="33"/>
      <c r="B623" s="33"/>
      <c r="F623" s="33"/>
      <c r="G623" s="33"/>
      <c r="H623" s="33"/>
      <c r="I623" s="33"/>
      <c r="J623" s="33"/>
      <c r="L623" s="33"/>
      <c r="M623" s="33"/>
      <c r="N623" s="33"/>
      <c r="O623" s="33"/>
      <c r="P623" s="33"/>
      <c r="R623" s="33"/>
      <c r="S623" s="33"/>
      <c r="T623" s="33"/>
      <c r="U623" s="33"/>
      <c r="V623" s="33"/>
      <c r="W623" s="33"/>
      <c r="X623" s="33"/>
      <c r="AA623" s="33"/>
      <c r="AC623" s="33"/>
    </row>
    <row r="624" ht="15.75" customHeight="1">
      <c r="A624" s="33"/>
      <c r="B624" s="33"/>
      <c r="F624" s="33"/>
      <c r="G624" s="33"/>
      <c r="H624" s="33"/>
      <c r="I624" s="33"/>
      <c r="J624" s="33"/>
      <c r="L624" s="33"/>
      <c r="M624" s="33"/>
      <c r="N624" s="33"/>
      <c r="O624" s="33"/>
      <c r="P624" s="33"/>
      <c r="R624" s="33"/>
      <c r="S624" s="33"/>
      <c r="T624" s="33"/>
      <c r="U624" s="33"/>
      <c r="V624" s="33"/>
      <c r="W624" s="33"/>
      <c r="X624" s="33"/>
      <c r="AA624" s="33"/>
      <c r="AC624" s="33"/>
    </row>
    <row r="625" ht="15.75" customHeight="1">
      <c r="A625" s="33"/>
      <c r="B625" s="33"/>
      <c r="F625" s="33"/>
      <c r="G625" s="33"/>
      <c r="H625" s="33"/>
      <c r="I625" s="33"/>
      <c r="J625" s="33"/>
      <c r="L625" s="33"/>
      <c r="M625" s="33"/>
      <c r="N625" s="33"/>
      <c r="O625" s="33"/>
      <c r="P625" s="33"/>
      <c r="R625" s="33"/>
      <c r="S625" s="33"/>
      <c r="T625" s="33"/>
      <c r="U625" s="33"/>
      <c r="V625" s="33"/>
      <c r="W625" s="33"/>
      <c r="X625" s="33"/>
      <c r="AA625" s="33"/>
      <c r="AC625" s="33"/>
    </row>
    <row r="626" ht="15.75" customHeight="1">
      <c r="A626" s="33"/>
      <c r="B626" s="33"/>
      <c r="F626" s="33"/>
      <c r="G626" s="33"/>
      <c r="H626" s="33"/>
      <c r="I626" s="33"/>
      <c r="J626" s="33"/>
      <c r="L626" s="33"/>
      <c r="M626" s="33"/>
      <c r="N626" s="33"/>
      <c r="O626" s="33"/>
      <c r="P626" s="33"/>
      <c r="R626" s="33"/>
      <c r="S626" s="33"/>
      <c r="T626" s="33"/>
      <c r="U626" s="33"/>
      <c r="V626" s="33"/>
      <c r="W626" s="33"/>
      <c r="X626" s="33"/>
      <c r="AA626" s="33"/>
      <c r="AC626" s="33"/>
    </row>
    <row r="627" ht="15.75" customHeight="1">
      <c r="A627" s="33"/>
      <c r="B627" s="33"/>
      <c r="F627" s="33"/>
      <c r="G627" s="33"/>
      <c r="H627" s="33"/>
      <c r="I627" s="33"/>
      <c r="J627" s="33"/>
      <c r="L627" s="33"/>
      <c r="M627" s="33"/>
      <c r="N627" s="33"/>
      <c r="O627" s="33"/>
      <c r="P627" s="33"/>
      <c r="R627" s="33"/>
      <c r="S627" s="33"/>
      <c r="T627" s="33"/>
      <c r="U627" s="33"/>
      <c r="V627" s="33"/>
      <c r="W627" s="33"/>
      <c r="X627" s="33"/>
      <c r="AA627" s="33"/>
      <c r="AC627" s="33"/>
    </row>
    <row r="628" ht="15.75" customHeight="1">
      <c r="A628" s="33"/>
      <c r="B628" s="33"/>
      <c r="F628" s="33"/>
      <c r="G628" s="33"/>
      <c r="H628" s="33"/>
      <c r="I628" s="33"/>
      <c r="J628" s="33"/>
      <c r="L628" s="33"/>
      <c r="M628" s="33"/>
      <c r="N628" s="33"/>
      <c r="O628" s="33"/>
      <c r="P628" s="33"/>
      <c r="R628" s="33"/>
      <c r="S628" s="33"/>
      <c r="T628" s="33"/>
      <c r="U628" s="33"/>
      <c r="V628" s="33"/>
      <c r="W628" s="33"/>
      <c r="X628" s="33"/>
      <c r="AA628" s="33"/>
      <c r="AC628" s="33"/>
    </row>
    <row r="629" ht="15.75" customHeight="1">
      <c r="A629" s="33"/>
      <c r="B629" s="33"/>
      <c r="F629" s="33"/>
      <c r="G629" s="33"/>
      <c r="H629" s="33"/>
      <c r="I629" s="33"/>
      <c r="J629" s="33"/>
      <c r="L629" s="33"/>
      <c r="M629" s="33"/>
      <c r="N629" s="33"/>
      <c r="O629" s="33"/>
      <c r="P629" s="33"/>
      <c r="R629" s="33"/>
      <c r="S629" s="33"/>
      <c r="T629" s="33"/>
      <c r="U629" s="33"/>
      <c r="V629" s="33"/>
      <c r="W629" s="33"/>
      <c r="X629" s="33"/>
      <c r="AA629" s="33"/>
      <c r="AC629" s="33"/>
    </row>
    <row r="630" ht="15.75" customHeight="1">
      <c r="A630" s="33"/>
      <c r="B630" s="33"/>
      <c r="F630" s="33"/>
      <c r="G630" s="33"/>
      <c r="H630" s="33"/>
      <c r="I630" s="33"/>
      <c r="J630" s="33"/>
      <c r="L630" s="33"/>
      <c r="M630" s="33"/>
      <c r="N630" s="33"/>
      <c r="O630" s="33"/>
      <c r="P630" s="33"/>
      <c r="R630" s="33"/>
      <c r="S630" s="33"/>
      <c r="T630" s="33"/>
      <c r="U630" s="33"/>
      <c r="V630" s="33"/>
      <c r="W630" s="33"/>
      <c r="X630" s="33"/>
      <c r="AA630" s="33"/>
      <c r="AC630" s="33"/>
    </row>
    <row r="631" ht="15.75" customHeight="1">
      <c r="A631" s="33"/>
      <c r="B631" s="33"/>
      <c r="F631" s="33"/>
      <c r="G631" s="33"/>
      <c r="H631" s="33"/>
      <c r="I631" s="33"/>
      <c r="J631" s="33"/>
      <c r="L631" s="33"/>
      <c r="M631" s="33"/>
      <c r="N631" s="33"/>
      <c r="O631" s="33"/>
      <c r="P631" s="33"/>
      <c r="R631" s="33"/>
      <c r="S631" s="33"/>
      <c r="T631" s="33"/>
      <c r="U631" s="33"/>
      <c r="V631" s="33"/>
      <c r="W631" s="33"/>
      <c r="X631" s="33"/>
      <c r="AA631" s="33"/>
      <c r="AC631" s="33"/>
    </row>
    <row r="632" ht="15.75" customHeight="1">
      <c r="A632" s="33"/>
      <c r="B632" s="33"/>
      <c r="F632" s="33"/>
      <c r="G632" s="33"/>
      <c r="H632" s="33"/>
      <c r="I632" s="33"/>
      <c r="J632" s="33"/>
      <c r="L632" s="33"/>
      <c r="M632" s="33"/>
      <c r="N632" s="33"/>
      <c r="O632" s="33"/>
      <c r="P632" s="33"/>
      <c r="R632" s="33"/>
      <c r="S632" s="33"/>
      <c r="T632" s="33"/>
      <c r="U632" s="33"/>
      <c r="V632" s="33"/>
      <c r="W632" s="33"/>
      <c r="X632" s="33"/>
      <c r="AA632" s="33"/>
      <c r="AC632" s="33"/>
    </row>
    <row r="633" ht="15.75" customHeight="1">
      <c r="A633" s="33"/>
      <c r="B633" s="33"/>
      <c r="F633" s="33"/>
      <c r="G633" s="33"/>
      <c r="H633" s="33"/>
      <c r="I633" s="33"/>
      <c r="J633" s="33"/>
      <c r="L633" s="33"/>
      <c r="M633" s="33"/>
      <c r="N633" s="33"/>
      <c r="O633" s="33"/>
      <c r="P633" s="33"/>
      <c r="R633" s="33"/>
      <c r="S633" s="33"/>
      <c r="T633" s="33"/>
      <c r="U633" s="33"/>
      <c r="V633" s="33"/>
      <c r="W633" s="33"/>
      <c r="X633" s="33"/>
      <c r="AA633" s="33"/>
      <c r="AC633" s="33"/>
    </row>
    <row r="634" ht="15.75" customHeight="1">
      <c r="A634" s="33"/>
      <c r="B634" s="33"/>
      <c r="F634" s="33"/>
      <c r="G634" s="33"/>
      <c r="H634" s="33"/>
      <c r="I634" s="33"/>
      <c r="J634" s="33"/>
      <c r="L634" s="33"/>
      <c r="M634" s="33"/>
      <c r="N634" s="33"/>
      <c r="O634" s="33"/>
      <c r="P634" s="33"/>
      <c r="R634" s="33"/>
      <c r="S634" s="33"/>
      <c r="T634" s="33"/>
      <c r="U634" s="33"/>
      <c r="V634" s="33"/>
      <c r="W634" s="33"/>
      <c r="X634" s="33"/>
      <c r="AA634" s="33"/>
      <c r="AC634" s="33"/>
    </row>
    <row r="635" ht="15.75" customHeight="1">
      <c r="A635" s="33"/>
      <c r="B635" s="33"/>
      <c r="F635" s="33"/>
      <c r="G635" s="33"/>
      <c r="H635" s="33"/>
      <c r="I635" s="33"/>
      <c r="J635" s="33"/>
      <c r="L635" s="33"/>
      <c r="M635" s="33"/>
      <c r="N635" s="33"/>
      <c r="O635" s="33"/>
      <c r="P635" s="33"/>
      <c r="R635" s="33"/>
      <c r="S635" s="33"/>
      <c r="T635" s="33"/>
      <c r="U635" s="33"/>
      <c r="V635" s="33"/>
      <c r="W635" s="33"/>
      <c r="X635" s="33"/>
      <c r="AA635" s="33"/>
      <c r="AC635" s="33"/>
    </row>
    <row r="636" ht="15.75" customHeight="1">
      <c r="A636" s="33"/>
      <c r="B636" s="33"/>
      <c r="F636" s="33"/>
      <c r="G636" s="33"/>
      <c r="H636" s="33"/>
      <c r="I636" s="33"/>
      <c r="J636" s="33"/>
      <c r="L636" s="33"/>
      <c r="M636" s="33"/>
      <c r="N636" s="33"/>
      <c r="O636" s="33"/>
      <c r="P636" s="33"/>
      <c r="R636" s="33"/>
      <c r="S636" s="33"/>
      <c r="T636" s="33"/>
      <c r="U636" s="33"/>
      <c r="V636" s="33"/>
      <c r="W636" s="33"/>
      <c r="X636" s="33"/>
      <c r="AA636" s="33"/>
      <c r="AC636" s="33"/>
    </row>
    <row r="637" ht="15.75" customHeight="1">
      <c r="A637" s="33"/>
      <c r="B637" s="33"/>
      <c r="F637" s="33"/>
      <c r="G637" s="33"/>
      <c r="H637" s="33"/>
      <c r="I637" s="33"/>
      <c r="J637" s="33"/>
      <c r="L637" s="33"/>
      <c r="M637" s="33"/>
      <c r="N637" s="33"/>
      <c r="O637" s="33"/>
      <c r="P637" s="33"/>
      <c r="R637" s="33"/>
      <c r="S637" s="33"/>
      <c r="T637" s="33"/>
      <c r="U637" s="33"/>
      <c r="V637" s="33"/>
      <c r="W637" s="33"/>
      <c r="X637" s="33"/>
      <c r="AA637" s="33"/>
      <c r="AC637" s="33"/>
    </row>
    <row r="638" ht="15.75" customHeight="1">
      <c r="A638" s="33"/>
      <c r="B638" s="33"/>
      <c r="F638" s="33"/>
      <c r="G638" s="33"/>
      <c r="H638" s="33"/>
      <c r="I638" s="33"/>
      <c r="J638" s="33"/>
      <c r="L638" s="33"/>
      <c r="M638" s="33"/>
      <c r="N638" s="33"/>
      <c r="O638" s="33"/>
      <c r="P638" s="33"/>
      <c r="R638" s="33"/>
      <c r="S638" s="33"/>
      <c r="T638" s="33"/>
      <c r="U638" s="33"/>
      <c r="V638" s="33"/>
      <c r="W638" s="33"/>
      <c r="X638" s="33"/>
      <c r="AA638" s="33"/>
      <c r="AC638" s="33"/>
    </row>
    <row r="639" ht="15.75" customHeight="1">
      <c r="A639" s="33"/>
      <c r="B639" s="33"/>
      <c r="F639" s="33"/>
      <c r="G639" s="33"/>
      <c r="H639" s="33"/>
      <c r="I639" s="33"/>
      <c r="J639" s="33"/>
      <c r="L639" s="33"/>
      <c r="M639" s="33"/>
      <c r="N639" s="33"/>
      <c r="O639" s="33"/>
      <c r="P639" s="33"/>
      <c r="R639" s="33"/>
      <c r="S639" s="33"/>
      <c r="T639" s="33"/>
      <c r="U639" s="33"/>
      <c r="V639" s="33"/>
      <c r="W639" s="33"/>
      <c r="X639" s="33"/>
      <c r="AA639" s="33"/>
      <c r="AC639" s="33"/>
    </row>
    <row r="640" ht="15.75" customHeight="1">
      <c r="A640" s="33"/>
      <c r="B640" s="33"/>
      <c r="F640" s="33"/>
      <c r="G640" s="33"/>
      <c r="H640" s="33"/>
      <c r="I640" s="33"/>
      <c r="J640" s="33"/>
      <c r="L640" s="33"/>
      <c r="M640" s="33"/>
      <c r="N640" s="33"/>
      <c r="O640" s="33"/>
      <c r="P640" s="33"/>
      <c r="R640" s="33"/>
      <c r="S640" s="33"/>
      <c r="T640" s="33"/>
      <c r="U640" s="33"/>
      <c r="V640" s="33"/>
      <c r="W640" s="33"/>
      <c r="X640" s="33"/>
      <c r="AA640" s="33"/>
      <c r="AC640" s="33"/>
    </row>
    <row r="641" ht="15.75" customHeight="1">
      <c r="A641" s="33"/>
      <c r="B641" s="33"/>
      <c r="F641" s="33"/>
      <c r="G641" s="33"/>
      <c r="H641" s="33"/>
      <c r="I641" s="33"/>
      <c r="J641" s="33"/>
      <c r="L641" s="33"/>
      <c r="M641" s="33"/>
      <c r="N641" s="33"/>
      <c r="O641" s="33"/>
      <c r="P641" s="33"/>
      <c r="R641" s="33"/>
      <c r="S641" s="33"/>
      <c r="T641" s="33"/>
      <c r="U641" s="33"/>
      <c r="V641" s="33"/>
      <c r="W641" s="33"/>
      <c r="X641" s="33"/>
      <c r="AA641" s="33"/>
      <c r="AC641" s="33"/>
    </row>
    <row r="642" ht="15.75" customHeight="1">
      <c r="A642" s="33"/>
      <c r="B642" s="33"/>
      <c r="F642" s="33"/>
      <c r="G642" s="33"/>
      <c r="H642" s="33"/>
      <c r="I642" s="33"/>
      <c r="J642" s="33"/>
      <c r="L642" s="33"/>
      <c r="M642" s="33"/>
      <c r="N642" s="33"/>
      <c r="O642" s="33"/>
      <c r="P642" s="33"/>
      <c r="R642" s="33"/>
      <c r="S642" s="33"/>
      <c r="T642" s="33"/>
      <c r="U642" s="33"/>
      <c r="V642" s="33"/>
      <c r="W642" s="33"/>
      <c r="X642" s="33"/>
      <c r="AA642" s="33"/>
      <c r="AC642" s="33"/>
    </row>
    <row r="643" ht="15.75" customHeight="1">
      <c r="A643" s="33"/>
      <c r="B643" s="33"/>
      <c r="F643" s="33"/>
      <c r="G643" s="33"/>
      <c r="H643" s="33"/>
      <c r="I643" s="33"/>
      <c r="J643" s="33"/>
      <c r="L643" s="33"/>
      <c r="M643" s="33"/>
      <c r="N643" s="33"/>
      <c r="O643" s="33"/>
      <c r="P643" s="33"/>
      <c r="R643" s="33"/>
      <c r="S643" s="33"/>
      <c r="T643" s="33"/>
      <c r="U643" s="33"/>
      <c r="V643" s="33"/>
      <c r="W643" s="33"/>
      <c r="X643" s="33"/>
      <c r="AA643" s="33"/>
      <c r="AC643" s="33"/>
    </row>
    <row r="644" ht="15.75" customHeight="1">
      <c r="A644" s="33"/>
      <c r="B644" s="33"/>
      <c r="F644" s="33"/>
      <c r="G644" s="33"/>
      <c r="H644" s="33"/>
      <c r="I644" s="33"/>
      <c r="J644" s="33"/>
      <c r="L644" s="33"/>
      <c r="M644" s="33"/>
      <c r="N644" s="33"/>
      <c r="O644" s="33"/>
      <c r="P644" s="33"/>
      <c r="R644" s="33"/>
      <c r="S644" s="33"/>
      <c r="T644" s="33"/>
      <c r="U644" s="33"/>
      <c r="V644" s="33"/>
      <c r="W644" s="33"/>
      <c r="X644" s="33"/>
      <c r="AA644" s="33"/>
      <c r="AC644" s="33"/>
    </row>
    <row r="645" ht="15.75" customHeight="1">
      <c r="A645" s="33"/>
      <c r="B645" s="33"/>
      <c r="F645" s="33"/>
      <c r="G645" s="33"/>
      <c r="H645" s="33"/>
      <c r="I645" s="33"/>
      <c r="J645" s="33"/>
      <c r="L645" s="33"/>
      <c r="M645" s="33"/>
      <c r="N645" s="33"/>
      <c r="O645" s="33"/>
      <c r="P645" s="33"/>
      <c r="R645" s="33"/>
      <c r="S645" s="33"/>
      <c r="T645" s="33"/>
      <c r="U645" s="33"/>
      <c r="V645" s="33"/>
      <c r="W645" s="33"/>
      <c r="X645" s="33"/>
      <c r="AA645" s="33"/>
      <c r="AC645" s="33"/>
    </row>
    <row r="646" ht="15.75" customHeight="1">
      <c r="A646" s="33"/>
      <c r="B646" s="33"/>
      <c r="F646" s="33"/>
      <c r="G646" s="33"/>
      <c r="H646" s="33"/>
      <c r="I646" s="33"/>
      <c r="J646" s="33"/>
      <c r="L646" s="33"/>
      <c r="M646" s="33"/>
      <c r="N646" s="33"/>
      <c r="O646" s="33"/>
      <c r="P646" s="33"/>
      <c r="R646" s="33"/>
      <c r="S646" s="33"/>
      <c r="T646" s="33"/>
      <c r="U646" s="33"/>
      <c r="V646" s="33"/>
      <c r="W646" s="33"/>
      <c r="X646" s="33"/>
      <c r="AA646" s="33"/>
      <c r="AC646" s="33"/>
    </row>
    <row r="647" ht="15.75" customHeight="1">
      <c r="A647" s="33"/>
      <c r="B647" s="33"/>
      <c r="F647" s="33"/>
      <c r="G647" s="33"/>
      <c r="H647" s="33"/>
      <c r="I647" s="33"/>
      <c r="J647" s="33"/>
      <c r="L647" s="33"/>
      <c r="M647" s="33"/>
      <c r="N647" s="33"/>
      <c r="O647" s="33"/>
      <c r="P647" s="33"/>
      <c r="R647" s="33"/>
      <c r="S647" s="33"/>
      <c r="T647" s="33"/>
      <c r="U647" s="33"/>
      <c r="V647" s="33"/>
      <c r="W647" s="33"/>
      <c r="X647" s="33"/>
      <c r="AA647" s="33"/>
      <c r="AC647" s="33"/>
    </row>
    <row r="648" ht="15.75" customHeight="1">
      <c r="A648" s="33"/>
      <c r="B648" s="33"/>
      <c r="F648" s="33"/>
      <c r="G648" s="33"/>
      <c r="H648" s="33"/>
      <c r="I648" s="33"/>
      <c r="J648" s="33"/>
      <c r="L648" s="33"/>
      <c r="M648" s="33"/>
      <c r="N648" s="33"/>
      <c r="O648" s="33"/>
      <c r="P648" s="33"/>
      <c r="R648" s="33"/>
      <c r="S648" s="33"/>
      <c r="T648" s="33"/>
      <c r="U648" s="33"/>
      <c r="V648" s="33"/>
      <c r="W648" s="33"/>
      <c r="X648" s="33"/>
      <c r="AA648" s="33"/>
      <c r="AC648" s="33"/>
    </row>
    <row r="649" ht="15.75" customHeight="1">
      <c r="A649" s="33"/>
      <c r="B649" s="33"/>
      <c r="F649" s="33"/>
      <c r="G649" s="33"/>
      <c r="H649" s="33"/>
      <c r="I649" s="33"/>
      <c r="J649" s="33"/>
      <c r="L649" s="33"/>
      <c r="M649" s="33"/>
      <c r="N649" s="33"/>
      <c r="O649" s="33"/>
      <c r="P649" s="33"/>
      <c r="R649" s="33"/>
      <c r="S649" s="33"/>
      <c r="T649" s="33"/>
      <c r="U649" s="33"/>
      <c r="V649" s="33"/>
      <c r="W649" s="33"/>
      <c r="X649" s="33"/>
      <c r="AA649" s="33"/>
      <c r="AC649" s="33"/>
    </row>
    <row r="650" ht="15.75" customHeight="1">
      <c r="A650" s="33"/>
      <c r="B650" s="33"/>
      <c r="F650" s="33"/>
      <c r="G650" s="33"/>
      <c r="H650" s="33"/>
      <c r="I650" s="33"/>
      <c r="J650" s="33"/>
      <c r="L650" s="33"/>
      <c r="M650" s="33"/>
      <c r="N650" s="33"/>
      <c r="O650" s="33"/>
      <c r="P650" s="33"/>
      <c r="R650" s="33"/>
      <c r="S650" s="33"/>
      <c r="T650" s="33"/>
      <c r="U650" s="33"/>
      <c r="V650" s="33"/>
      <c r="W650" s="33"/>
      <c r="X650" s="33"/>
      <c r="AA650" s="33"/>
      <c r="AC650" s="33"/>
    </row>
    <row r="651" ht="15.75" customHeight="1">
      <c r="A651" s="33"/>
      <c r="B651" s="33"/>
      <c r="F651" s="33"/>
      <c r="G651" s="33"/>
      <c r="H651" s="33"/>
      <c r="I651" s="33"/>
      <c r="J651" s="33"/>
      <c r="L651" s="33"/>
      <c r="M651" s="33"/>
      <c r="N651" s="33"/>
      <c r="O651" s="33"/>
      <c r="P651" s="33"/>
      <c r="R651" s="33"/>
      <c r="S651" s="33"/>
      <c r="T651" s="33"/>
      <c r="U651" s="33"/>
      <c r="V651" s="33"/>
      <c r="W651" s="33"/>
      <c r="X651" s="33"/>
      <c r="AA651" s="33"/>
      <c r="AC651" s="33"/>
    </row>
    <row r="652" ht="15.75" customHeight="1">
      <c r="A652" s="33"/>
      <c r="B652" s="33"/>
      <c r="F652" s="33"/>
      <c r="G652" s="33"/>
      <c r="H652" s="33"/>
      <c r="I652" s="33"/>
      <c r="J652" s="33"/>
      <c r="L652" s="33"/>
      <c r="M652" s="33"/>
      <c r="N652" s="33"/>
      <c r="O652" s="33"/>
      <c r="P652" s="33"/>
      <c r="R652" s="33"/>
      <c r="S652" s="33"/>
      <c r="T652" s="33"/>
      <c r="U652" s="33"/>
      <c r="V652" s="33"/>
      <c r="W652" s="33"/>
      <c r="X652" s="33"/>
      <c r="AA652" s="33"/>
      <c r="AC652" s="33"/>
    </row>
    <row r="653" ht="15.75" customHeight="1">
      <c r="A653" s="33"/>
      <c r="B653" s="33"/>
      <c r="F653" s="33"/>
      <c r="G653" s="33"/>
      <c r="H653" s="33"/>
      <c r="I653" s="33"/>
      <c r="J653" s="33"/>
      <c r="L653" s="33"/>
      <c r="M653" s="33"/>
      <c r="N653" s="33"/>
      <c r="O653" s="33"/>
      <c r="P653" s="33"/>
      <c r="R653" s="33"/>
      <c r="S653" s="33"/>
      <c r="T653" s="33"/>
      <c r="U653" s="33"/>
      <c r="V653" s="33"/>
      <c r="W653" s="33"/>
      <c r="X653" s="33"/>
      <c r="AA653" s="33"/>
      <c r="AC653" s="33"/>
    </row>
    <row r="654" ht="15.75" customHeight="1">
      <c r="A654" s="33"/>
      <c r="B654" s="33"/>
      <c r="F654" s="33"/>
      <c r="G654" s="33"/>
      <c r="H654" s="33"/>
      <c r="I654" s="33"/>
      <c r="J654" s="33"/>
      <c r="L654" s="33"/>
      <c r="M654" s="33"/>
      <c r="N654" s="33"/>
      <c r="O654" s="33"/>
      <c r="P654" s="33"/>
      <c r="R654" s="33"/>
      <c r="S654" s="33"/>
      <c r="T654" s="33"/>
      <c r="U654" s="33"/>
      <c r="V654" s="33"/>
      <c r="W654" s="33"/>
      <c r="X654" s="33"/>
      <c r="AA654" s="33"/>
      <c r="AC654" s="33"/>
    </row>
    <row r="655" ht="15.75" customHeight="1">
      <c r="A655" s="33"/>
      <c r="B655" s="33"/>
      <c r="F655" s="33"/>
      <c r="G655" s="33"/>
      <c r="H655" s="33"/>
      <c r="I655" s="33"/>
      <c r="J655" s="33"/>
      <c r="L655" s="33"/>
      <c r="M655" s="33"/>
      <c r="N655" s="33"/>
      <c r="O655" s="33"/>
      <c r="P655" s="33"/>
      <c r="R655" s="33"/>
      <c r="S655" s="33"/>
      <c r="T655" s="33"/>
      <c r="U655" s="33"/>
      <c r="V655" s="33"/>
      <c r="W655" s="33"/>
      <c r="X655" s="33"/>
      <c r="AA655" s="33"/>
      <c r="AC655" s="33"/>
    </row>
    <row r="656" ht="15.75" customHeight="1">
      <c r="A656" s="33"/>
      <c r="B656" s="33"/>
      <c r="F656" s="33"/>
      <c r="G656" s="33"/>
      <c r="H656" s="33"/>
      <c r="I656" s="33"/>
      <c r="J656" s="33"/>
      <c r="L656" s="33"/>
      <c r="M656" s="33"/>
      <c r="N656" s="33"/>
      <c r="O656" s="33"/>
      <c r="P656" s="33"/>
      <c r="R656" s="33"/>
      <c r="S656" s="33"/>
      <c r="T656" s="33"/>
      <c r="U656" s="33"/>
      <c r="V656" s="33"/>
      <c r="W656" s="33"/>
      <c r="X656" s="33"/>
      <c r="AA656" s="33"/>
      <c r="AC656" s="33"/>
    </row>
    <row r="657" ht="15.75" customHeight="1">
      <c r="A657" s="33"/>
      <c r="B657" s="33"/>
      <c r="F657" s="33"/>
      <c r="G657" s="33"/>
      <c r="H657" s="33"/>
      <c r="I657" s="33"/>
      <c r="J657" s="33"/>
      <c r="L657" s="33"/>
      <c r="M657" s="33"/>
      <c r="N657" s="33"/>
      <c r="O657" s="33"/>
      <c r="P657" s="33"/>
      <c r="R657" s="33"/>
      <c r="S657" s="33"/>
      <c r="T657" s="33"/>
      <c r="U657" s="33"/>
      <c r="V657" s="33"/>
      <c r="W657" s="33"/>
      <c r="X657" s="33"/>
      <c r="AA657" s="33"/>
      <c r="AC657" s="33"/>
    </row>
    <row r="658" ht="15.75" customHeight="1">
      <c r="A658" s="33"/>
      <c r="B658" s="33"/>
      <c r="F658" s="33"/>
      <c r="G658" s="33"/>
      <c r="H658" s="33"/>
      <c r="I658" s="33"/>
      <c r="J658" s="33"/>
      <c r="L658" s="33"/>
      <c r="M658" s="33"/>
      <c r="N658" s="33"/>
      <c r="O658" s="33"/>
      <c r="P658" s="33"/>
      <c r="R658" s="33"/>
      <c r="S658" s="33"/>
      <c r="T658" s="33"/>
      <c r="U658" s="33"/>
      <c r="V658" s="33"/>
      <c r="W658" s="33"/>
      <c r="X658" s="33"/>
      <c r="AA658" s="33"/>
      <c r="AC658" s="33"/>
    </row>
    <row r="659" ht="15.75" customHeight="1">
      <c r="A659" s="33"/>
      <c r="B659" s="33"/>
      <c r="F659" s="33"/>
      <c r="G659" s="33"/>
      <c r="H659" s="33"/>
      <c r="I659" s="33"/>
      <c r="J659" s="33"/>
      <c r="L659" s="33"/>
      <c r="M659" s="33"/>
      <c r="N659" s="33"/>
      <c r="O659" s="33"/>
      <c r="P659" s="33"/>
      <c r="R659" s="33"/>
      <c r="S659" s="33"/>
      <c r="T659" s="33"/>
      <c r="U659" s="33"/>
      <c r="V659" s="33"/>
      <c r="W659" s="33"/>
      <c r="X659" s="33"/>
      <c r="AA659" s="33"/>
      <c r="AC659" s="33"/>
    </row>
    <row r="660" ht="15.75" customHeight="1">
      <c r="A660" s="33"/>
      <c r="B660" s="33"/>
      <c r="F660" s="33"/>
      <c r="G660" s="33"/>
      <c r="H660" s="33"/>
      <c r="I660" s="33"/>
      <c r="J660" s="33"/>
      <c r="L660" s="33"/>
      <c r="M660" s="33"/>
      <c r="N660" s="33"/>
      <c r="O660" s="33"/>
      <c r="P660" s="33"/>
      <c r="R660" s="33"/>
      <c r="S660" s="33"/>
      <c r="T660" s="33"/>
      <c r="U660" s="33"/>
      <c r="V660" s="33"/>
      <c r="W660" s="33"/>
      <c r="X660" s="33"/>
      <c r="AA660" s="33"/>
      <c r="AC660" s="33"/>
    </row>
    <row r="661" ht="15.75" customHeight="1">
      <c r="A661" s="33"/>
      <c r="B661" s="33"/>
      <c r="F661" s="33"/>
      <c r="G661" s="33"/>
      <c r="H661" s="33"/>
      <c r="I661" s="33"/>
      <c r="J661" s="33"/>
      <c r="L661" s="33"/>
      <c r="M661" s="33"/>
      <c r="N661" s="33"/>
      <c r="O661" s="33"/>
      <c r="P661" s="33"/>
      <c r="R661" s="33"/>
      <c r="S661" s="33"/>
      <c r="T661" s="33"/>
      <c r="U661" s="33"/>
      <c r="V661" s="33"/>
      <c r="W661" s="33"/>
      <c r="X661" s="33"/>
      <c r="AA661" s="33"/>
      <c r="AC661" s="33"/>
    </row>
    <row r="662" ht="15.75" customHeight="1">
      <c r="A662" s="33"/>
      <c r="B662" s="33"/>
      <c r="F662" s="33"/>
      <c r="G662" s="33"/>
      <c r="H662" s="33"/>
      <c r="I662" s="33"/>
      <c r="J662" s="33"/>
      <c r="L662" s="33"/>
      <c r="M662" s="33"/>
      <c r="N662" s="33"/>
      <c r="O662" s="33"/>
      <c r="P662" s="33"/>
      <c r="R662" s="33"/>
      <c r="S662" s="33"/>
      <c r="T662" s="33"/>
      <c r="U662" s="33"/>
      <c r="V662" s="33"/>
      <c r="W662" s="33"/>
      <c r="X662" s="33"/>
      <c r="AA662" s="33"/>
      <c r="AC662" s="33"/>
    </row>
    <row r="663" ht="15.75" customHeight="1">
      <c r="A663" s="33"/>
      <c r="B663" s="33"/>
      <c r="F663" s="33"/>
      <c r="G663" s="33"/>
      <c r="H663" s="33"/>
      <c r="I663" s="33"/>
      <c r="J663" s="33"/>
      <c r="L663" s="33"/>
      <c r="M663" s="33"/>
      <c r="N663" s="33"/>
      <c r="O663" s="33"/>
      <c r="P663" s="33"/>
      <c r="R663" s="33"/>
      <c r="S663" s="33"/>
      <c r="T663" s="33"/>
      <c r="U663" s="33"/>
      <c r="V663" s="33"/>
      <c r="W663" s="33"/>
      <c r="X663" s="33"/>
      <c r="AA663" s="33"/>
      <c r="AC663" s="33"/>
    </row>
    <row r="664" ht="15.75" customHeight="1">
      <c r="A664" s="33"/>
      <c r="B664" s="33"/>
      <c r="F664" s="33"/>
      <c r="G664" s="33"/>
      <c r="H664" s="33"/>
      <c r="I664" s="33"/>
      <c r="J664" s="33"/>
      <c r="L664" s="33"/>
      <c r="M664" s="33"/>
      <c r="N664" s="33"/>
      <c r="O664" s="33"/>
      <c r="P664" s="33"/>
      <c r="R664" s="33"/>
      <c r="S664" s="33"/>
      <c r="T664" s="33"/>
      <c r="U664" s="33"/>
      <c r="V664" s="33"/>
      <c r="W664" s="33"/>
      <c r="X664" s="33"/>
      <c r="AA664" s="33"/>
      <c r="AC664" s="33"/>
    </row>
    <row r="665" ht="15.75" customHeight="1">
      <c r="A665" s="33"/>
      <c r="B665" s="33"/>
      <c r="F665" s="33"/>
      <c r="G665" s="33"/>
      <c r="H665" s="33"/>
      <c r="I665" s="33"/>
      <c r="J665" s="33"/>
      <c r="L665" s="33"/>
      <c r="M665" s="33"/>
      <c r="N665" s="33"/>
      <c r="O665" s="33"/>
      <c r="P665" s="33"/>
      <c r="R665" s="33"/>
      <c r="S665" s="33"/>
      <c r="T665" s="33"/>
      <c r="U665" s="33"/>
      <c r="V665" s="33"/>
      <c r="W665" s="33"/>
      <c r="X665" s="33"/>
      <c r="AA665" s="33"/>
      <c r="AC665" s="33"/>
    </row>
    <row r="666" ht="15.75" customHeight="1">
      <c r="A666" s="33"/>
      <c r="B666" s="33"/>
      <c r="F666" s="33"/>
      <c r="G666" s="33"/>
      <c r="H666" s="33"/>
      <c r="I666" s="33"/>
      <c r="J666" s="33"/>
      <c r="L666" s="33"/>
      <c r="M666" s="33"/>
      <c r="N666" s="33"/>
      <c r="O666" s="33"/>
      <c r="P666" s="33"/>
      <c r="R666" s="33"/>
      <c r="S666" s="33"/>
      <c r="T666" s="33"/>
      <c r="U666" s="33"/>
      <c r="V666" s="33"/>
      <c r="W666" s="33"/>
      <c r="X666" s="33"/>
      <c r="AA666" s="33"/>
      <c r="AC666" s="33"/>
    </row>
    <row r="667" ht="15.75" customHeight="1">
      <c r="A667" s="33"/>
      <c r="B667" s="33"/>
      <c r="F667" s="33"/>
      <c r="G667" s="33"/>
      <c r="H667" s="33"/>
      <c r="I667" s="33"/>
      <c r="J667" s="33"/>
      <c r="L667" s="33"/>
      <c r="M667" s="33"/>
      <c r="N667" s="33"/>
      <c r="O667" s="33"/>
      <c r="P667" s="33"/>
      <c r="R667" s="33"/>
      <c r="S667" s="33"/>
      <c r="T667" s="33"/>
      <c r="U667" s="33"/>
      <c r="V667" s="33"/>
      <c r="W667" s="33"/>
      <c r="X667" s="33"/>
      <c r="AA667" s="33"/>
      <c r="AC667" s="33"/>
    </row>
    <row r="668" ht="15.75" customHeight="1">
      <c r="A668" s="33"/>
      <c r="B668" s="33"/>
      <c r="F668" s="33"/>
      <c r="G668" s="33"/>
      <c r="H668" s="33"/>
      <c r="I668" s="33"/>
      <c r="J668" s="33"/>
      <c r="L668" s="33"/>
      <c r="M668" s="33"/>
      <c r="N668" s="33"/>
      <c r="O668" s="33"/>
      <c r="P668" s="33"/>
      <c r="R668" s="33"/>
      <c r="S668" s="33"/>
      <c r="T668" s="33"/>
      <c r="U668" s="33"/>
      <c r="V668" s="33"/>
      <c r="W668" s="33"/>
      <c r="X668" s="33"/>
      <c r="AA668" s="33"/>
      <c r="AC668" s="33"/>
    </row>
    <row r="669" ht="15.75" customHeight="1">
      <c r="A669" s="33"/>
      <c r="B669" s="33"/>
      <c r="F669" s="33"/>
      <c r="G669" s="33"/>
      <c r="H669" s="33"/>
      <c r="I669" s="33"/>
      <c r="J669" s="33"/>
      <c r="L669" s="33"/>
      <c r="M669" s="33"/>
      <c r="N669" s="33"/>
      <c r="O669" s="33"/>
      <c r="P669" s="33"/>
      <c r="R669" s="33"/>
      <c r="S669" s="33"/>
      <c r="T669" s="33"/>
      <c r="U669" s="33"/>
      <c r="V669" s="33"/>
      <c r="W669" s="33"/>
      <c r="X669" s="33"/>
      <c r="AA669" s="33"/>
      <c r="AC669" s="33"/>
    </row>
    <row r="670" ht="15.75" customHeight="1">
      <c r="A670" s="33"/>
      <c r="B670" s="33"/>
      <c r="F670" s="33"/>
      <c r="G670" s="33"/>
      <c r="H670" s="33"/>
      <c r="I670" s="33"/>
      <c r="J670" s="33"/>
      <c r="L670" s="33"/>
      <c r="M670" s="33"/>
      <c r="N670" s="33"/>
      <c r="O670" s="33"/>
      <c r="P670" s="33"/>
      <c r="R670" s="33"/>
      <c r="S670" s="33"/>
      <c r="T670" s="33"/>
      <c r="U670" s="33"/>
      <c r="V670" s="33"/>
      <c r="W670" s="33"/>
      <c r="X670" s="33"/>
      <c r="AA670" s="33"/>
      <c r="AC670" s="33"/>
    </row>
    <row r="671" ht="15.75" customHeight="1">
      <c r="A671" s="33"/>
      <c r="B671" s="33"/>
      <c r="F671" s="33"/>
      <c r="G671" s="33"/>
      <c r="H671" s="33"/>
      <c r="I671" s="33"/>
      <c r="J671" s="33"/>
      <c r="L671" s="33"/>
      <c r="M671" s="33"/>
      <c r="N671" s="33"/>
      <c r="O671" s="33"/>
      <c r="P671" s="33"/>
      <c r="R671" s="33"/>
      <c r="S671" s="33"/>
      <c r="T671" s="33"/>
      <c r="U671" s="33"/>
      <c r="V671" s="33"/>
      <c r="W671" s="33"/>
      <c r="X671" s="33"/>
      <c r="AA671" s="33"/>
      <c r="AC671" s="33"/>
    </row>
    <row r="672" ht="15.75" customHeight="1">
      <c r="A672" s="33"/>
      <c r="B672" s="33"/>
      <c r="F672" s="33"/>
      <c r="G672" s="33"/>
      <c r="H672" s="33"/>
      <c r="I672" s="33"/>
      <c r="J672" s="33"/>
      <c r="L672" s="33"/>
      <c r="M672" s="33"/>
      <c r="N672" s="33"/>
      <c r="O672" s="33"/>
      <c r="P672" s="33"/>
      <c r="R672" s="33"/>
      <c r="S672" s="33"/>
      <c r="T672" s="33"/>
      <c r="U672" s="33"/>
      <c r="V672" s="33"/>
      <c r="W672" s="33"/>
      <c r="X672" s="33"/>
      <c r="AA672" s="33"/>
      <c r="AC672" s="33"/>
    </row>
    <row r="673" ht="15.75" customHeight="1">
      <c r="A673" s="33"/>
      <c r="B673" s="33"/>
      <c r="F673" s="33"/>
      <c r="G673" s="33"/>
      <c r="H673" s="33"/>
      <c r="I673" s="33"/>
      <c r="J673" s="33"/>
      <c r="L673" s="33"/>
      <c r="M673" s="33"/>
      <c r="N673" s="33"/>
      <c r="O673" s="33"/>
      <c r="P673" s="33"/>
      <c r="R673" s="33"/>
      <c r="S673" s="33"/>
      <c r="T673" s="33"/>
      <c r="U673" s="33"/>
      <c r="V673" s="33"/>
      <c r="W673" s="33"/>
      <c r="X673" s="33"/>
      <c r="AA673" s="33"/>
      <c r="AC673" s="33"/>
    </row>
    <row r="674" ht="15.75" customHeight="1">
      <c r="A674" s="33"/>
      <c r="B674" s="33"/>
      <c r="F674" s="33"/>
      <c r="G674" s="33"/>
      <c r="H674" s="33"/>
      <c r="I674" s="33"/>
      <c r="J674" s="33"/>
      <c r="L674" s="33"/>
      <c r="M674" s="33"/>
      <c r="N674" s="33"/>
      <c r="O674" s="33"/>
      <c r="P674" s="33"/>
      <c r="R674" s="33"/>
      <c r="S674" s="33"/>
      <c r="T674" s="33"/>
      <c r="U674" s="33"/>
      <c r="V674" s="33"/>
      <c r="W674" s="33"/>
      <c r="X674" s="33"/>
      <c r="AA674" s="33"/>
      <c r="AC674" s="33"/>
    </row>
    <row r="675" ht="15.75" customHeight="1">
      <c r="A675" s="33"/>
      <c r="B675" s="33"/>
      <c r="F675" s="33"/>
      <c r="G675" s="33"/>
      <c r="H675" s="33"/>
      <c r="I675" s="33"/>
      <c r="J675" s="33"/>
      <c r="L675" s="33"/>
      <c r="M675" s="33"/>
      <c r="N675" s="33"/>
      <c r="O675" s="33"/>
      <c r="P675" s="33"/>
      <c r="R675" s="33"/>
      <c r="S675" s="33"/>
      <c r="T675" s="33"/>
      <c r="U675" s="33"/>
      <c r="V675" s="33"/>
      <c r="W675" s="33"/>
      <c r="X675" s="33"/>
      <c r="AA675" s="33"/>
      <c r="AC675" s="33"/>
    </row>
    <row r="676" ht="15.75" customHeight="1">
      <c r="A676" s="33"/>
      <c r="B676" s="33"/>
      <c r="F676" s="33"/>
      <c r="G676" s="33"/>
      <c r="H676" s="33"/>
      <c r="I676" s="33"/>
      <c r="J676" s="33"/>
      <c r="L676" s="33"/>
      <c r="M676" s="33"/>
      <c r="N676" s="33"/>
      <c r="O676" s="33"/>
      <c r="P676" s="33"/>
      <c r="R676" s="33"/>
      <c r="S676" s="33"/>
      <c r="T676" s="33"/>
      <c r="U676" s="33"/>
      <c r="V676" s="33"/>
      <c r="W676" s="33"/>
      <c r="X676" s="33"/>
      <c r="AA676" s="33"/>
      <c r="AC676" s="33"/>
    </row>
    <row r="677" ht="15.75" customHeight="1">
      <c r="A677" s="33"/>
      <c r="B677" s="33"/>
      <c r="F677" s="33"/>
      <c r="G677" s="33"/>
      <c r="H677" s="33"/>
      <c r="I677" s="33"/>
      <c r="J677" s="33"/>
      <c r="L677" s="33"/>
      <c r="M677" s="33"/>
      <c r="N677" s="33"/>
      <c r="O677" s="33"/>
      <c r="P677" s="33"/>
      <c r="R677" s="33"/>
      <c r="S677" s="33"/>
      <c r="T677" s="33"/>
      <c r="U677" s="33"/>
      <c r="V677" s="33"/>
      <c r="W677" s="33"/>
      <c r="X677" s="33"/>
      <c r="AA677" s="33"/>
      <c r="AC677" s="33"/>
    </row>
    <row r="678" ht="15.75" customHeight="1">
      <c r="A678" s="33"/>
      <c r="B678" s="33"/>
      <c r="F678" s="33"/>
      <c r="G678" s="33"/>
      <c r="H678" s="33"/>
      <c r="I678" s="33"/>
      <c r="J678" s="33"/>
      <c r="L678" s="33"/>
      <c r="M678" s="33"/>
      <c r="N678" s="33"/>
      <c r="O678" s="33"/>
      <c r="P678" s="33"/>
      <c r="R678" s="33"/>
      <c r="S678" s="33"/>
      <c r="T678" s="33"/>
      <c r="U678" s="33"/>
      <c r="V678" s="33"/>
      <c r="W678" s="33"/>
      <c r="X678" s="33"/>
      <c r="AA678" s="33"/>
      <c r="AC678" s="33"/>
    </row>
    <row r="679" ht="15.75" customHeight="1">
      <c r="A679" s="33"/>
      <c r="B679" s="33"/>
      <c r="F679" s="33"/>
      <c r="G679" s="33"/>
      <c r="H679" s="33"/>
      <c r="I679" s="33"/>
      <c r="J679" s="33"/>
      <c r="L679" s="33"/>
      <c r="M679" s="33"/>
      <c r="N679" s="33"/>
      <c r="O679" s="33"/>
      <c r="P679" s="33"/>
      <c r="R679" s="33"/>
      <c r="S679" s="33"/>
      <c r="T679" s="33"/>
      <c r="U679" s="33"/>
      <c r="V679" s="33"/>
      <c r="W679" s="33"/>
      <c r="X679" s="33"/>
      <c r="AA679" s="33"/>
      <c r="AC679" s="33"/>
    </row>
    <row r="680" ht="15.75" customHeight="1">
      <c r="A680" s="33"/>
      <c r="B680" s="33"/>
      <c r="F680" s="33"/>
      <c r="G680" s="33"/>
      <c r="H680" s="33"/>
      <c r="I680" s="33"/>
      <c r="J680" s="33"/>
      <c r="L680" s="33"/>
      <c r="M680" s="33"/>
      <c r="N680" s="33"/>
      <c r="O680" s="33"/>
      <c r="P680" s="33"/>
      <c r="R680" s="33"/>
      <c r="S680" s="33"/>
      <c r="T680" s="33"/>
      <c r="U680" s="33"/>
      <c r="V680" s="33"/>
      <c r="W680" s="33"/>
      <c r="X680" s="33"/>
      <c r="AA680" s="33"/>
      <c r="AC680" s="33"/>
    </row>
    <row r="681" ht="15.75" customHeight="1">
      <c r="A681" s="33"/>
      <c r="B681" s="33"/>
      <c r="F681" s="33"/>
      <c r="G681" s="33"/>
      <c r="H681" s="33"/>
      <c r="I681" s="33"/>
      <c r="J681" s="33"/>
      <c r="L681" s="33"/>
      <c r="M681" s="33"/>
      <c r="N681" s="33"/>
      <c r="O681" s="33"/>
      <c r="P681" s="33"/>
      <c r="R681" s="33"/>
      <c r="S681" s="33"/>
      <c r="T681" s="33"/>
      <c r="U681" s="33"/>
      <c r="V681" s="33"/>
      <c r="W681" s="33"/>
      <c r="X681" s="33"/>
      <c r="AA681" s="33"/>
      <c r="AC681" s="33"/>
    </row>
    <row r="682" ht="15.75" customHeight="1">
      <c r="A682" s="33"/>
      <c r="B682" s="33"/>
      <c r="F682" s="33"/>
      <c r="G682" s="33"/>
      <c r="H682" s="33"/>
      <c r="I682" s="33"/>
      <c r="J682" s="33"/>
      <c r="L682" s="33"/>
      <c r="M682" s="33"/>
      <c r="N682" s="33"/>
      <c r="O682" s="33"/>
      <c r="P682" s="33"/>
      <c r="R682" s="33"/>
      <c r="S682" s="33"/>
      <c r="T682" s="33"/>
      <c r="U682" s="33"/>
      <c r="V682" s="33"/>
      <c r="W682" s="33"/>
      <c r="X682" s="33"/>
      <c r="AA682" s="33"/>
      <c r="AC682" s="33"/>
    </row>
    <row r="683" ht="15.75" customHeight="1">
      <c r="A683" s="33"/>
      <c r="B683" s="33"/>
      <c r="F683" s="33"/>
      <c r="G683" s="33"/>
      <c r="H683" s="33"/>
      <c r="I683" s="33"/>
      <c r="J683" s="33"/>
      <c r="L683" s="33"/>
      <c r="M683" s="33"/>
      <c r="N683" s="33"/>
      <c r="O683" s="33"/>
      <c r="P683" s="33"/>
      <c r="R683" s="33"/>
      <c r="S683" s="33"/>
      <c r="T683" s="33"/>
      <c r="U683" s="33"/>
      <c r="V683" s="33"/>
      <c r="W683" s="33"/>
      <c r="X683" s="33"/>
      <c r="AA683" s="33"/>
      <c r="AC683" s="33"/>
    </row>
    <row r="684" ht="15.75" customHeight="1">
      <c r="A684" s="33"/>
      <c r="B684" s="33"/>
      <c r="F684" s="33"/>
      <c r="G684" s="33"/>
      <c r="H684" s="33"/>
      <c r="I684" s="33"/>
      <c r="J684" s="33"/>
      <c r="L684" s="33"/>
      <c r="M684" s="33"/>
      <c r="N684" s="33"/>
      <c r="O684" s="33"/>
      <c r="P684" s="33"/>
      <c r="R684" s="33"/>
      <c r="S684" s="33"/>
      <c r="T684" s="33"/>
      <c r="U684" s="33"/>
      <c r="V684" s="33"/>
      <c r="W684" s="33"/>
      <c r="X684" s="33"/>
      <c r="AA684" s="33"/>
      <c r="AC684" s="33"/>
    </row>
    <row r="685" ht="15.75" customHeight="1">
      <c r="A685" s="33"/>
      <c r="B685" s="33"/>
      <c r="F685" s="33"/>
      <c r="G685" s="33"/>
      <c r="H685" s="33"/>
      <c r="I685" s="33"/>
      <c r="J685" s="33"/>
      <c r="L685" s="33"/>
      <c r="M685" s="33"/>
      <c r="N685" s="33"/>
      <c r="O685" s="33"/>
      <c r="P685" s="33"/>
      <c r="R685" s="33"/>
      <c r="S685" s="33"/>
      <c r="T685" s="33"/>
      <c r="U685" s="33"/>
      <c r="V685" s="33"/>
      <c r="W685" s="33"/>
      <c r="X685" s="33"/>
      <c r="AA685" s="33"/>
      <c r="AC685" s="33"/>
    </row>
    <row r="686" ht="15.75" customHeight="1">
      <c r="A686" s="33"/>
      <c r="B686" s="33"/>
      <c r="F686" s="33"/>
      <c r="G686" s="33"/>
      <c r="H686" s="33"/>
      <c r="I686" s="33"/>
      <c r="J686" s="33"/>
      <c r="L686" s="33"/>
      <c r="M686" s="33"/>
      <c r="N686" s="33"/>
      <c r="O686" s="33"/>
      <c r="P686" s="33"/>
      <c r="R686" s="33"/>
      <c r="S686" s="33"/>
      <c r="T686" s="33"/>
      <c r="U686" s="33"/>
      <c r="V686" s="33"/>
      <c r="W686" s="33"/>
      <c r="X686" s="33"/>
      <c r="AA686" s="33"/>
      <c r="AC686" s="33"/>
    </row>
    <row r="687" ht="15.75" customHeight="1">
      <c r="A687" s="33"/>
      <c r="B687" s="33"/>
      <c r="F687" s="33"/>
      <c r="G687" s="33"/>
      <c r="H687" s="33"/>
      <c r="I687" s="33"/>
      <c r="J687" s="33"/>
      <c r="L687" s="33"/>
      <c r="M687" s="33"/>
      <c r="N687" s="33"/>
      <c r="O687" s="33"/>
      <c r="P687" s="33"/>
      <c r="R687" s="33"/>
      <c r="S687" s="33"/>
      <c r="T687" s="33"/>
      <c r="U687" s="33"/>
      <c r="V687" s="33"/>
      <c r="W687" s="33"/>
      <c r="X687" s="33"/>
      <c r="AA687" s="33"/>
      <c r="AC687" s="33"/>
    </row>
    <row r="688" ht="15.75" customHeight="1">
      <c r="A688" s="33"/>
      <c r="B688" s="33"/>
      <c r="F688" s="33"/>
      <c r="G688" s="33"/>
      <c r="H688" s="33"/>
      <c r="I688" s="33"/>
      <c r="J688" s="33"/>
      <c r="L688" s="33"/>
      <c r="M688" s="33"/>
      <c r="N688" s="33"/>
      <c r="O688" s="33"/>
      <c r="P688" s="33"/>
      <c r="R688" s="33"/>
      <c r="S688" s="33"/>
      <c r="T688" s="33"/>
      <c r="U688" s="33"/>
      <c r="V688" s="33"/>
      <c r="W688" s="33"/>
      <c r="X688" s="33"/>
      <c r="AA688" s="33"/>
      <c r="AC688" s="33"/>
    </row>
    <row r="689" ht="15.75" customHeight="1">
      <c r="A689" s="33"/>
      <c r="B689" s="33"/>
      <c r="F689" s="33"/>
      <c r="G689" s="33"/>
      <c r="H689" s="33"/>
      <c r="I689" s="33"/>
      <c r="J689" s="33"/>
      <c r="L689" s="33"/>
      <c r="M689" s="33"/>
      <c r="N689" s="33"/>
      <c r="O689" s="33"/>
      <c r="P689" s="33"/>
      <c r="R689" s="33"/>
      <c r="S689" s="33"/>
      <c r="T689" s="33"/>
      <c r="U689" s="33"/>
      <c r="V689" s="33"/>
      <c r="W689" s="33"/>
      <c r="X689" s="33"/>
      <c r="AA689" s="33"/>
      <c r="AC689" s="33"/>
    </row>
    <row r="690" ht="15.75" customHeight="1">
      <c r="A690" s="33"/>
      <c r="B690" s="33"/>
      <c r="F690" s="33"/>
      <c r="G690" s="33"/>
      <c r="H690" s="33"/>
      <c r="I690" s="33"/>
      <c r="J690" s="33"/>
      <c r="L690" s="33"/>
      <c r="M690" s="33"/>
      <c r="N690" s="33"/>
      <c r="O690" s="33"/>
      <c r="P690" s="33"/>
      <c r="R690" s="33"/>
      <c r="S690" s="33"/>
      <c r="T690" s="33"/>
      <c r="U690" s="33"/>
      <c r="V690" s="33"/>
      <c r="W690" s="33"/>
      <c r="X690" s="33"/>
      <c r="AA690" s="33"/>
      <c r="AC690" s="33"/>
    </row>
    <row r="691" ht="15.75" customHeight="1">
      <c r="A691" s="33"/>
      <c r="B691" s="33"/>
      <c r="F691" s="33"/>
      <c r="G691" s="33"/>
      <c r="H691" s="33"/>
      <c r="I691" s="33"/>
      <c r="J691" s="33"/>
      <c r="L691" s="33"/>
      <c r="M691" s="33"/>
      <c r="N691" s="33"/>
      <c r="O691" s="33"/>
      <c r="P691" s="33"/>
      <c r="R691" s="33"/>
      <c r="S691" s="33"/>
      <c r="T691" s="33"/>
      <c r="U691" s="33"/>
      <c r="V691" s="33"/>
      <c r="W691" s="33"/>
      <c r="X691" s="33"/>
      <c r="AA691" s="33"/>
      <c r="AC691" s="33"/>
    </row>
    <row r="692" ht="15.75" customHeight="1">
      <c r="A692" s="33"/>
      <c r="B692" s="33"/>
      <c r="F692" s="33"/>
      <c r="G692" s="33"/>
      <c r="H692" s="33"/>
      <c r="I692" s="33"/>
      <c r="J692" s="33"/>
      <c r="L692" s="33"/>
      <c r="M692" s="33"/>
      <c r="N692" s="33"/>
      <c r="O692" s="33"/>
      <c r="P692" s="33"/>
      <c r="R692" s="33"/>
      <c r="S692" s="33"/>
      <c r="T692" s="33"/>
      <c r="U692" s="33"/>
      <c r="V692" s="33"/>
      <c r="W692" s="33"/>
      <c r="X692" s="33"/>
      <c r="AA692" s="33"/>
      <c r="AC692" s="33"/>
    </row>
    <row r="693" ht="15.75" customHeight="1">
      <c r="A693" s="33"/>
      <c r="B693" s="33"/>
      <c r="F693" s="33"/>
      <c r="G693" s="33"/>
      <c r="H693" s="33"/>
      <c r="I693" s="33"/>
      <c r="J693" s="33"/>
      <c r="L693" s="33"/>
      <c r="M693" s="33"/>
      <c r="N693" s="33"/>
      <c r="O693" s="33"/>
      <c r="P693" s="33"/>
      <c r="R693" s="33"/>
      <c r="S693" s="33"/>
      <c r="T693" s="33"/>
      <c r="U693" s="33"/>
      <c r="V693" s="33"/>
      <c r="W693" s="33"/>
      <c r="X693" s="33"/>
      <c r="AA693" s="33"/>
      <c r="AC693" s="33"/>
    </row>
    <row r="694" ht="15.75" customHeight="1">
      <c r="A694" s="33"/>
      <c r="B694" s="33"/>
      <c r="F694" s="33"/>
      <c r="G694" s="33"/>
      <c r="H694" s="33"/>
      <c r="I694" s="33"/>
      <c r="J694" s="33"/>
      <c r="L694" s="33"/>
      <c r="M694" s="33"/>
      <c r="N694" s="33"/>
      <c r="O694" s="33"/>
      <c r="P694" s="33"/>
      <c r="R694" s="33"/>
      <c r="S694" s="33"/>
      <c r="T694" s="33"/>
      <c r="U694" s="33"/>
      <c r="V694" s="33"/>
      <c r="W694" s="33"/>
      <c r="X694" s="33"/>
      <c r="AA694" s="33"/>
      <c r="AC694" s="33"/>
    </row>
    <row r="695" ht="15.75" customHeight="1">
      <c r="A695" s="33"/>
      <c r="B695" s="33"/>
      <c r="F695" s="33"/>
      <c r="G695" s="33"/>
      <c r="H695" s="33"/>
      <c r="I695" s="33"/>
      <c r="J695" s="33"/>
      <c r="L695" s="33"/>
      <c r="M695" s="33"/>
      <c r="N695" s="33"/>
      <c r="O695" s="33"/>
      <c r="P695" s="33"/>
      <c r="R695" s="33"/>
      <c r="S695" s="33"/>
      <c r="T695" s="33"/>
      <c r="U695" s="33"/>
      <c r="V695" s="33"/>
      <c r="W695" s="33"/>
      <c r="X695" s="33"/>
      <c r="AA695" s="33"/>
      <c r="AC695" s="33"/>
    </row>
    <row r="696" ht="15.75" customHeight="1">
      <c r="A696" s="33"/>
      <c r="B696" s="33"/>
      <c r="F696" s="33"/>
      <c r="G696" s="33"/>
      <c r="H696" s="33"/>
      <c r="I696" s="33"/>
      <c r="J696" s="33"/>
      <c r="L696" s="33"/>
      <c r="M696" s="33"/>
      <c r="N696" s="33"/>
      <c r="O696" s="33"/>
      <c r="P696" s="33"/>
      <c r="R696" s="33"/>
      <c r="S696" s="33"/>
      <c r="T696" s="33"/>
      <c r="U696" s="33"/>
      <c r="V696" s="33"/>
      <c r="W696" s="33"/>
      <c r="X696" s="33"/>
      <c r="AA696" s="33"/>
      <c r="AC696" s="33"/>
    </row>
    <row r="697" ht="15.75" customHeight="1">
      <c r="A697" s="33"/>
      <c r="B697" s="33"/>
      <c r="F697" s="33"/>
      <c r="G697" s="33"/>
      <c r="H697" s="33"/>
      <c r="I697" s="33"/>
      <c r="J697" s="33"/>
      <c r="L697" s="33"/>
      <c r="M697" s="33"/>
      <c r="N697" s="33"/>
      <c r="O697" s="33"/>
      <c r="P697" s="33"/>
      <c r="R697" s="33"/>
      <c r="S697" s="33"/>
      <c r="T697" s="33"/>
      <c r="U697" s="33"/>
      <c r="V697" s="33"/>
      <c r="W697" s="33"/>
      <c r="X697" s="33"/>
      <c r="AA697" s="33"/>
      <c r="AC697" s="33"/>
    </row>
    <row r="698" ht="15.75" customHeight="1">
      <c r="A698" s="33"/>
      <c r="B698" s="33"/>
      <c r="F698" s="33"/>
      <c r="G698" s="33"/>
      <c r="H698" s="33"/>
      <c r="I698" s="33"/>
      <c r="J698" s="33"/>
      <c r="L698" s="33"/>
      <c r="M698" s="33"/>
      <c r="N698" s="33"/>
      <c r="O698" s="33"/>
      <c r="P698" s="33"/>
      <c r="R698" s="33"/>
      <c r="S698" s="33"/>
      <c r="T698" s="33"/>
      <c r="U698" s="33"/>
      <c r="V698" s="33"/>
      <c r="W698" s="33"/>
      <c r="X698" s="33"/>
      <c r="AA698" s="33"/>
      <c r="AC698" s="33"/>
    </row>
    <row r="699" ht="15.75" customHeight="1">
      <c r="A699" s="33"/>
      <c r="B699" s="33"/>
      <c r="F699" s="33"/>
      <c r="G699" s="33"/>
      <c r="H699" s="33"/>
      <c r="I699" s="33"/>
      <c r="J699" s="33"/>
      <c r="L699" s="33"/>
      <c r="M699" s="33"/>
      <c r="N699" s="33"/>
      <c r="O699" s="33"/>
      <c r="P699" s="33"/>
      <c r="R699" s="33"/>
      <c r="S699" s="33"/>
      <c r="T699" s="33"/>
      <c r="U699" s="33"/>
      <c r="V699" s="33"/>
      <c r="W699" s="33"/>
      <c r="X699" s="33"/>
      <c r="AA699" s="33"/>
      <c r="AC699" s="33"/>
    </row>
    <row r="700" ht="15.75" customHeight="1">
      <c r="A700" s="33"/>
      <c r="B700" s="33"/>
      <c r="F700" s="33"/>
      <c r="G700" s="33"/>
      <c r="H700" s="33"/>
      <c r="I700" s="33"/>
      <c r="J700" s="33"/>
      <c r="L700" s="33"/>
      <c r="M700" s="33"/>
      <c r="N700" s="33"/>
      <c r="O700" s="33"/>
      <c r="P700" s="33"/>
      <c r="R700" s="33"/>
      <c r="S700" s="33"/>
      <c r="T700" s="33"/>
      <c r="U700" s="33"/>
      <c r="V700" s="33"/>
      <c r="W700" s="33"/>
      <c r="X700" s="33"/>
      <c r="AA700" s="33"/>
      <c r="AC700" s="33"/>
    </row>
    <row r="701" ht="15.75" customHeight="1">
      <c r="A701" s="33"/>
      <c r="B701" s="33"/>
      <c r="F701" s="33"/>
      <c r="G701" s="33"/>
      <c r="H701" s="33"/>
      <c r="I701" s="33"/>
      <c r="J701" s="33"/>
      <c r="L701" s="33"/>
      <c r="M701" s="33"/>
      <c r="N701" s="33"/>
      <c r="O701" s="33"/>
      <c r="P701" s="33"/>
      <c r="R701" s="33"/>
      <c r="S701" s="33"/>
      <c r="T701" s="33"/>
      <c r="U701" s="33"/>
      <c r="V701" s="33"/>
      <c r="W701" s="33"/>
      <c r="X701" s="33"/>
      <c r="AA701" s="33"/>
      <c r="AC701" s="33"/>
    </row>
    <row r="702" ht="15.75" customHeight="1">
      <c r="A702" s="33"/>
      <c r="B702" s="33"/>
      <c r="F702" s="33"/>
      <c r="G702" s="33"/>
      <c r="H702" s="33"/>
      <c r="I702" s="33"/>
      <c r="J702" s="33"/>
      <c r="L702" s="33"/>
      <c r="M702" s="33"/>
      <c r="N702" s="33"/>
      <c r="O702" s="33"/>
      <c r="P702" s="33"/>
      <c r="R702" s="33"/>
      <c r="S702" s="33"/>
      <c r="T702" s="33"/>
      <c r="U702" s="33"/>
      <c r="V702" s="33"/>
      <c r="W702" s="33"/>
      <c r="X702" s="33"/>
      <c r="AA702" s="33"/>
      <c r="AC702" s="33"/>
    </row>
    <row r="703" ht="15.75" customHeight="1">
      <c r="A703" s="33"/>
      <c r="B703" s="33"/>
      <c r="F703" s="33"/>
      <c r="G703" s="33"/>
      <c r="H703" s="33"/>
      <c r="I703" s="33"/>
      <c r="J703" s="33"/>
      <c r="L703" s="33"/>
      <c r="M703" s="33"/>
      <c r="N703" s="33"/>
      <c r="O703" s="33"/>
      <c r="P703" s="33"/>
      <c r="R703" s="33"/>
      <c r="S703" s="33"/>
      <c r="T703" s="33"/>
      <c r="U703" s="33"/>
      <c r="V703" s="33"/>
      <c r="W703" s="33"/>
      <c r="X703" s="33"/>
      <c r="AA703" s="33"/>
      <c r="AC703" s="33"/>
    </row>
    <row r="704" ht="15.75" customHeight="1">
      <c r="A704" s="33"/>
      <c r="B704" s="33"/>
      <c r="F704" s="33"/>
      <c r="G704" s="33"/>
      <c r="H704" s="33"/>
      <c r="I704" s="33"/>
      <c r="J704" s="33"/>
      <c r="L704" s="33"/>
      <c r="M704" s="33"/>
      <c r="N704" s="33"/>
      <c r="O704" s="33"/>
      <c r="P704" s="33"/>
      <c r="R704" s="33"/>
      <c r="S704" s="33"/>
      <c r="T704" s="33"/>
      <c r="U704" s="33"/>
      <c r="V704" s="33"/>
      <c r="W704" s="33"/>
      <c r="X704" s="33"/>
      <c r="AA704" s="33"/>
      <c r="AC704" s="33"/>
    </row>
    <row r="705" ht="15.75" customHeight="1">
      <c r="A705" s="33"/>
      <c r="B705" s="33"/>
      <c r="F705" s="33"/>
      <c r="G705" s="33"/>
      <c r="H705" s="33"/>
      <c r="I705" s="33"/>
      <c r="J705" s="33"/>
      <c r="L705" s="33"/>
      <c r="M705" s="33"/>
      <c r="N705" s="33"/>
      <c r="O705" s="33"/>
      <c r="P705" s="33"/>
      <c r="R705" s="33"/>
      <c r="S705" s="33"/>
      <c r="T705" s="33"/>
      <c r="U705" s="33"/>
      <c r="V705" s="33"/>
      <c r="W705" s="33"/>
      <c r="X705" s="33"/>
      <c r="AA705" s="33"/>
      <c r="AC705" s="33"/>
    </row>
    <row r="706" ht="15.75" customHeight="1">
      <c r="A706" s="33"/>
      <c r="B706" s="33"/>
      <c r="F706" s="33"/>
      <c r="G706" s="33"/>
      <c r="H706" s="33"/>
      <c r="I706" s="33"/>
      <c r="J706" s="33"/>
      <c r="L706" s="33"/>
      <c r="M706" s="33"/>
      <c r="N706" s="33"/>
      <c r="O706" s="33"/>
      <c r="P706" s="33"/>
      <c r="R706" s="33"/>
      <c r="S706" s="33"/>
      <c r="T706" s="33"/>
      <c r="U706" s="33"/>
      <c r="V706" s="33"/>
      <c r="W706" s="33"/>
      <c r="X706" s="33"/>
      <c r="AA706" s="33"/>
      <c r="AC706" s="33"/>
    </row>
    <row r="707" ht="15.75" customHeight="1">
      <c r="A707" s="33"/>
      <c r="B707" s="33"/>
      <c r="F707" s="33"/>
      <c r="G707" s="33"/>
      <c r="H707" s="33"/>
      <c r="I707" s="33"/>
      <c r="J707" s="33"/>
      <c r="L707" s="33"/>
      <c r="M707" s="33"/>
      <c r="N707" s="33"/>
      <c r="O707" s="33"/>
      <c r="P707" s="33"/>
      <c r="R707" s="33"/>
      <c r="S707" s="33"/>
      <c r="T707" s="33"/>
      <c r="U707" s="33"/>
      <c r="V707" s="33"/>
      <c r="W707" s="33"/>
      <c r="X707" s="33"/>
      <c r="AA707" s="33"/>
      <c r="AC707" s="33"/>
    </row>
    <row r="708" ht="15.75" customHeight="1">
      <c r="A708" s="33"/>
      <c r="B708" s="33"/>
      <c r="F708" s="33"/>
      <c r="G708" s="33"/>
      <c r="H708" s="33"/>
      <c r="I708" s="33"/>
      <c r="J708" s="33"/>
      <c r="L708" s="33"/>
      <c r="M708" s="33"/>
      <c r="N708" s="33"/>
      <c r="O708" s="33"/>
      <c r="P708" s="33"/>
      <c r="R708" s="33"/>
      <c r="S708" s="33"/>
      <c r="T708" s="33"/>
      <c r="U708" s="33"/>
      <c r="V708" s="33"/>
      <c r="W708" s="33"/>
      <c r="X708" s="33"/>
      <c r="AA708" s="33"/>
      <c r="AC708" s="33"/>
    </row>
    <row r="709" ht="15.75" customHeight="1">
      <c r="A709" s="33"/>
      <c r="B709" s="33"/>
      <c r="F709" s="33"/>
      <c r="G709" s="33"/>
      <c r="H709" s="33"/>
      <c r="I709" s="33"/>
      <c r="J709" s="33"/>
      <c r="L709" s="33"/>
      <c r="M709" s="33"/>
      <c r="N709" s="33"/>
      <c r="O709" s="33"/>
      <c r="P709" s="33"/>
      <c r="R709" s="33"/>
      <c r="S709" s="33"/>
      <c r="T709" s="33"/>
      <c r="U709" s="33"/>
      <c r="V709" s="33"/>
      <c r="W709" s="33"/>
      <c r="X709" s="33"/>
      <c r="AA709" s="33"/>
      <c r="AC709" s="33"/>
    </row>
    <row r="710" ht="15.75" customHeight="1">
      <c r="A710" s="33"/>
      <c r="B710" s="33"/>
      <c r="F710" s="33"/>
      <c r="G710" s="33"/>
      <c r="H710" s="33"/>
      <c r="I710" s="33"/>
      <c r="J710" s="33"/>
      <c r="L710" s="33"/>
      <c r="M710" s="33"/>
      <c r="N710" s="33"/>
      <c r="O710" s="33"/>
      <c r="P710" s="33"/>
      <c r="R710" s="33"/>
      <c r="S710" s="33"/>
      <c r="T710" s="33"/>
      <c r="U710" s="33"/>
      <c r="V710" s="33"/>
      <c r="W710" s="33"/>
      <c r="X710" s="33"/>
      <c r="AA710" s="33"/>
      <c r="AC710" s="33"/>
    </row>
    <row r="711" ht="15.75" customHeight="1">
      <c r="A711" s="33"/>
      <c r="B711" s="33"/>
      <c r="F711" s="33"/>
      <c r="G711" s="33"/>
      <c r="H711" s="33"/>
      <c r="I711" s="33"/>
      <c r="J711" s="33"/>
      <c r="L711" s="33"/>
      <c r="M711" s="33"/>
      <c r="N711" s="33"/>
      <c r="O711" s="33"/>
      <c r="P711" s="33"/>
      <c r="R711" s="33"/>
      <c r="S711" s="33"/>
      <c r="T711" s="33"/>
      <c r="U711" s="33"/>
      <c r="V711" s="33"/>
      <c r="W711" s="33"/>
      <c r="X711" s="33"/>
      <c r="AA711" s="33"/>
      <c r="AC711" s="33"/>
    </row>
    <row r="712" ht="15.75" customHeight="1">
      <c r="A712" s="33"/>
      <c r="B712" s="33"/>
      <c r="F712" s="33"/>
      <c r="G712" s="33"/>
      <c r="H712" s="33"/>
      <c r="I712" s="33"/>
      <c r="J712" s="33"/>
      <c r="L712" s="33"/>
      <c r="M712" s="33"/>
      <c r="N712" s="33"/>
      <c r="O712" s="33"/>
      <c r="P712" s="33"/>
      <c r="R712" s="33"/>
      <c r="S712" s="33"/>
      <c r="T712" s="33"/>
      <c r="U712" s="33"/>
      <c r="V712" s="33"/>
      <c r="W712" s="33"/>
      <c r="X712" s="33"/>
      <c r="AA712" s="33"/>
      <c r="AC712" s="33"/>
    </row>
    <row r="713" ht="15.75" customHeight="1">
      <c r="A713" s="33"/>
      <c r="B713" s="33"/>
      <c r="F713" s="33"/>
      <c r="G713" s="33"/>
      <c r="H713" s="33"/>
      <c r="I713" s="33"/>
      <c r="J713" s="33"/>
      <c r="L713" s="33"/>
      <c r="M713" s="33"/>
      <c r="N713" s="33"/>
      <c r="O713" s="33"/>
      <c r="P713" s="33"/>
      <c r="R713" s="33"/>
      <c r="S713" s="33"/>
      <c r="T713" s="33"/>
      <c r="U713" s="33"/>
      <c r="V713" s="33"/>
      <c r="W713" s="33"/>
      <c r="X713" s="33"/>
      <c r="AA713" s="33"/>
      <c r="AC713" s="33"/>
    </row>
    <row r="714" ht="15.75" customHeight="1">
      <c r="A714" s="33"/>
      <c r="B714" s="33"/>
      <c r="F714" s="33"/>
      <c r="G714" s="33"/>
      <c r="H714" s="33"/>
      <c r="I714" s="33"/>
      <c r="J714" s="33"/>
      <c r="L714" s="33"/>
      <c r="M714" s="33"/>
      <c r="N714" s="33"/>
      <c r="O714" s="33"/>
      <c r="P714" s="33"/>
      <c r="R714" s="33"/>
      <c r="S714" s="33"/>
      <c r="T714" s="33"/>
      <c r="U714" s="33"/>
      <c r="V714" s="33"/>
      <c r="W714" s="33"/>
      <c r="X714" s="33"/>
      <c r="AA714" s="33"/>
      <c r="AC714" s="33"/>
    </row>
    <row r="715" ht="15.75" customHeight="1">
      <c r="A715" s="33"/>
      <c r="B715" s="33"/>
      <c r="F715" s="33"/>
      <c r="G715" s="33"/>
      <c r="H715" s="33"/>
      <c r="I715" s="33"/>
      <c r="J715" s="33"/>
      <c r="L715" s="33"/>
      <c r="M715" s="33"/>
      <c r="N715" s="33"/>
      <c r="O715" s="33"/>
      <c r="P715" s="33"/>
      <c r="R715" s="33"/>
      <c r="S715" s="33"/>
      <c r="T715" s="33"/>
      <c r="U715" s="33"/>
      <c r="V715" s="33"/>
      <c r="W715" s="33"/>
      <c r="X715" s="33"/>
      <c r="AA715" s="33"/>
      <c r="AC715" s="33"/>
    </row>
    <row r="716" ht="15.75" customHeight="1">
      <c r="A716" s="33"/>
      <c r="B716" s="33"/>
      <c r="F716" s="33"/>
      <c r="G716" s="33"/>
      <c r="H716" s="33"/>
      <c r="I716" s="33"/>
      <c r="J716" s="33"/>
      <c r="L716" s="33"/>
      <c r="M716" s="33"/>
      <c r="N716" s="33"/>
      <c r="O716" s="33"/>
      <c r="P716" s="33"/>
      <c r="R716" s="33"/>
      <c r="S716" s="33"/>
      <c r="T716" s="33"/>
      <c r="U716" s="33"/>
      <c r="V716" s="33"/>
      <c r="W716" s="33"/>
      <c r="X716" s="33"/>
      <c r="AA716" s="33"/>
      <c r="AC716" s="33"/>
    </row>
    <row r="717" ht="15.75" customHeight="1">
      <c r="A717" s="33"/>
      <c r="B717" s="33"/>
      <c r="F717" s="33"/>
      <c r="G717" s="33"/>
      <c r="H717" s="33"/>
      <c r="I717" s="33"/>
      <c r="J717" s="33"/>
      <c r="L717" s="33"/>
      <c r="M717" s="33"/>
      <c r="N717" s="33"/>
      <c r="O717" s="33"/>
      <c r="P717" s="33"/>
      <c r="R717" s="33"/>
      <c r="S717" s="33"/>
      <c r="T717" s="33"/>
      <c r="U717" s="33"/>
      <c r="V717" s="33"/>
      <c r="W717" s="33"/>
      <c r="X717" s="33"/>
      <c r="AA717" s="33"/>
      <c r="AC717" s="33"/>
    </row>
    <row r="718" ht="15.75" customHeight="1">
      <c r="A718" s="33"/>
      <c r="B718" s="33"/>
      <c r="F718" s="33"/>
      <c r="G718" s="33"/>
      <c r="H718" s="33"/>
      <c r="I718" s="33"/>
      <c r="J718" s="33"/>
      <c r="L718" s="33"/>
      <c r="M718" s="33"/>
      <c r="N718" s="33"/>
      <c r="O718" s="33"/>
      <c r="P718" s="33"/>
      <c r="R718" s="33"/>
      <c r="S718" s="33"/>
      <c r="T718" s="33"/>
      <c r="U718" s="33"/>
      <c r="V718" s="33"/>
      <c r="W718" s="33"/>
      <c r="X718" s="33"/>
      <c r="AA718" s="33"/>
      <c r="AC718" s="33"/>
    </row>
    <row r="719" ht="15.75" customHeight="1">
      <c r="A719" s="33"/>
      <c r="B719" s="33"/>
      <c r="F719" s="33"/>
      <c r="G719" s="33"/>
      <c r="H719" s="33"/>
      <c r="I719" s="33"/>
      <c r="J719" s="33"/>
      <c r="L719" s="33"/>
      <c r="M719" s="33"/>
      <c r="N719" s="33"/>
      <c r="O719" s="33"/>
      <c r="P719" s="33"/>
      <c r="R719" s="33"/>
      <c r="S719" s="33"/>
      <c r="T719" s="33"/>
      <c r="U719" s="33"/>
      <c r="V719" s="33"/>
      <c r="W719" s="33"/>
      <c r="X719" s="33"/>
      <c r="AA719" s="33"/>
      <c r="AC719" s="33"/>
    </row>
    <row r="720" ht="15.75" customHeight="1">
      <c r="A720" s="33"/>
      <c r="B720" s="33"/>
      <c r="F720" s="33"/>
      <c r="G720" s="33"/>
      <c r="H720" s="33"/>
      <c r="I720" s="33"/>
      <c r="J720" s="33"/>
      <c r="L720" s="33"/>
      <c r="M720" s="33"/>
      <c r="N720" s="33"/>
      <c r="O720" s="33"/>
      <c r="P720" s="33"/>
      <c r="R720" s="33"/>
      <c r="S720" s="33"/>
      <c r="T720" s="33"/>
      <c r="U720" s="33"/>
      <c r="V720" s="33"/>
      <c r="W720" s="33"/>
      <c r="X720" s="33"/>
      <c r="AA720" s="33"/>
      <c r="AC720" s="33"/>
    </row>
    <row r="721" ht="15.75" customHeight="1">
      <c r="A721" s="33"/>
      <c r="B721" s="33"/>
      <c r="F721" s="33"/>
      <c r="G721" s="33"/>
      <c r="H721" s="33"/>
      <c r="I721" s="33"/>
      <c r="J721" s="33"/>
      <c r="L721" s="33"/>
      <c r="M721" s="33"/>
      <c r="N721" s="33"/>
      <c r="O721" s="33"/>
      <c r="P721" s="33"/>
      <c r="R721" s="33"/>
      <c r="S721" s="33"/>
      <c r="T721" s="33"/>
      <c r="U721" s="33"/>
      <c r="V721" s="33"/>
      <c r="W721" s="33"/>
      <c r="X721" s="33"/>
      <c r="AA721" s="33"/>
      <c r="AC721" s="33"/>
    </row>
    <row r="722" ht="15.75" customHeight="1">
      <c r="A722" s="33"/>
      <c r="B722" s="33"/>
      <c r="F722" s="33"/>
      <c r="G722" s="33"/>
      <c r="H722" s="33"/>
      <c r="I722" s="33"/>
      <c r="J722" s="33"/>
      <c r="L722" s="33"/>
      <c r="M722" s="33"/>
      <c r="N722" s="33"/>
      <c r="O722" s="33"/>
      <c r="P722" s="33"/>
      <c r="R722" s="33"/>
      <c r="S722" s="33"/>
      <c r="T722" s="33"/>
      <c r="U722" s="33"/>
      <c r="V722" s="33"/>
      <c r="W722" s="33"/>
      <c r="X722" s="33"/>
      <c r="AA722" s="33"/>
      <c r="AC722" s="33"/>
    </row>
    <row r="723" ht="15.75" customHeight="1">
      <c r="A723" s="33"/>
      <c r="B723" s="33"/>
      <c r="F723" s="33"/>
      <c r="G723" s="33"/>
      <c r="H723" s="33"/>
      <c r="I723" s="33"/>
      <c r="J723" s="33"/>
      <c r="L723" s="33"/>
      <c r="M723" s="33"/>
      <c r="N723" s="33"/>
      <c r="O723" s="33"/>
      <c r="P723" s="33"/>
      <c r="R723" s="33"/>
      <c r="S723" s="33"/>
      <c r="T723" s="33"/>
      <c r="U723" s="33"/>
      <c r="V723" s="33"/>
      <c r="W723" s="33"/>
      <c r="X723" s="33"/>
      <c r="AA723" s="33"/>
      <c r="AC723" s="33"/>
    </row>
    <row r="724" ht="15.75" customHeight="1">
      <c r="A724" s="33"/>
      <c r="B724" s="33"/>
      <c r="F724" s="33"/>
      <c r="G724" s="33"/>
      <c r="H724" s="33"/>
      <c r="I724" s="33"/>
      <c r="J724" s="33"/>
      <c r="L724" s="33"/>
      <c r="M724" s="33"/>
      <c r="N724" s="33"/>
      <c r="O724" s="33"/>
      <c r="P724" s="33"/>
      <c r="R724" s="33"/>
      <c r="S724" s="33"/>
      <c r="T724" s="33"/>
      <c r="U724" s="33"/>
      <c r="V724" s="33"/>
      <c r="W724" s="33"/>
      <c r="X724" s="33"/>
      <c r="AA724" s="33"/>
      <c r="AC724" s="33"/>
    </row>
    <row r="725" ht="15.75" customHeight="1">
      <c r="A725" s="33"/>
      <c r="B725" s="33"/>
      <c r="F725" s="33"/>
      <c r="G725" s="33"/>
      <c r="H725" s="33"/>
      <c r="I725" s="33"/>
      <c r="J725" s="33"/>
      <c r="L725" s="33"/>
      <c r="M725" s="33"/>
      <c r="N725" s="33"/>
      <c r="O725" s="33"/>
      <c r="P725" s="33"/>
      <c r="R725" s="33"/>
      <c r="S725" s="33"/>
      <c r="T725" s="33"/>
      <c r="U725" s="33"/>
      <c r="V725" s="33"/>
      <c r="W725" s="33"/>
      <c r="X725" s="33"/>
      <c r="AA725" s="33"/>
      <c r="AC725" s="33"/>
    </row>
    <row r="726" ht="15.75" customHeight="1">
      <c r="A726" s="33"/>
      <c r="B726" s="33"/>
      <c r="F726" s="33"/>
      <c r="G726" s="33"/>
      <c r="H726" s="33"/>
      <c r="I726" s="33"/>
      <c r="J726" s="33"/>
      <c r="L726" s="33"/>
      <c r="M726" s="33"/>
      <c r="N726" s="33"/>
      <c r="O726" s="33"/>
      <c r="P726" s="33"/>
      <c r="R726" s="33"/>
      <c r="S726" s="33"/>
      <c r="T726" s="33"/>
      <c r="U726" s="33"/>
      <c r="V726" s="33"/>
      <c r="W726" s="33"/>
      <c r="X726" s="33"/>
      <c r="AA726" s="33"/>
      <c r="AC726" s="33"/>
    </row>
    <row r="727" ht="15.75" customHeight="1">
      <c r="A727" s="33"/>
      <c r="B727" s="33"/>
      <c r="F727" s="33"/>
      <c r="G727" s="33"/>
      <c r="H727" s="33"/>
      <c r="I727" s="33"/>
      <c r="J727" s="33"/>
      <c r="L727" s="33"/>
      <c r="M727" s="33"/>
      <c r="N727" s="33"/>
      <c r="O727" s="33"/>
      <c r="P727" s="33"/>
      <c r="R727" s="33"/>
      <c r="S727" s="33"/>
      <c r="T727" s="33"/>
      <c r="U727" s="33"/>
      <c r="V727" s="33"/>
      <c r="W727" s="33"/>
      <c r="X727" s="33"/>
      <c r="AA727" s="33"/>
      <c r="AC727" s="33"/>
    </row>
    <row r="728" ht="15.75" customHeight="1">
      <c r="A728" s="33"/>
      <c r="B728" s="33"/>
      <c r="F728" s="33"/>
      <c r="G728" s="33"/>
      <c r="H728" s="33"/>
      <c r="I728" s="33"/>
      <c r="J728" s="33"/>
      <c r="L728" s="33"/>
      <c r="M728" s="33"/>
      <c r="N728" s="33"/>
      <c r="O728" s="33"/>
      <c r="P728" s="33"/>
      <c r="R728" s="33"/>
      <c r="S728" s="33"/>
      <c r="T728" s="33"/>
      <c r="U728" s="33"/>
      <c r="V728" s="33"/>
      <c r="W728" s="33"/>
      <c r="X728" s="33"/>
      <c r="AA728" s="33"/>
      <c r="AC728" s="33"/>
    </row>
    <row r="729" ht="15.75" customHeight="1">
      <c r="A729" s="33"/>
      <c r="B729" s="33"/>
      <c r="F729" s="33"/>
      <c r="G729" s="33"/>
      <c r="H729" s="33"/>
      <c r="I729" s="33"/>
      <c r="J729" s="33"/>
      <c r="L729" s="33"/>
      <c r="M729" s="33"/>
      <c r="N729" s="33"/>
      <c r="O729" s="33"/>
      <c r="P729" s="33"/>
      <c r="R729" s="33"/>
      <c r="S729" s="33"/>
      <c r="T729" s="33"/>
      <c r="U729" s="33"/>
      <c r="V729" s="33"/>
      <c r="W729" s="33"/>
      <c r="X729" s="33"/>
      <c r="AA729" s="33"/>
      <c r="AC729" s="33"/>
    </row>
    <row r="730" ht="15.75" customHeight="1">
      <c r="A730" s="33"/>
      <c r="B730" s="33"/>
      <c r="F730" s="33"/>
      <c r="G730" s="33"/>
      <c r="H730" s="33"/>
      <c r="I730" s="33"/>
      <c r="J730" s="33"/>
      <c r="L730" s="33"/>
      <c r="M730" s="33"/>
      <c r="N730" s="33"/>
      <c r="O730" s="33"/>
      <c r="P730" s="33"/>
      <c r="R730" s="33"/>
      <c r="S730" s="33"/>
      <c r="T730" s="33"/>
      <c r="U730" s="33"/>
      <c r="V730" s="33"/>
      <c r="W730" s="33"/>
      <c r="X730" s="33"/>
      <c r="AA730" s="33"/>
      <c r="AC730" s="33"/>
    </row>
    <row r="731" ht="15.75" customHeight="1">
      <c r="A731" s="33"/>
      <c r="B731" s="33"/>
      <c r="F731" s="33"/>
      <c r="G731" s="33"/>
      <c r="H731" s="33"/>
      <c r="I731" s="33"/>
      <c r="J731" s="33"/>
      <c r="L731" s="33"/>
      <c r="M731" s="33"/>
      <c r="N731" s="33"/>
      <c r="O731" s="33"/>
      <c r="P731" s="33"/>
      <c r="R731" s="33"/>
      <c r="S731" s="33"/>
      <c r="T731" s="33"/>
      <c r="U731" s="33"/>
      <c r="V731" s="33"/>
      <c r="W731" s="33"/>
      <c r="X731" s="33"/>
      <c r="AA731" s="33"/>
      <c r="AC731" s="33"/>
    </row>
    <row r="732" ht="15.75" customHeight="1">
      <c r="A732" s="33"/>
      <c r="B732" s="33"/>
      <c r="F732" s="33"/>
      <c r="G732" s="33"/>
      <c r="H732" s="33"/>
      <c r="I732" s="33"/>
      <c r="J732" s="33"/>
      <c r="L732" s="33"/>
      <c r="M732" s="33"/>
      <c r="N732" s="33"/>
      <c r="O732" s="33"/>
      <c r="P732" s="33"/>
      <c r="R732" s="33"/>
      <c r="S732" s="33"/>
      <c r="T732" s="33"/>
      <c r="U732" s="33"/>
      <c r="V732" s="33"/>
      <c r="W732" s="33"/>
      <c r="X732" s="33"/>
      <c r="AA732" s="33"/>
      <c r="AC732" s="33"/>
    </row>
    <row r="733" ht="15.75" customHeight="1">
      <c r="A733" s="33"/>
      <c r="B733" s="33"/>
      <c r="F733" s="33"/>
      <c r="G733" s="33"/>
      <c r="H733" s="33"/>
      <c r="I733" s="33"/>
      <c r="J733" s="33"/>
      <c r="L733" s="33"/>
      <c r="M733" s="33"/>
      <c r="N733" s="33"/>
      <c r="O733" s="33"/>
      <c r="P733" s="33"/>
      <c r="R733" s="33"/>
      <c r="S733" s="33"/>
      <c r="T733" s="33"/>
      <c r="U733" s="33"/>
      <c r="V733" s="33"/>
      <c r="W733" s="33"/>
      <c r="X733" s="33"/>
      <c r="AA733" s="33"/>
      <c r="AC733" s="33"/>
    </row>
    <row r="734" ht="15.75" customHeight="1">
      <c r="A734" s="33"/>
      <c r="B734" s="33"/>
      <c r="F734" s="33"/>
      <c r="G734" s="33"/>
      <c r="H734" s="33"/>
      <c r="I734" s="33"/>
      <c r="J734" s="33"/>
      <c r="L734" s="33"/>
      <c r="M734" s="33"/>
      <c r="N734" s="33"/>
      <c r="O734" s="33"/>
      <c r="P734" s="33"/>
      <c r="R734" s="33"/>
      <c r="S734" s="33"/>
      <c r="T734" s="33"/>
      <c r="U734" s="33"/>
      <c r="V734" s="33"/>
      <c r="W734" s="33"/>
      <c r="X734" s="33"/>
      <c r="AA734" s="33"/>
      <c r="AC734" s="33"/>
    </row>
    <row r="735" ht="15.75" customHeight="1">
      <c r="A735" s="33"/>
      <c r="B735" s="33"/>
      <c r="F735" s="33"/>
      <c r="G735" s="33"/>
      <c r="H735" s="33"/>
      <c r="I735" s="33"/>
      <c r="J735" s="33"/>
      <c r="L735" s="33"/>
      <c r="M735" s="33"/>
      <c r="N735" s="33"/>
      <c r="O735" s="33"/>
      <c r="P735" s="33"/>
      <c r="R735" s="33"/>
      <c r="S735" s="33"/>
      <c r="T735" s="33"/>
      <c r="U735" s="33"/>
      <c r="V735" s="33"/>
      <c r="W735" s="33"/>
      <c r="X735" s="33"/>
      <c r="AA735" s="33"/>
      <c r="AC735" s="33"/>
    </row>
    <row r="736" ht="15.75" customHeight="1">
      <c r="A736" s="33"/>
      <c r="B736" s="33"/>
      <c r="F736" s="33"/>
      <c r="G736" s="33"/>
      <c r="H736" s="33"/>
      <c r="I736" s="33"/>
      <c r="J736" s="33"/>
      <c r="L736" s="33"/>
      <c r="M736" s="33"/>
      <c r="N736" s="33"/>
      <c r="O736" s="33"/>
      <c r="P736" s="33"/>
      <c r="R736" s="33"/>
      <c r="S736" s="33"/>
      <c r="T736" s="33"/>
      <c r="U736" s="33"/>
      <c r="V736" s="33"/>
      <c r="W736" s="33"/>
      <c r="X736" s="33"/>
      <c r="AA736" s="33"/>
      <c r="AC736" s="33"/>
    </row>
    <row r="737" ht="15.75" customHeight="1">
      <c r="A737" s="33"/>
      <c r="B737" s="33"/>
      <c r="F737" s="33"/>
      <c r="G737" s="33"/>
      <c r="H737" s="33"/>
      <c r="I737" s="33"/>
      <c r="J737" s="33"/>
      <c r="L737" s="33"/>
      <c r="M737" s="33"/>
      <c r="N737" s="33"/>
      <c r="O737" s="33"/>
      <c r="P737" s="33"/>
      <c r="R737" s="33"/>
      <c r="S737" s="33"/>
      <c r="T737" s="33"/>
      <c r="U737" s="33"/>
      <c r="V737" s="33"/>
      <c r="W737" s="33"/>
      <c r="X737" s="33"/>
      <c r="AA737" s="33"/>
      <c r="AC737" s="33"/>
    </row>
    <row r="738" ht="15.75" customHeight="1">
      <c r="A738" s="33"/>
      <c r="B738" s="33"/>
      <c r="F738" s="33"/>
      <c r="G738" s="33"/>
      <c r="H738" s="33"/>
      <c r="I738" s="33"/>
      <c r="J738" s="33"/>
      <c r="L738" s="33"/>
      <c r="M738" s="33"/>
      <c r="N738" s="33"/>
      <c r="O738" s="33"/>
      <c r="P738" s="33"/>
      <c r="R738" s="33"/>
      <c r="S738" s="33"/>
      <c r="T738" s="33"/>
      <c r="U738" s="33"/>
      <c r="V738" s="33"/>
      <c r="W738" s="33"/>
      <c r="X738" s="33"/>
      <c r="AA738" s="33"/>
      <c r="AC738" s="33"/>
    </row>
    <row r="739" ht="15.75" customHeight="1">
      <c r="A739" s="33"/>
      <c r="B739" s="33"/>
      <c r="F739" s="33"/>
      <c r="G739" s="33"/>
      <c r="H739" s="33"/>
      <c r="I739" s="33"/>
      <c r="J739" s="33"/>
      <c r="L739" s="33"/>
      <c r="M739" s="33"/>
      <c r="N739" s="33"/>
      <c r="O739" s="33"/>
      <c r="P739" s="33"/>
      <c r="R739" s="33"/>
      <c r="S739" s="33"/>
      <c r="T739" s="33"/>
      <c r="U739" s="33"/>
      <c r="V739" s="33"/>
      <c r="W739" s="33"/>
      <c r="X739" s="33"/>
      <c r="AA739" s="33"/>
      <c r="AC739" s="33"/>
    </row>
    <row r="740" ht="15.75" customHeight="1">
      <c r="A740" s="33"/>
      <c r="B740" s="33"/>
      <c r="F740" s="33"/>
      <c r="G740" s="33"/>
      <c r="H740" s="33"/>
      <c r="I740" s="33"/>
      <c r="J740" s="33"/>
      <c r="L740" s="33"/>
      <c r="M740" s="33"/>
      <c r="N740" s="33"/>
      <c r="O740" s="33"/>
      <c r="P740" s="33"/>
      <c r="R740" s="33"/>
      <c r="S740" s="33"/>
      <c r="T740" s="33"/>
      <c r="U740" s="33"/>
      <c r="V740" s="33"/>
      <c r="W740" s="33"/>
      <c r="X740" s="33"/>
      <c r="AA740" s="33"/>
      <c r="AC740" s="33"/>
    </row>
    <row r="741" ht="15.75" customHeight="1">
      <c r="A741" s="33"/>
      <c r="B741" s="33"/>
      <c r="F741" s="33"/>
      <c r="G741" s="33"/>
      <c r="H741" s="33"/>
      <c r="I741" s="33"/>
      <c r="J741" s="33"/>
      <c r="L741" s="33"/>
      <c r="M741" s="33"/>
      <c r="N741" s="33"/>
      <c r="O741" s="33"/>
      <c r="P741" s="33"/>
      <c r="R741" s="33"/>
      <c r="S741" s="33"/>
      <c r="T741" s="33"/>
      <c r="U741" s="33"/>
      <c r="V741" s="33"/>
      <c r="W741" s="33"/>
      <c r="X741" s="33"/>
      <c r="AA741" s="33"/>
      <c r="AC741" s="33"/>
    </row>
    <row r="742" ht="15.75" customHeight="1">
      <c r="A742" s="33"/>
      <c r="B742" s="33"/>
      <c r="F742" s="33"/>
      <c r="G742" s="33"/>
      <c r="H742" s="33"/>
      <c r="I742" s="33"/>
      <c r="J742" s="33"/>
      <c r="L742" s="33"/>
      <c r="M742" s="33"/>
      <c r="N742" s="33"/>
      <c r="O742" s="33"/>
      <c r="P742" s="33"/>
      <c r="R742" s="33"/>
      <c r="S742" s="33"/>
      <c r="T742" s="33"/>
      <c r="U742" s="33"/>
      <c r="V742" s="33"/>
      <c r="W742" s="33"/>
      <c r="X742" s="33"/>
      <c r="AA742" s="33"/>
      <c r="AC742" s="33"/>
    </row>
    <row r="743" ht="15.75" customHeight="1">
      <c r="A743" s="33"/>
      <c r="B743" s="33"/>
      <c r="F743" s="33"/>
      <c r="G743" s="33"/>
      <c r="H743" s="33"/>
      <c r="I743" s="33"/>
      <c r="J743" s="33"/>
      <c r="L743" s="33"/>
      <c r="M743" s="33"/>
      <c r="N743" s="33"/>
      <c r="O743" s="33"/>
      <c r="P743" s="33"/>
      <c r="R743" s="33"/>
      <c r="S743" s="33"/>
      <c r="T743" s="33"/>
      <c r="U743" s="33"/>
      <c r="V743" s="33"/>
      <c r="W743" s="33"/>
      <c r="X743" s="33"/>
      <c r="AA743" s="33"/>
      <c r="AC743" s="33"/>
    </row>
    <row r="744" ht="15.75" customHeight="1">
      <c r="A744" s="33"/>
      <c r="B744" s="33"/>
      <c r="F744" s="33"/>
      <c r="G744" s="33"/>
      <c r="H744" s="33"/>
      <c r="I744" s="33"/>
      <c r="J744" s="33"/>
      <c r="L744" s="33"/>
      <c r="M744" s="33"/>
      <c r="N744" s="33"/>
      <c r="O744" s="33"/>
      <c r="P744" s="33"/>
      <c r="R744" s="33"/>
      <c r="S744" s="33"/>
      <c r="T744" s="33"/>
      <c r="U744" s="33"/>
      <c r="V744" s="33"/>
      <c r="W744" s="33"/>
      <c r="X744" s="33"/>
      <c r="AA744" s="33"/>
      <c r="AC744" s="33"/>
    </row>
    <row r="745" ht="15.75" customHeight="1">
      <c r="A745" s="33"/>
      <c r="B745" s="33"/>
      <c r="F745" s="33"/>
      <c r="G745" s="33"/>
      <c r="H745" s="33"/>
      <c r="I745" s="33"/>
      <c r="J745" s="33"/>
      <c r="L745" s="33"/>
      <c r="M745" s="33"/>
      <c r="N745" s="33"/>
      <c r="O745" s="33"/>
      <c r="P745" s="33"/>
      <c r="R745" s="33"/>
      <c r="S745" s="33"/>
      <c r="T745" s="33"/>
      <c r="U745" s="33"/>
      <c r="V745" s="33"/>
      <c r="W745" s="33"/>
      <c r="X745" s="33"/>
      <c r="AA745" s="33"/>
      <c r="AC745" s="33"/>
    </row>
    <row r="746" ht="15.75" customHeight="1">
      <c r="A746" s="33"/>
      <c r="B746" s="33"/>
      <c r="F746" s="33"/>
      <c r="G746" s="33"/>
      <c r="H746" s="33"/>
      <c r="I746" s="33"/>
      <c r="J746" s="33"/>
      <c r="L746" s="33"/>
      <c r="M746" s="33"/>
      <c r="N746" s="33"/>
      <c r="O746" s="33"/>
      <c r="P746" s="33"/>
      <c r="R746" s="33"/>
      <c r="S746" s="33"/>
      <c r="T746" s="33"/>
      <c r="U746" s="33"/>
      <c r="V746" s="33"/>
      <c r="W746" s="33"/>
      <c r="X746" s="33"/>
      <c r="AA746" s="33"/>
      <c r="AC746" s="33"/>
    </row>
    <row r="747" ht="15.75" customHeight="1">
      <c r="A747" s="33"/>
      <c r="B747" s="33"/>
      <c r="F747" s="33"/>
      <c r="G747" s="33"/>
      <c r="H747" s="33"/>
      <c r="I747" s="33"/>
      <c r="J747" s="33"/>
      <c r="L747" s="33"/>
      <c r="M747" s="33"/>
      <c r="N747" s="33"/>
      <c r="O747" s="33"/>
      <c r="P747" s="33"/>
      <c r="R747" s="33"/>
      <c r="S747" s="33"/>
      <c r="T747" s="33"/>
      <c r="U747" s="33"/>
      <c r="V747" s="33"/>
      <c r="W747" s="33"/>
      <c r="X747" s="33"/>
      <c r="AA747" s="33"/>
      <c r="AC747" s="33"/>
    </row>
    <row r="748" ht="15.75" customHeight="1">
      <c r="A748" s="33"/>
      <c r="B748" s="33"/>
      <c r="F748" s="33"/>
      <c r="G748" s="33"/>
      <c r="H748" s="33"/>
      <c r="I748" s="33"/>
      <c r="J748" s="33"/>
      <c r="L748" s="33"/>
      <c r="M748" s="33"/>
      <c r="N748" s="33"/>
      <c r="O748" s="33"/>
      <c r="P748" s="33"/>
      <c r="R748" s="33"/>
      <c r="S748" s="33"/>
      <c r="T748" s="33"/>
      <c r="U748" s="33"/>
      <c r="V748" s="33"/>
      <c r="W748" s="33"/>
      <c r="X748" s="33"/>
      <c r="AA748" s="33"/>
      <c r="AC748" s="33"/>
    </row>
    <row r="749" ht="15.75" customHeight="1">
      <c r="A749" s="33"/>
      <c r="B749" s="33"/>
      <c r="F749" s="33"/>
      <c r="G749" s="33"/>
      <c r="H749" s="33"/>
      <c r="I749" s="33"/>
      <c r="J749" s="33"/>
      <c r="L749" s="33"/>
      <c r="M749" s="33"/>
      <c r="N749" s="33"/>
      <c r="O749" s="33"/>
      <c r="P749" s="33"/>
      <c r="R749" s="33"/>
      <c r="S749" s="33"/>
      <c r="T749" s="33"/>
      <c r="U749" s="33"/>
      <c r="V749" s="33"/>
      <c r="W749" s="33"/>
      <c r="X749" s="33"/>
      <c r="AA749" s="33"/>
      <c r="AC749" s="33"/>
    </row>
    <row r="750" ht="15.75" customHeight="1">
      <c r="A750" s="33"/>
      <c r="B750" s="33"/>
      <c r="F750" s="33"/>
      <c r="G750" s="33"/>
      <c r="H750" s="33"/>
      <c r="I750" s="33"/>
      <c r="J750" s="33"/>
      <c r="L750" s="33"/>
      <c r="M750" s="33"/>
      <c r="N750" s="33"/>
      <c r="O750" s="33"/>
      <c r="P750" s="33"/>
      <c r="R750" s="33"/>
      <c r="S750" s="33"/>
      <c r="T750" s="33"/>
      <c r="U750" s="33"/>
      <c r="V750" s="33"/>
      <c r="W750" s="33"/>
      <c r="X750" s="33"/>
      <c r="AA750" s="33"/>
      <c r="AC750" s="33"/>
    </row>
    <row r="751" ht="15.75" customHeight="1">
      <c r="A751" s="33"/>
      <c r="B751" s="33"/>
      <c r="F751" s="33"/>
      <c r="G751" s="33"/>
      <c r="H751" s="33"/>
      <c r="I751" s="33"/>
      <c r="J751" s="33"/>
      <c r="L751" s="33"/>
      <c r="M751" s="33"/>
      <c r="N751" s="33"/>
      <c r="O751" s="33"/>
      <c r="P751" s="33"/>
      <c r="R751" s="33"/>
      <c r="S751" s="33"/>
      <c r="T751" s="33"/>
      <c r="U751" s="33"/>
      <c r="V751" s="33"/>
      <c r="W751" s="33"/>
      <c r="X751" s="33"/>
      <c r="AA751" s="33"/>
      <c r="AC751" s="33"/>
    </row>
    <row r="752" ht="15.75" customHeight="1">
      <c r="A752" s="33"/>
      <c r="B752" s="33"/>
      <c r="F752" s="33"/>
      <c r="G752" s="33"/>
      <c r="H752" s="33"/>
      <c r="I752" s="33"/>
      <c r="J752" s="33"/>
      <c r="L752" s="33"/>
      <c r="M752" s="33"/>
      <c r="N752" s="33"/>
      <c r="O752" s="33"/>
      <c r="P752" s="33"/>
      <c r="R752" s="33"/>
      <c r="S752" s="33"/>
      <c r="T752" s="33"/>
      <c r="U752" s="33"/>
      <c r="V752" s="33"/>
      <c r="W752" s="33"/>
      <c r="X752" s="33"/>
      <c r="AA752" s="33"/>
      <c r="AC752" s="33"/>
    </row>
    <row r="753" ht="15.75" customHeight="1">
      <c r="A753" s="33"/>
      <c r="B753" s="33"/>
      <c r="F753" s="33"/>
      <c r="G753" s="33"/>
      <c r="H753" s="33"/>
      <c r="I753" s="33"/>
      <c r="J753" s="33"/>
      <c r="L753" s="33"/>
      <c r="M753" s="33"/>
      <c r="N753" s="33"/>
      <c r="O753" s="33"/>
      <c r="P753" s="33"/>
      <c r="R753" s="33"/>
      <c r="S753" s="33"/>
      <c r="T753" s="33"/>
      <c r="U753" s="33"/>
      <c r="V753" s="33"/>
      <c r="W753" s="33"/>
      <c r="X753" s="33"/>
      <c r="AA753" s="33"/>
      <c r="AC753" s="33"/>
    </row>
    <row r="754" ht="15.75" customHeight="1">
      <c r="A754" s="33"/>
      <c r="B754" s="33"/>
      <c r="F754" s="33"/>
      <c r="G754" s="33"/>
      <c r="H754" s="33"/>
      <c r="I754" s="33"/>
      <c r="J754" s="33"/>
      <c r="L754" s="33"/>
      <c r="M754" s="33"/>
      <c r="N754" s="33"/>
      <c r="O754" s="33"/>
      <c r="P754" s="33"/>
      <c r="R754" s="33"/>
      <c r="S754" s="33"/>
      <c r="T754" s="33"/>
      <c r="U754" s="33"/>
      <c r="V754" s="33"/>
      <c r="W754" s="33"/>
      <c r="X754" s="33"/>
      <c r="AA754" s="33"/>
      <c r="AC754" s="33"/>
    </row>
    <row r="755" ht="15.75" customHeight="1">
      <c r="A755" s="33"/>
      <c r="B755" s="33"/>
      <c r="F755" s="33"/>
      <c r="G755" s="33"/>
      <c r="H755" s="33"/>
      <c r="I755" s="33"/>
      <c r="J755" s="33"/>
      <c r="L755" s="33"/>
      <c r="M755" s="33"/>
      <c r="N755" s="33"/>
      <c r="O755" s="33"/>
      <c r="P755" s="33"/>
      <c r="R755" s="33"/>
      <c r="S755" s="33"/>
      <c r="T755" s="33"/>
      <c r="U755" s="33"/>
      <c r="V755" s="33"/>
      <c r="W755" s="33"/>
      <c r="X755" s="33"/>
      <c r="AA755" s="33"/>
      <c r="AC755" s="33"/>
    </row>
    <row r="756" ht="15.75" customHeight="1">
      <c r="A756" s="33"/>
      <c r="B756" s="33"/>
      <c r="F756" s="33"/>
      <c r="G756" s="33"/>
      <c r="H756" s="33"/>
      <c r="I756" s="33"/>
      <c r="J756" s="33"/>
      <c r="L756" s="33"/>
      <c r="M756" s="33"/>
      <c r="N756" s="33"/>
      <c r="O756" s="33"/>
      <c r="P756" s="33"/>
      <c r="R756" s="33"/>
      <c r="S756" s="33"/>
      <c r="T756" s="33"/>
      <c r="U756" s="33"/>
      <c r="V756" s="33"/>
      <c r="W756" s="33"/>
      <c r="X756" s="33"/>
      <c r="AA756" s="33"/>
      <c r="AC756" s="33"/>
    </row>
    <row r="757" ht="15.75" customHeight="1">
      <c r="A757" s="33"/>
      <c r="B757" s="33"/>
      <c r="F757" s="33"/>
      <c r="G757" s="33"/>
      <c r="H757" s="33"/>
      <c r="I757" s="33"/>
      <c r="J757" s="33"/>
      <c r="L757" s="33"/>
      <c r="M757" s="33"/>
      <c r="N757" s="33"/>
      <c r="O757" s="33"/>
      <c r="P757" s="33"/>
      <c r="R757" s="33"/>
      <c r="S757" s="33"/>
      <c r="T757" s="33"/>
      <c r="U757" s="33"/>
      <c r="V757" s="33"/>
      <c r="W757" s="33"/>
      <c r="X757" s="33"/>
      <c r="AA757" s="33"/>
      <c r="AC757" s="33"/>
    </row>
    <row r="758" ht="15.75" customHeight="1">
      <c r="A758" s="33"/>
      <c r="B758" s="33"/>
      <c r="F758" s="33"/>
      <c r="G758" s="33"/>
      <c r="H758" s="33"/>
      <c r="I758" s="33"/>
      <c r="J758" s="33"/>
      <c r="L758" s="33"/>
      <c r="M758" s="33"/>
      <c r="N758" s="33"/>
      <c r="O758" s="33"/>
      <c r="P758" s="33"/>
      <c r="R758" s="33"/>
      <c r="S758" s="33"/>
      <c r="T758" s="33"/>
      <c r="U758" s="33"/>
      <c r="V758" s="33"/>
      <c r="W758" s="33"/>
      <c r="X758" s="33"/>
      <c r="AA758" s="33"/>
      <c r="AC758" s="33"/>
    </row>
    <row r="759" ht="15.75" customHeight="1">
      <c r="A759" s="33"/>
      <c r="B759" s="33"/>
      <c r="F759" s="33"/>
      <c r="G759" s="33"/>
      <c r="H759" s="33"/>
      <c r="I759" s="33"/>
      <c r="J759" s="33"/>
      <c r="L759" s="33"/>
      <c r="M759" s="33"/>
      <c r="N759" s="33"/>
      <c r="O759" s="33"/>
      <c r="P759" s="33"/>
      <c r="R759" s="33"/>
      <c r="S759" s="33"/>
      <c r="T759" s="33"/>
      <c r="U759" s="33"/>
      <c r="V759" s="33"/>
      <c r="W759" s="33"/>
      <c r="X759" s="33"/>
      <c r="AA759" s="33"/>
      <c r="AC759" s="33"/>
    </row>
    <row r="760" ht="15.75" customHeight="1">
      <c r="A760" s="33"/>
      <c r="B760" s="33"/>
      <c r="F760" s="33"/>
      <c r="G760" s="33"/>
      <c r="H760" s="33"/>
      <c r="I760" s="33"/>
      <c r="J760" s="33"/>
      <c r="L760" s="33"/>
      <c r="M760" s="33"/>
      <c r="N760" s="33"/>
      <c r="O760" s="33"/>
      <c r="P760" s="33"/>
      <c r="R760" s="33"/>
      <c r="S760" s="33"/>
      <c r="T760" s="33"/>
      <c r="U760" s="33"/>
      <c r="V760" s="33"/>
      <c r="W760" s="33"/>
      <c r="X760" s="33"/>
      <c r="AA760" s="33"/>
      <c r="AC760" s="33"/>
    </row>
    <row r="761" ht="15.75" customHeight="1">
      <c r="A761" s="33"/>
      <c r="B761" s="33"/>
      <c r="F761" s="33"/>
      <c r="G761" s="33"/>
      <c r="H761" s="33"/>
      <c r="I761" s="33"/>
      <c r="J761" s="33"/>
      <c r="L761" s="33"/>
      <c r="M761" s="33"/>
      <c r="N761" s="33"/>
      <c r="O761" s="33"/>
      <c r="P761" s="33"/>
      <c r="R761" s="33"/>
      <c r="S761" s="33"/>
      <c r="T761" s="33"/>
      <c r="U761" s="33"/>
      <c r="V761" s="33"/>
      <c r="W761" s="33"/>
      <c r="X761" s="33"/>
      <c r="AA761" s="33"/>
      <c r="AC761" s="33"/>
    </row>
    <row r="762" ht="15.75" customHeight="1">
      <c r="A762" s="33"/>
      <c r="B762" s="33"/>
      <c r="F762" s="33"/>
      <c r="G762" s="33"/>
      <c r="H762" s="33"/>
      <c r="I762" s="33"/>
      <c r="J762" s="33"/>
      <c r="L762" s="33"/>
      <c r="M762" s="33"/>
      <c r="N762" s="33"/>
      <c r="O762" s="33"/>
      <c r="P762" s="33"/>
      <c r="R762" s="33"/>
      <c r="S762" s="33"/>
      <c r="T762" s="33"/>
      <c r="U762" s="33"/>
      <c r="V762" s="33"/>
      <c r="W762" s="33"/>
      <c r="X762" s="33"/>
      <c r="AA762" s="33"/>
      <c r="AC762" s="33"/>
    </row>
    <row r="763" ht="15.75" customHeight="1">
      <c r="A763" s="33"/>
      <c r="B763" s="33"/>
      <c r="F763" s="33"/>
      <c r="G763" s="33"/>
      <c r="H763" s="33"/>
      <c r="I763" s="33"/>
      <c r="J763" s="33"/>
      <c r="L763" s="33"/>
      <c r="M763" s="33"/>
      <c r="N763" s="33"/>
      <c r="O763" s="33"/>
      <c r="P763" s="33"/>
      <c r="R763" s="33"/>
      <c r="S763" s="33"/>
      <c r="T763" s="33"/>
      <c r="U763" s="33"/>
      <c r="V763" s="33"/>
      <c r="W763" s="33"/>
      <c r="X763" s="33"/>
      <c r="AA763" s="33"/>
      <c r="AC763" s="33"/>
    </row>
    <row r="764" ht="15.75" customHeight="1">
      <c r="A764" s="33"/>
      <c r="B764" s="33"/>
      <c r="F764" s="33"/>
      <c r="G764" s="33"/>
      <c r="H764" s="33"/>
      <c r="I764" s="33"/>
      <c r="J764" s="33"/>
      <c r="L764" s="33"/>
      <c r="M764" s="33"/>
      <c r="N764" s="33"/>
      <c r="O764" s="33"/>
      <c r="P764" s="33"/>
      <c r="R764" s="33"/>
      <c r="S764" s="33"/>
      <c r="T764" s="33"/>
      <c r="U764" s="33"/>
      <c r="V764" s="33"/>
      <c r="W764" s="33"/>
      <c r="X764" s="33"/>
      <c r="AA764" s="33"/>
      <c r="AC764" s="33"/>
    </row>
    <row r="765" ht="15.75" customHeight="1">
      <c r="A765" s="33"/>
      <c r="B765" s="33"/>
      <c r="F765" s="33"/>
      <c r="G765" s="33"/>
      <c r="H765" s="33"/>
      <c r="I765" s="33"/>
      <c r="J765" s="33"/>
      <c r="L765" s="33"/>
      <c r="M765" s="33"/>
      <c r="N765" s="33"/>
      <c r="O765" s="33"/>
      <c r="P765" s="33"/>
      <c r="R765" s="33"/>
      <c r="S765" s="33"/>
      <c r="T765" s="33"/>
      <c r="U765" s="33"/>
      <c r="V765" s="33"/>
      <c r="W765" s="33"/>
      <c r="X765" s="33"/>
      <c r="AA765" s="33"/>
      <c r="AC765" s="33"/>
    </row>
    <row r="766" ht="15.75" customHeight="1">
      <c r="A766" s="33"/>
      <c r="B766" s="33"/>
      <c r="F766" s="33"/>
      <c r="G766" s="33"/>
      <c r="H766" s="33"/>
      <c r="I766" s="33"/>
      <c r="J766" s="33"/>
      <c r="L766" s="33"/>
      <c r="M766" s="33"/>
      <c r="N766" s="33"/>
      <c r="O766" s="33"/>
      <c r="P766" s="33"/>
      <c r="R766" s="33"/>
      <c r="S766" s="33"/>
      <c r="T766" s="33"/>
      <c r="U766" s="33"/>
      <c r="V766" s="33"/>
      <c r="W766" s="33"/>
      <c r="X766" s="33"/>
      <c r="AA766" s="33"/>
      <c r="AC766" s="33"/>
    </row>
    <row r="767" ht="15.75" customHeight="1">
      <c r="A767" s="33"/>
      <c r="B767" s="33"/>
      <c r="F767" s="33"/>
      <c r="G767" s="33"/>
      <c r="H767" s="33"/>
      <c r="I767" s="33"/>
      <c r="J767" s="33"/>
      <c r="L767" s="33"/>
      <c r="M767" s="33"/>
      <c r="N767" s="33"/>
      <c r="O767" s="33"/>
      <c r="P767" s="33"/>
      <c r="R767" s="33"/>
      <c r="S767" s="33"/>
      <c r="T767" s="33"/>
      <c r="U767" s="33"/>
      <c r="V767" s="33"/>
      <c r="W767" s="33"/>
      <c r="X767" s="33"/>
      <c r="AA767" s="33"/>
      <c r="AC767" s="33"/>
    </row>
    <row r="768" ht="15.75" customHeight="1">
      <c r="A768" s="33"/>
      <c r="B768" s="33"/>
      <c r="F768" s="33"/>
      <c r="G768" s="33"/>
      <c r="H768" s="33"/>
      <c r="I768" s="33"/>
      <c r="J768" s="33"/>
      <c r="L768" s="33"/>
      <c r="M768" s="33"/>
      <c r="N768" s="33"/>
      <c r="O768" s="33"/>
      <c r="P768" s="33"/>
      <c r="R768" s="33"/>
      <c r="S768" s="33"/>
      <c r="T768" s="33"/>
      <c r="U768" s="33"/>
      <c r="V768" s="33"/>
      <c r="W768" s="33"/>
      <c r="X768" s="33"/>
      <c r="AA768" s="33"/>
      <c r="AC768" s="33"/>
    </row>
    <row r="769" ht="15.75" customHeight="1">
      <c r="A769" s="33"/>
      <c r="B769" s="33"/>
      <c r="F769" s="33"/>
      <c r="G769" s="33"/>
      <c r="H769" s="33"/>
      <c r="I769" s="33"/>
      <c r="J769" s="33"/>
      <c r="L769" s="33"/>
      <c r="M769" s="33"/>
      <c r="N769" s="33"/>
      <c r="O769" s="33"/>
      <c r="P769" s="33"/>
      <c r="R769" s="33"/>
      <c r="S769" s="33"/>
      <c r="T769" s="33"/>
      <c r="U769" s="33"/>
      <c r="V769" s="33"/>
      <c r="W769" s="33"/>
      <c r="X769" s="33"/>
      <c r="AA769" s="33"/>
      <c r="AC769" s="33"/>
    </row>
    <row r="770" ht="15.75" customHeight="1">
      <c r="A770" s="33"/>
      <c r="B770" s="33"/>
      <c r="F770" s="33"/>
      <c r="G770" s="33"/>
      <c r="H770" s="33"/>
      <c r="I770" s="33"/>
      <c r="J770" s="33"/>
      <c r="L770" s="33"/>
      <c r="M770" s="33"/>
      <c r="N770" s="33"/>
      <c r="O770" s="33"/>
      <c r="P770" s="33"/>
      <c r="R770" s="33"/>
      <c r="S770" s="33"/>
      <c r="T770" s="33"/>
      <c r="U770" s="33"/>
      <c r="V770" s="33"/>
      <c r="W770" s="33"/>
      <c r="X770" s="33"/>
      <c r="AA770" s="33"/>
      <c r="AC770" s="33"/>
    </row>
    <row r="771" ht="15.75" customHeight="1">
      <c r="A771" s="33"/>
      <c r="B771" s="33"/>
      <c r="F771" s="33"/>
      <c r="G771" s="33"/>
      <c r="H771" s="33"/>
      <c r="I771" s="33"/>
      <c r="J771" s="33"/>
      <c r="L771" s="33"/>
      <c r="M771" s="33"/>
      <c r="N771" s="33"/>
      <c r="O771" s="33"/>
      <c r="P771" s="33"/>
      <c r="R771" s="33"/>
      <c r="S771" s="33"/>
      <c r="T771" s="33"/>
      <c r="U771" s="33"/>
      <c r="V771" s="33"/>
      <c r="W771" s="33"/>
      <c r="X771" s="33"/>
      <c r="AA771" s="33"/>
      <c r="AC771" s="33"/>
    </row>
    <row r="772" ht="15.75" customHeight="1">
      <c r="A772" s="33"/>
      <c r="B772" s="33"/>
      <c r="F772" s="33"/>
      <c r="G772" s="33"/>
      <c r="H772" s="33"/>
      <c r="I772" s="33"/>
      <c r="J772" s="33"/>
      <c r="L772" s="33"/>
      <c r="M772" s="33"/>
      <c r="N772" s="33"/>
      <c r="O772" s="33"/>
      <c r="P772" s="33"/>
      <c r="R772" s="33"/>
      <c r="S772" s="33"/>
      <c r="T772" s="33"/>
      <c r="U772" s="33"/>
      <c r="V772" s="33"/>
      <c r="W772" s="33"/>
      <c r="X772" s="33"/>
      <c r="AA772" s="33"/>
      <c r="AC772" s="33"/>
    </row>
    <row r="773" ht="15.75" customHeight="1">
      <c r="A773" s="33"/>
      <c r="B773" s="33"/>
      <c r="F773" s="33"/>
      <c r="G773" s="33"/>
      <c r="H773" s="33"/>
      <c r="I773" s="33"/>
      <c r="J773" s="33"/>
      <c r="L773" s="33"/>
      <c r="M773" s="33"/>
      <c r="N773" s="33"/>
      <c r="O773" s="33"/>
      <c r="P773" s="33"/>
      <c r="R773" s="33"/>
      <c r="S773" s="33"/>
      <c r="T773" s="33"/>
      <c r="U773" s="33"/>
      <c r="V773" s="33"/>
      <c r="W773" s="33"/>
      <c r="X773" s="33"/>
      <c r="AA773" s="33"/>
      <c r="AC773" s="33"/>
    </row>
    <row r="774" ht="15.75" customHeight="1">
      <c r="A774" s="33"/>
      <c r="B774" s="33"/>
      <c r="F774" s="33"/>
      <c r="G774" s="33"/>
      <c r="H774" s="33"/>
      <c r="I774" s="33"/>
      <c r="J774" s="33"/>
      <c r="L774" s="33"/>
      <c r="M774" s="33"/>
      <c r="N774" s="33"/>
      <c r="O774" s="33"/>
      <c r="P774" s="33"/>
      <c r="R774" s="33"/>
      <c r="S774" s="33"/>
      <c r="T774" s="33"/>
      <c r="U774" s="33"/>
      <c r="V774" s="33"/>
      <c r="W774" s="33"/>
      <c r="X774" s="33"/>
      <c r="AA774" s="33"/>
      <c r="AC774" s="33"/>
    </row>
    <row r="775" ht="15.75" customHeight="1">
      <c r="A775" s="33"/>
      <c r="B775" s="33"/>
      <c r="F775" s="33"/>
      <c r="G775" s="33"/>
      <c r="H775" s="33"/>
      <c r="I775" s="33"/>
      <c r="J775" s="33"/>
      <c r="L775" s="33"/>
      <c r="M775" s="33"/>
      <c r="N775" s="33"/>
      <c r="O775" s="33"/>
      <c r="P775" s="33"/>
      <c r="R775" s="33"/>
      <c r="S775" s="33"/>
      <c r="T775" s="33"/>
      <c r="U775" s="33"/>
      <c r="V775" s="33"/>
      <c r="W775" s="33"/>
      <c r="X775" s="33"/>
      <c r="AA775" s="33"/>
      <c r="AC775" s="33"/>
    </row>
    <row r="776" ht="15.75" customHeight="1">
      <c r="A776" s="33"/>
      <c r="B776" s="33"/>
      <c r="F776" s="33"/>
      <c r="G776" s="33"/>
      <c r="H776" s="33"/>
      <c r="I776" s="33"/>
      <c r="J776" s="33"/>
      <c r="L776" s="33"/>
      <c r="M776" s="33"/>
      <c r="N776" s="33"/>
      <c r="O776" s="33"/>
      <c r="P776" s="33"/>
      <c r="R776" s="33"/>
      <c r="S776" s="33"/>
      <c r="T776" s="33"/>
      <c r="U776" s="33"/>
      <c r="V776" s="33"/>
      <c r="W776" s="33"/>
      <c r="X776" s="33"/>
      <c r="AA776" s="33"/>
      <c r="AC776" s="33"/>
    </row>
    <row r="777" ht="15.75" customHeight="1">
      <c r="A777" s="33"/>
      <c r="B777" s="33"/>
      <c r="F777" s="33"/>
      <c r="G777" s="33"/>
      <c r="H777" s="33"/>
      <c r="I777" s="33"/>
      <c r="J777" s="33"/>
      <c r="L777" s="33"/>
      <c r="M777" s="33"/>
      <c r="N777" s="33"/>
      <c r="O777" s="33"/>
      <c r="P777" s="33"/>
      <c r="R777" s="33"/>
      <c r="S777" s="33"/>
      <c r="T777" s="33"/>
      <c r="U777" s="33"/>
      <c r="V777" s="33"/>
      <c r="W777" s="33"/>
      <c r="X777" s="33"/>
      <c r="AA777" s="33"/>
      <c r="AC777" s="33"/>
    </row>
    <row r="778" ht="15.75" customHeight="1">
      <c r="A778" s="33"/>
      <c r="B778" s="33"/>
      <c r="F778" s="33"/>
      <c r="G778" s="33"/>
      <c r="H778" s="33"/>
      <c r="I778" s="33"/>
      <c r="J778" s="33"/>
      <c r="L778" s="33"/>
      <c r="M778" s="33"/>
      <c r="N778" s="33"/>
      <c r="O778" s="33"/>
      <c r="P778" s="33"/>
      <c r="R778" s="33"/>
      <c r="S778" s="33"/>
      <c r="T778" s="33"/>
      <c r="U778" s="33"/>
      <c r="V778" s="33"/>
      <c r="W778" s="33"/>
      <c r="X778" s="33"/>
      <c r="AA778" s="33"/>
      <c r="AC778" s="33"/>
    </row>
    <row r="779" ht="15.75" customHeight="1">
      <c r="A779" s="33"/>
      <c r="B779" s="33"/>
      <c r="F779" s="33"/>
      <c r="G779" s="33"/>
      <c r="H779" s="33"/>
      <c r="I779" s="33"/>
      <c r="J779" s="33"/>
      <c r="L779" s="33"/>
      <c r="M779" s="33"/>
      <c r="N779" s="33"/>
      <c r="O779" s="33"/>
      <c r="P779" s="33"/>
      <c r="R779" s="33"/>
      <c r="S779" s="33"/>
      <c r="T779" s="33"/>
      <c r="U779" s="33"/>
      <c r="V779" s="33"/>
      <c r="W779" s="33"/>
      <c r="X779" s="33"/>
      <c r="AA779" s="33"/>
      <c r="AC779" s="33"/>
    </row>
    <row r="780" ht="15.75" customHeight="1">
      <c r="A780" s="33"/>
      <c r="B780" s="33"/>
      <c r="F780" s="33"/>
      <c r="G780" s="33"/>
      <c r="H780" s="33"/>
      <c r="I780" s="33"/>
      <c r="J780" s="33"/>
      <c r="L780" s="33"/>
      <c r="M780" s="33"/>
      <c r="N780" s="33"/>
      <c r="O780" s="33"/>
      <c r="P780" s="33"/>
      <c r="R780" s="33"/>
      <c r="S780" s="33"/>
      <c r="T780" s="33"/>
      <c r="U780" s="33"/>
      <c r="V780" s="33"/>
      <c r="W780" s="33"/>
      <c r="X780" s="33"/>
      <c r="AA780" s="33"/>
      <c r="AC780" s="33"/>
    </row>
    <row r="781" ht="15.75" customHeight="1">
      <c r="A781" s="33"/>
      <c r="B781" s="33"/>
      <c r="F781" s="33"/>
      <c r="G781" s="33"/>
      <c r="H781" s="33"/>
      <c r="I781" s="33"/>
      <c r="J781" s="33"/>
      <c r="L781" s="33"/>
      <c r="M781" s="33"/>
      <c r="N781" s="33"/>
      <c r="O781" s="33"/>
      <c r="P781" s="33"/>
      <c r="R781" s="33"/>
      <c r="S781" s="33"/>
      <c r="T781" s="33"/>
      <c r="U781" s="33"/>
      <c r="V781" s="33"/>
      <c r="W781" s="33"/>
      <c r="X781" s="33"/>
      <c r="AA781" s="33"/>
      <c r="AC781" s="33"/>
    </row>
    <row r="782" ht="15.75" customHeight="1">
      <c r="A782" s="33"/>
      <c r="B782" s="33"/>
      <c r="F782" s="33"/>
      <c r="G782" s="33"/>
      <c r="H782" s="33"/>
      <c r="I782" s="33"/>
      <c r="J782" s="33"/>
      <c r="L782" s="33"/>
      <c r="M782" s="33"/>
      <c r="N782" s="33"/>
      <c r="O782" s="33"/>
      <c r="P782" s="33"/>
      <c r="R782" s="33"/>
      <c r="S782" s="33"/>
      <c r="T782" s="33"/>
      <c r="U782" s="33"/>
      <c r="V782" s="33"/>
      <c r="W782" s="33"/>
      <c r="X782" s="33"/>
      <c r="AA782" s="33"/>
      <c r="AC782" s="33"/>
    </row>
    <row r="783" ht="15.75" customHeight="1">
      <c r="A783" s="33"/>
      <c r="B783" s="33"/>
      <c r="F783" s="33"/>
      <c r="G783" s="33"/>
      <c r="H783" s="33"/>
      <c r="I783" s="33"/>
      <c r="J783" s="33"/>
      <c r="L783" s="33"/>
      <c r="M783" s="33"/>
      <c r="N783" s="33"/>
      <c r="O783" s="33"/>
      <c r="P783" s="33"/>
      <c r="R783" s="33"/>
      <c r="S783" s="33"/>
      <c r="T783" s="33"/>
      <c r="U783" s="33"/>
      <c r="V783" s="33"/>
      <c r="W783" s="33"/>
      <c r="X783" s="33"/>
      <c r="AA783" s="33"/>
      <c r="AC783" s="33"/>
    </row>
    <row r="784" ht="15.75" customHeight="1">
      <c r="A784" s="33"/>
      <c r="B784" s="33"/>
      <c r="F784" s="33"/>
      <c r="G784" s="33"/>
      <c r="H784" s="33"/>
      <c r="I784" s="33"/>
      <c r="J784" s="33"/>
      <c r="L784" s="33"/>
      <c r="M784" s="33"/>
      <c r="N784" s="33"/>
      <c r="O784" s="33"/>
      <c r="P784" s="33"/>
      <c r="R784" s="33"/>
      <c r="S784" s="33"/>
      <c r="T784" s="33"/>
      <c r="U784" s="33"/>
      <c r="V784" s="33"/>
      <c r="W784" s="33"/>
      <c r="X784" s="33"/>
      <c r="AA784" s="33"/>
      <c r="AC784" s="33"/>
    </row>
    <row r="785" ht="15.75" customHeight="1">
      <c r="A785" s="33"/>
      <c r="B785" s="33"/>
      <c r="F785" s="33"/>
      <c r="G785" s="33"/>
      <c r="H785" s="33"/>
      <c r="I785" s="33"/>
      <c r="J785" s="33"/>
      <c r="L785" s="33"/>
      <c r="M785" s="33"/>
      <c r="N785" s="33"/>
      <c r="O785" s="33"/>
      <c r="P785" s="33"/>
      <c r="R785" s="33"/>
      <c r="S785" s="33"/>
      <c r="T785" s="33"/>
      <c r="U785" s="33"/>
      <c r="V785" s="33"/>
      <c r="W785" s="33"/>
      <c r="X785" s="33"/>
      <c r="AA785" s="33"/>
      <c r="AC785" s="33"/>
    </row>
    <row r="786" ht="15.75" customHeight="1">
      <c r="A786" s="33"/>
      <c r="B786" s="33"/>
      <c r="F786" s="33"/>
      <c r="G786" s="33"/>
      <c r="H786" s="33"/>
      <c r="I786" s="33"/>
      <c r="J786" s="33"/>
      <c r="L786" s="33"/>
      <c r="M786" s="33"/>
      <c r="N786" s="33"/>
      <c r="O786" s="33"/>
      <c r="P786" s="33"/>
      <c r="R786" s="33"/>
      <c r="S786" s="33"/>
      <c r="T786" s="33"/>
      <c r="U786" s="33"/>
      <c r="V786" s="33"/>
      <c r="W786" s="33"/>
      <c r="X786" s="33"/>
      <c r="AA786" s="33"/>
      <c r="AC786" s="33"/>
    </row>
    <row r="787" ht="15.75" customHeight="1">
      <c r="A787" s="33"/>
      <c r="B787" s="33"/>
      <c r="F787" s="33"/>
      <c r="G787" s="33"/>
      <c r="H787" s="33"/>
      <c r="I787" s="33"/>
      <c r="J787" s="33"/>
      <c r="L787" s="33"/>
      <c r="M787" s="33"/>
      <c r="N787" s="33"/>
      <c r="O787" s="33"/>
      <c r="P787" s="33"/>
      <c r="R787" s="33"/>
      <c r="S787" s="33"/>
      <c r="T787" s="33"/>
      <c r="U787" s="33"/>
      <c r="V787" s="33"/>
      <c r="W787" s="33"/>
      <c r="X787" s="33"/>
      <c r="AA787" s="33"/>
      <c r="AC787" s="33"/>
    </row>
    <row r="788" ht="15.75" customHeight="1">
      <c r="A788" s="33"/>
      <c r="B788" s="33"/>
      <c r="F788" s="33"/>
      <c r="G788" s="33"/>
      <c r="H788" s="33"/>
      <c r="I788" s="33"/>
      <c r="J788" s="33"/>
      <c r="L788" s="33"/>
      <c r="M788" s="33"/>
      <c r="N788" s="33"/>
      <c r="O788" s="33"/>
      <c r="P788" s="33"/>
      <c r="R788" s="33"/>
      <c r="S788" s="33"/>
      <c r="T788" s="33"/>
      <c r="U788" s="33"/>
      <c r="V788" s="33"/>
      <c r="W788" s="33"/>
      <c r="X788" s="33"/>
      <c r="AA788" s="33"/>
      <c r="AC788" s="33"/>
    </row>
    <row r="789" ht="15.75" customHeight="1">
      <c r="A789" s="33"/>
      <c r="B789" s="33"/>
      <c r="F789" s="33"/>
      <c r="G789" s="33"/>
      <c r="H789" s="33"/>
      <c r="I789" s="33"/>
      <c r="J789" s="33"/>
      <c r="L789" s="33"/>
      <c r="M789" s="33"/>
      <c r="N789" s="33"/>
      <c r="O789" s="33"/>
      <c r="P789" s="33"/>
      <c r="R789" s="33"/>
      <c r="S789" s="33"/>
      <c r="T789" s="33"/>
      <c r="U789" s="33"/>
      <c r="V789" s="33"/>
      <c r="W789" s="33"/>
      <c r="X789" s="33"/>
      <c r="AA789" s="33"/>
      <c r="AC789" s="33"/>
    </row>
    <row r="790" ht="15.75" customHeight="1">
      <c r="A790" s="33"/>
      <c r="B790" s="33"/>
      <c r="F790" s="33"/>
      <c r="G790" s="33"/>
      <c r="H790" s="33"/>
      <c r="I790" s="33"/>
      <c r="J790" s="33"/>
      <c r="L790" s="33"/>
      <c r="M790" s="33"/>
      <c r="N790" s="33"/>
      <c r="O790" s="33"/>
      <c r="P790" s="33"/>
      <c r="R790" s="33"/>
      <c r="S790" s="33"/>
      <c r="T790" s="33"/>
      <c r="U790" s="33"/>
      <c r="V790" s="33"/>
      <c r="W790" s="33"/>
      <c r="X790" s="33"/>
      <c r="AA790" s="33"/>
      <c r="AC790" s="33"/>
    </row>
    <row r="791" ht="15.75" customHeight="1">
      <c r="A791" s="33"/>
      <c r="B791" s="33"/>
      <c r="F791" s="33"/>
      <c r="G791" s="33"/>
      <c r="H791" s="33"/>
      <c r="I791" s="33"/>
      <c r="J791" s="33"/>
      <c r="L791" s="33"/>
      <c r="M791" s="33"/>
      <c r="N791" s="33"/>
      <c r="O791" s="33"/>
      <c r="P791" s="33"/>
      <c r="R791" s="33"/>
      <c r="S791" s="33"/>
      <c r="T791" s="33"/>
      <c r="U791" s="33"/>
      <c r="V791" s="33"/>
      <c r="W791" s="33"/>
      <c r="X791" s="33"/>
      <c r="AA791" s="33"/>
      <c r="AC791" s="33"/>
    </row>
    <row r="792" ht="15.75" customHeight="1">
      <c r="A792" s="33"/>
      <c r="B792" s="33"/>
      <c r="F792" s="33"/>
      <c r="G792" s="33"/>
      <c r="H792" s="33"/>
      <c r="I792" s="33"/>
      <c r="J792" s="33"/>
      <c r="L792" s="33"/>
      <c r="M792" s="33"/>
      <c r="N792" s="33"/>
      <c r="O792" s="33"/>
      <c r="P792" s="33"/>
      <c r="R792" s="33"/>
      <c r="S792" s="33"/>
      <c r="T792" s="33"/>
      <c r="U792" s="33"/>
      <c r="V792" s="33"/>
      <c r="W792" s="33"/>
      <c r="X792" s="33"/>
      <c r="AA792" s="33"/>
      <c r="AC792" s="33"/>
    </row>
    <row r="793" ht="15.75" customHeight="1">
      <c r="A793" s="33"/>
      <c r="B793" s="33"/>
      <c r="F793" s="33"/>
      <c r="G793" s="33"/>
      <c r="H793" s="33"/>
      <c r="I793" s="33"/>
      <c r="J793" s="33"/>
      <c r="L793" s="33"/>
      <c r="M793" s="33"/>
      <c r="N793" s="33"/>
      <c r="O793" s="33"/>
      <c r="P793" s="33"/>
      <c r="R793" s="33"/>
      <c r="S793" s="33"/>
      <c r="T793" s="33"/>
      <c r="U793" s="33"/>
      <c r="V793" s="33"/>
      <c r="W793" s="33"/>
      <c r="X793" s="33"/>
      <c r="AA793" s="33"/>
      <c r="AC793" s="33"/>
    </row>
    <row r="794" ht="15.75" customHeight="1">
      <c r="A794" s="33"/>
      <c r="B794" s="33"/>
      <c r="F794" s="33"/>
      <c r="G794" s="33"/>
      <c r="H794" s="33"/>
      <c r="I794" s="33"/>
      <c r="J794" s="33"/>
      <c r="L794" s="33"/>
      <c r="M794" s="33"/>
      <c r="N794" s="33"/>
      <c r="O794" s="33"/>
      <c r="P794" s="33"/>
      <c r="R794" s="33"/>
      <c r="S794" s="33"/>
      <c r="T794" s="33"/>
      <c r="U794" s="33"/>
      <c r="V794" s="33"/>
      <c r="W794" s="33"/>
      <c r="X794" s="33"/>
      <c r="AA794" s="33"/>
      <c r="AC794" s="33"/>
    </row>
    <row r="795" ht="15.75" customHeight="1">
      <c r="A795" s="33"/>
      <c r="B795" s="33"/>
      <c r="F795" s="33"/>
      <c r="G795" s="33"/>
      <c r="H795" s="33"/>
      <c r="I795" s="33"/>
      <c r="J795" s="33"/>
      <c r="L795" s="33"/>
      <c r="M795" s="33"/>
      <c r="N795" s="33"/>
      <c r="O795" s="33"/>
      <c r="P795" s="33"/>
      <c r="R795" s="33"/>
      <c r="S795" s="33"/>
      <c r="T795" s="33"/>
      <c r="U795" s="33"/>
      <c r="V795" s="33"/>
      <c r="W795" s="33"/>
      <c r="X795" s="33"/>
      <c r="AA795" s="33"/>
      <c r="AC795" s="33"/>
    </row>
    <row r="796" ht="15.75" customHeight="1">
      <c r="A796" s="33"/>
      <c r="B796" s="33"/>
      <c r="F796" s="33"/>
      <c r="G796" s="33"/>
      <c r="H796" s="33"/>
      <c r="I796" s="33"/>
      <c r="J796" s="33"/>
      <c r="L796" s="33"/>
      <c r="M796" s="33"/>
      <c r="N796" s="33"/>
      <c r="O796" s="33"/>
      <c r="P796" s="33"/>
      <c r="R796" s="33"/>
      <c r="S796" s="33"/>
      <c r="T796" s="33"/>
      <c r="U796" s="33"/>
      <c r="V796" s="33"/>
      <c r="W796" s="33"/>
      <c r="X796" s="33"/>
      <c r="AA796" s="33"/>
      <c r="AC796" s="33"/>
    </row>
    <row r="797" ht="15.75" customHeight="1">
      <c r="A797" s="33"/>
      <c r="B797" s="33"/>
      <c r="F797" s="33"/>
      <c r="G797" s="33"/>
      <c r="H797" s="33"/>
      <c r="I797" s="33"/>
      <c r="J797" s="33"/>
      <c r="L797" s="33"/>
      <c r="M797" s="33"/>
      <c r="N797" s="33"/>
      <c r="O797" s="33"/>
      <c r="P797" s="33"/>
      <c r="R797" s="33"/>
      <c r="S797" s="33"/>
      <c r="T797" s="33"/>
      <c r="U797" s="33"/>
      <c r="V797" s="33"/>
      <c r="W797" s="33"/>
      <c r="X797" s="33"/>
      <c r="AA797" s="33"/>
      <c r="AC797" s="33"/>
    </row>
    <row r="798" ht="15.75" customHeight="1">
      <c r="A798" s="33"/>
      <c r="B798" s="33"/>
      <c r="F798" s="33"/>
      <c r="G798" s="33"/>
      <c r="H798" s="33"/>
      <c r="I798" s="33"/>
      <c r="J798" s="33"/>
      <c r="L798" s="33"/>
      <c r="M798" s="33"/>
      <c r="N798" s="33"/>
      <c r="O798" s="33"/>
      <c r="P798" s="33"/>
      <c r="R798" s="33"/>
      <c r="S798" s="33"/>
      <c r="T798" s="33"/>
      <c r="U798" s="33"/>
      <c r="V798" s="33"/>
      <c r="W798" s="33"/>
      <c r="X798" s="33"/>
      <c r="AA798" s="33"/>
      <c r="AC798" s="33"/>
    </row>
    <row r="799" ht="15.75" customHeight="1">
      <c r="A799" s="33"/>
      <c r="B799" s="33"/>
      <c r="F799" s="33"/>
      <c r="G799" s="33"/>
      <c r="H799" s="33"/>
      <c r="I799" s="33"/>
      <c r="J799" s="33"/>
      <c r="L799" s="33"/>
      <c r="M799" s="33"/>
      <c r="N799" s="33"/>
      <c r="O799" s="33"/>
      <c r="P799" s="33"/>
      <c r="R799" s="33"/>
      <c r="S799" s="33"/>
      <c r="T799" s="33"/>
      <c r="U799" s="33"/>
      <c r="V799" s="33"/>
      <c r="W799" s="33"/>
      <c r="X799" s="33"/>
      <c r="AA799" s="33"/>
      <c r="AC799" s="33"/>
    </row>
    <row r="800" ht="15.75" customHeight="1">
      <c r="A800" s="33"/>
      <c r="B800" s="33"/>
      <c r="F800" s="33"/>
      <c r="G800" s="33"/>
      <c r="H800" s="33"/>
      <c r="I800" s="33"/>
      <c r="J800" s="33"/>
      <c r="L800" s="33"/>
      <c r="M800" s="33"/>
      <c r="N800" s="33"/>
      <c r="O800" s="33"/>
      <c r="P800" s="33"/>
      <c r="R800" s="33"/>
      <c r="S800" s="33"/>
      <c r="T800" s="33"/>
      <c r="U800" s="33"/>
      <c r="V800" s="33"/>
      <c r="W800" s="33"/>
      <c r="X800" s="33"/>
      <c r="AA800" s="33"/>
      <c r="AC800" s="33"/>
    </row>
    <row r="801" ht="15.75" customHeight="1">
      <c r="A801" s="33"/>
      <c r="B801" s="33"/>
      <c r="F801" s="33"/>
      <c r="G801" s="33"/>
      <c r="H801" s="33"/>
      <c r="I801" s="33"/>
      <c r="J801" s="33"/>
      <c r="L801" s="33"/>
      <c r="M801" s="33"/>
      <c r="N801" s="33"/>
      <c r="O801" s="33"/>
      <c r="P801" s="33"/>
      <c r="R801" s="33"/>
      <c r="S801" s="33"/>
      <c r="T801" s="33"/>
      <c r="U801" s="33"/>
      <c r="V801" s="33"/>
      <c r="W801" s="33"/>
      <c r="X801" s="33"/>
      <c r="AA801" s="33"/>
      <c r="AC801" s="33"/>
    </row>
    <row r="802" ht="15.75" customHeight="1">
      <c r="A802" s="33"/>
      <c r="B802" s="33"/>
      <c r="F802" s="33"/>
      <c r="G802" s="33"/>
      <c r="H802" s="33"/>
      <c r="I802" s="33"/>
      <c r="J802" s="33"/>
      <c r="L802" s="33"/>
      <c r="M802" s="33"/>
      <c r="N802" s="33"/>
      <c r="O802" s="33"/>
      <c r="P802" s="33"/>
      <c r="R802" s="33"/>
      <c r="S802" s="33"/>
      <c r="T802" s="33"/>
      <c r="U802" s="33"/>
      <c r="V802" s="33"/>
      <c r="W802" s="33"/>
      <c r="X802" s="33"/>
      <c r="AA802" s="33"/>
      <c r="AC802" s="33"/>
    </row>
    <row r="803" ht="15.75" customHeight="1">
      <c r="A803" s="33"/>
      <c r="B803" s="33"/>
      <c r="F803" s="33"/>
      <c r="G803" s="33"/>
      <c r="H803" s="33"/>
      <c r="I803" s="33"/>
      <c r="J803" s="33"/>
      <c r="L803" s="33"/>
      <c r="M803" s="33"/>
      <c r="N803" s="33"/>
      <c r="O803" s="33"/>
      <c r="P803" s="33"/>
      <c r="R803" s="33"/>
      <c r="S803" s="33"/>
      <c r="T803" s="33"/>
      <c r="U803" s="33"/>
      <c r="V803" s="33"/>
      <c r="W803" s="33"/>
      <c r="X803" s="33"/>
      <c r="AA803" s="33"/>
      <c r="AC803" s="33"/>
    </row>
    <row r="804" ht="15.75" customHeight="1">
      <c r="A804" s="33"/>
      <c r="B804" s="33"/>
      <c r="F804" s="33"/>
      <c r="G804" s="33"/>
      <c r="H804" s="33"/>
      <c r="I804" s="33"/>
      <c r="J804" s="33"/>
      <c r="L804" s="33"/>
      <c r="M804" s="33"/>
      <c r="N804" s="33"/>
      <c r="O804" s="33"/>
      <c r="P804" s="33"/>
      <c r="R804" s="33"/>
      <c r="S804" s="33"/>
      <c r="T804" s="33"/>
      <c r="U804" s="33"/>
      <c r="V804" s="33"/>
      <c r="W804" s="33"/>
      <c r="X804" s="33"/>
      <c r="AA804" s="33"/>
      <c r="AC804" s="33"/>
    </row>
    <row r="805" ht="15.75" customHeight="1">
      <c r="A805" s="33"/>
      <c r="B805" s="33"/>
      <c r="F805" s="33"/>
      <c r="G805" s="33"/>
      <c r="H805" s="33"/>
      <c r="I805" s="33"/>
      <c r="J805" s="33"/>
      <c r="L805" s="33"/>
      <c r="M805" s="33"/>
      <c r="N805" s="33"/>
      <c r="O805" s="33"/>
      <c r="P805" s="33"/>
      <c r="R805" s="33"/>
      <c r="S805" s="33"/>
      <c r="T805" s="33"/>
      <c r="U805" s="33"/>
      <c r="V805" s="33"/>
      <c r="W805" s="33"/>
      <c r="X805" s="33"/>
      <c r="AA805" s="33"/>
      <c r="AC805" s="33"/>
    </row>
    <row r="806" ht="15.75" customHeight="1">
      <c r="A806" s="33"/>
      <c r="B806" s="33"/>
      <c r="F806" s="33"/>
      <c r="G806" s="33"/>
      <c r="H806" s="33"/>
      <c r="I806" s="33"/>
      <c r="J806" s="33"/>
      <c r="L806" s="33"/>
      <c r="M806" s="33"/>
      <c r="N806" s="33"/>
      <c r="O806" s="33"/>
      <c r="P806" s="33"/>
      <c r="R806" s="33"/>
      <c r="S806" s="33"/>
      <c r="T806" s="33"/>
      <c r="U806" s="33"/>
      <c r="V806" s="33"/>
      <c r="W806" s="33"/>
      <c r="X806" s="33"/>
      <c r="AA806" s="33"/>
      <c r="AC806" s="33"/>
    </row>
    <row r="807" ht="15.75" customHeight="1">
      <c r="A807" s="33"/>
      <c r="B807" s="33"/>
      <c r="F807" s="33"/>
      <c r="G807" s="33"/>
      <c r="H807" s="33"/>
      <c r="I807" s="33"/>
      <c r="J807" s="33"/>
      <c r="L807" s="33"/>
      <c r="M807" s="33"/>
      <c r="N807" s="33"/>
      <c r="O807" s="33"/>
      <c r="P807" s="33"/>
      <c r="R807" s="33"/>
      <c r="S807" s="33"/>
      <c r="T807" s="33"/>
      <c r="U807" s="33"/>
      <c r="V807" s="33"/>
      <c r="W807" s="33"/>
      <c r="X807" s="33"/>
      <c r="AA807" s="33"/>
      <c r="AC807" s="33"/>
    </row>
    <row r="808" ht="15.75" customHeight="1">
      <c r="A808" s="33"/>
      <c r="B808" s="33"/>
      <c r="F808" s="33"/>
      <c r="G808" s="33"/>
      <c r="H808" s="33"/>
      <c r="I808" s="33"/>
      <c r="J808" s="33"/>
      <c r="L808" s="33"/>
      <c r="M808" s="33"/>
      <c r="N808" s="33"/>
      <c r="O808" s="33"/>
      <c r="P808" s="33"/>
      <c r="R808" s="33"/>
      <c r="S808" s="33"/>
      <c r="T808" s="33"/>
      <c r="U808" s="33"/>
      <c r="V808" s="33"/>
      <c r="W808" s="33"/>
      <c r="X808" s="33"/>
      <c r="AA808" s="33"/>
      <c r="AC808" s="33"/>
    </row>
    <row r="809" ht="15.75" customHeight="1">
      <c r="A809" s="33"/>
      <c r="B809" s="33"/>
      <c r="F809" s="33"/>
      <c r="G809" s="33"/>
      <c r="H809" s="33"/>
      <c r="I809" s="33"/>
      <c r="J809" s="33"/>
      <c r="L809" s="33"/>
      <c r="M809" s="33"/>
      <c r="N809" s="33"/>
      <c r="O809" s="33"/>
      <c r="P809" s="33"/>
      <c r="R809" s="33"/>
      <c r="S809" s="33"/>
      <c r="T809" s="33"/>
      <c r="U809" s="33"/>
      <c r="V809" s="33"/>
      <c r="W809" s="33"/>
      <c r="X809" s="33"/>
      <c r="AA809" s="33"/>
      <c r="AC809" s="33"/>
    </row>
    <row r="810" ht="15.75" customHeight="1">
      <c r="A810" s="33"/>
      <c r="B810" s="33"/>
      <c r="F810" s="33"/>
      <c r="G810" s="33"/>
      <c r="H810" s="33"/>
      <c r="I810" s="33"/>
      <c r="J810" s="33"/>
      <c r="L810" s="33"/>
      <c r="M810" s="33"/>
      <c r="N810" s="33"/>
      <c r="O810" s="33"/>
      <c r="P810" s="33"/>
      <c r="R810" s="33"/>
      <c r="S810" s="33"/>
      <c r="T810" s="33"/>
      <c r="U810" s="33"/>
      <c r="V810" s="33"/>
      <c r="W810" s="33"/>
      <c r="X810" s="33"/>
      <c r="AA810" s="33"/>
      <c r="AC810" s="33"/>
    </row>
    <row r="811" ht="15.75" customHeight="1">
      <c r="A811" s="33"/>
      <c r="B811" s="33"/>
      <c r="F811" s="33"/>
      <c r="G811" s="33"/>
      <c r="H811" s="33"/>
      <c r="I811" s="33"/>
      <c r="J811" s="33"/>
      <c r="L811" s="33"/>
      <c r="M811" s="33"/>
      <c r="N811" s="33"/>
      <c r="O811" s="33"/>
      <c r="P811" s="33"/>
      <c r="R811" s="33"/>
      <c r="S811" s="33"/>
      <c r="T811" s="33"/>
      <c r="U811" s="33"/>
      <c r="V811" s="33"/>
      <c r="W811" s="33"/>
      <c r="X811" s="33"/>
      <c r="AA811" s="33"/>
      <c r="AC811" s="33"/>
    </row>
    <row r="812" ht="15.75" customHeight="1">
      <c r="A812" s="33"/>
      <c r="B812" s="33"/>
      <c r="F812" s="33"/>
      <c r="G812" s="33"/>
      <c r="H812" s="33"/>
      <c r="I812" s="33"/>
      <c r="J812" s="33"/>
      <c r="L812" s="33"/>
      <c r="M812" s="33"/>
      <c r="N812" s="33"/>
      <c r="O812" s="33"/>
      <c r="P812" s="33"/>
      <c r="R812" s="33"/>
      <c r="S812" s="33"/>
      <c r="T812" s="33"/>
      <c r="U812" s="33"/>
      <c r="V812" s="33"/>
      <c r="W812" s="33"/>
      <c r="X812" s="33"/>
      <c r="AA812" s="33"/>
      <c r="AC812" s="33"/>
    </row>
    <row r="813" ht="15.75" customHeight="1">
      <c r="A813" s="33"/>
      <c r="B813" s="33"/>
      <c r="F813" s="33"/>
      <c r="G813" s="33"/>
      <c r="H813" s="33"/>
      <c r="I813" s="33"/>
      <c r="J813" s="33"/>
      <c r="L813" s="33"/>
      <c r="M813" s="33"/>
      <c r="N813" s="33"/>
      <c r="O813" s="33"/>
      <c r="P813" s="33"/>
      <c r="R813" s="33"/>
      <c r="S813" s="33"/>
      <c r="T813" s="33"/>
      <c r="U813" s="33"/>
      <c r="V813" s="33"/>
      <c r="W813" s="33"/>
      <c r="X813" s="33"/>
      <c r="AA813" s="33"/>
      <c r="AC813" s="33"/>
    </row>
    <row r="814" ht="15.75" customHeight="1">
      <c r="A814" s="33"/>
      <c r="B814" s="33"/>
      <c r="F814" s="33"/>
      <c r="G814" s="33"/>
      <c r="H814" s="33"/>
      <c r="I814" s="33"/>
      <c r="J814" s="33"/>
      <c r="L814" s="33"/>
      <c r="M814" s="33"/>
      <c r="N814" s="33"/>
      <c r="O814" s="33"/>
      <c r="P814" s="33"/>
      <c r="R814" s="33"/>
      <c r="S814" s="33"/>
      <c r="T814" s="33"/>
      <c r="U814" s="33"/>
      <c r="V814" s="33"/>
      <c r="W814" s="33"/>
      <c r="X814" s="33"/>
      <c r="AA814" s="33"/>
      <c r="AC814" s="33"/>
    </row>
    <row r="815" ht="15.75" customHeight="1">
      <c r="A815" s="33"/>
      <c r="B815" s="33"/>
      <c r="F815" s="33"/>
      <c r="G815" s="33"/>
      <c r="H815" s="33"/>
      <c r="I815" s="33"/>
      <c r="J815" s="33"/>
      <c r="L815" s="33"/>
      <c r="M815" s="33"/>
      <c r="N815" s="33"/>
      <c r="O815" s="33"/>
      <c r="P815" s="33"/>
      <c r="R815" s="33"/>
      <c r="S815" s="33"/>
      <c r="T815" s="33"/>
      <c r="U815" s="33"/>
      <c r="V815" s="33"/>
      <c r="W815" s="33"/>
      <c r="X815" s="33"/>
      <c r="AA815" s="33"/>
      <c r="AC815" s="33"/>
    </row>
    <row r="816" ht="15.75" customHeight="1">
      <c r="A816" s="33"/>
      <c r="B816" s="33"/>
      <c r="F816" s="33"/>
      <c r="G816" s="33"/>
      <c r="H816" s="33"/>
      <c r="I816" s="33"/>
      <c r="J816" s="33"/>
      <c r="L816" s="33"/>
      <c r="M816" s="33"/>
      <c r="N816" s="33"/>
      <c r="O816" s="33"/>
      <c r="P816" s="33"/>
      <c r="R816" s="33"/>
      <c r="S816" s="33"/>
      <c r="T816" s="33"/>
      <c r="U816" s="33"/>
      <c r="V816" s="33"/>
      <c r="W816" s="33"/>
      <c r="X816" s="33"/>
      <c r="AA816" s="33"/>
      <c r="AC816" s="33"/>
    </row>
    <row r="817" ht="15.75" customHeight="1">
      <c r="A817" s="33"/>
      <c r="B817" s="33"/>
      <c r="F817" s="33"/>
      <c r="G817" s="33"/>
      <c r="H817" s="33"/>
      <c r="I817" s="33"/>
      <c r="J817" s="33"/>
      <c r="L817" s="33"/>
      <c r="M817" s="33"/>
      <c r="N817" s="33"/>
      <c r="O817" s="33"/>
      <c r="P817" s="33"/>
      <c r="R817" s="33"/>
      <c r="S817" s="33"/>
      <c r="T817" s="33"/>
      <c r="U817" s="33"/>
      <c r="V817" s="33"/>
      <c r="W817" s="33"/>
      <c r="X817" s="33"/>
      <c r="AA817" s="33"/>
      <c r="AC817" s="33"/>
    </row>
    <row r="818" ht="15.75" customHeight="1">
      <c r="A818" s="33"/>
      <c r="B818" s="33"/>
      <c r="F818" s="33"/>
      <c r="G818" s="33"/>
      <c r="H818" s="33"/>
      <c r="I818" s="33"/>
      <c r="J818" s="33"/>
      <c r="L818" s="33"/>
      <c r="M818" s="33"/>
      <c r="N818" s="33"/>
      <c r="O818" s="33"/>
      <c r="P818" s="33"/>
      <c r="R818" s="33"/>
      <c r="S818" s="33"/>
      <c r="T818" s="33"/>
      <c r="U818" s="33"/>
      <c r="V818" s="33"/>
      <c r="W818" s="33"/>
      <c r="X818" s="33"/>
      <c r="AA818" s="33"/>
      <c r="AC818" s="33"/>
    </row>
    <row r="819" ht="15.75" customHeight="1">
      <c r="A819" s="33"/>
      <c r="B819" s="33"/>
      <c r="F819" s="33"/>
      <c r="G819" s="33"/>
      <c r="H819" s="33"/>
      <c r="I819" s="33"/>
      <c r="J819" s="33"/>
      <c r="L819" s="33"/>
      <c r="M819" s="33"/>
      <c r="N819" s="33"/>
      <c r="O819" s="33"/>
      <c r="P819" s="33"/>
      <c r="R819" s="33"/>
      <c r="S819" s="33"/>
      <c r="T819" s="33"/>
      <c r="U819" s="33"/>
      <c r="V819" s="33"/>
      <c r="W819" s="33"/>
      <c r="X819" s="33"/>
      <c r="AA819" s="33"/>
      <c r="AC819" s="33"/>
    </row>
    <row r="820" ht="15.75" customHeight="1">
      <c r="A820" s="33"/>
      <c r="B820" s="33"/>
      <c r="F820" s="33"/>
      <c r="G820" s="33"/>
      <c r="H820" s="33"/>
      <c r="I820" s="33"/>
      <c r="J820" s="33"/>
      <c r="L820" s="33"/>
      <c r="M820" s="33"/>
      <c r="N820" s="33"/>
      <c r="O820" s="33"/>
      <c r="P820" s="33"/>
      <c r="R820" s="33"/>
      <c r="S820" s="33"/>
      <c r="T820" s="33"/>
      <c r="U820" s="33"/>
      <c r="V820" s="33"/>
      <c r="W820" s="33"/>
      <c r="X820" s="33"/>
      <c r="AA820" s="33"/>
      <c r="AC820" s="33"/>
    </row>
    <row r="821" ht="15.75" customHeight="1">
      <c r="A821" s="33"/>
      <c r="B821" s="33"/>
      <c r="F821" s="33"/>
      <c r="G821" s="33"/>
      <c r="H821" s="33"/>
      <c r="I821" s="33"/>
      <c r="J821" s="33"/>
      <c r="L821" s="33"/>
      <c r="M821" s="33"/>
      <c r="N821" s="33"/>
      <c r="O821" s="33"/>
      <c r="P821" s="33"/>
      <c r="R821" s="33"/>
      <c r="S821" s="33"/>
      <c r="T821" s="33"/>
      <c r="U821" s="33"/>
      <c r="V821" s="33"/>
      <c r="W821" s="33"/>
      <c r="X821" s="33"/>
      <c r="AA821" s="33"/>
      <c r="AC821" s="33"/>
    </row>
    <row r="822" ht="15.75" customHeight="1">
      <c r="A822" s="33"/>
      <c r="B822" s="33"/>
      <c r="F822" s="33"/>
      <c r="G822" s="33"/>
      <c r="H822" s="33"/>
      <c r="I822" s="33"/>
      <c r="J822" s="33"/>
      <c r="L822" s="33"/>
      <c r="M822" s="33"/>
      <c r="N822" s="33"/>
      <c r="O822" s="33"/>
      <c r="P822" s="33"/>
      <c r="R822" s="33"/>
      <c r="S822" s="33"/>
      <c r="T822" s="33"/>
      <c r="U822" s="33"/>
      <c r="V822" s="33"/>
      <c r="W822" s="33"/>
      <c r="X822" s="33"/>
      <c r="AA822" s="33"/>
      <c r="AC822" s="33"/>
    </row>
    <row r="823" ht="15.75" customHeight="1">
      <c r="A823" s="33"/>
      <c r="B823" s="33"/>
      <c r="F823" s="33"/>
      <c r="G823" s="33"/>
      <c r="H823" s="33"/>
      <c r="I823" s="33"/>
      <c r="J823" s="33"/>
      <c r="L823" s="33"/>
      <c r="M823" s="33"/>
      <c r="N823" s="33"/>
      <c r="O823" s="33"/>
      <c r="P823" s="33"/>
      <c r="R823" s="33"/>
      <c r="S823" s="33"/>
      <c r="T823" s="33"/>
      <c r="U823" s="33"/>
      <c r="V823" s="33"/>
      <c r="W823" s="33"/>
      <c r="X823" s="33"/>
      <c r="AA823" s="33"/>
      <c r="AC823" s="33"/>
    </row>
    <row r="824" ht="15.75" customHeight="1">
      <c r="A824" s="33"/>
      <c r="B824" s="33"/>
      <c r="F824" s="33"/>
      <c r="G824" s="33"/>
      <c r="H824" s="33"/>
      <c r="I824" s="33"/>
      <c r="J824" s="33"/>
      <c r="L824" s="33"/>
      <c r="M824" s="33"/>
      <c r="N824" s="33"/>
      <c r="O824" s="33"/>
      <c r="P824" s="33"/>
      <c r="R824" s="33"/>
      <c r="S824" s="33"/>
      <c r="T824" s="33"/>
      <c r="U824" s="33"/>
      <c r="V824" s="33"/>
      <c r="W824" s="33"/>
      <c r="X824" s="33"/>
      <c r="AA824" s="33"/>
      <c r="AC824" s="33"/>
    </row>
    <row r="825" ht="15.75" customHeight="1">
      <c r="A825" s="33"/>
      <c r="B825" s="33"/>
      <c r="F825" s="33"/>
      <c r="G825" s="33"/>
      <c r="H825" s="33"/>
      <c r="I825" s="33"/>
      <c r="J825" s="33"/>
      <c r="L825" s="33"/>
      <c r="M825" s="33"/>
      <c r="N825" s="33"/>
      <c r="O825" s="33"/>
      <c r="P825" s="33"/>
      <c r="R825" s="33"/>
      <c r="S825" s="33"/>
      <c r="T825" s="33"/>
      <c r="U825" s="33"/>
      <c r="V825" s="33"/>
      <c r="W825" s="33"/>
      <c r="X825" s="33"/>
      <c r="AA825" s="33"/>
      <c r="AC825" s="33"/>
    </row>
    <row r="826" ht="15.75" customHeight="1">
      <c r="A826" s="33"/>
      <c r="B826" s="33"/>
      <c r="F826" s="33"/>
      <c r="G826" s="33"/>
      <c r="H826" s="33"/>
      <c r="I826" s="33"/>
      <c r="J826" s="33"/>
      <c r="L826" s="33"/>
      <c r="M826" s="33"/>
      <c r="N826" s="33"/>
      <c r="O826" s="33"/>
      <c r="P826" s="33"/>
      <c r="R826" s="33"/>
      <c r="S826" s="33"/>
      <c r="T826" s="33"/>
      <c r="U826" s="33"/>
      <c r="V826" s="33"/>
      <c r="W826" s="33"/>
      <c r="X826" s="33"/>
      <c r="AA826" s="33"/>
      <c r="AC826" s="33"/>
    </row>
    <row r="827" ht="15.75" customHeight="1">
      <c r="A827" s="33"/>
      <c r="B827" s="33"/>
      <c r="F827" s="33"/>
      <c r="G827" s="33"/>
      <c r="H827" s="33"/>
      <c r="I827" s="33"/>
      <c r="J827" s="33"/>
      <c r="L827" s="33"/>
      <c r="M827" s="33"/>
      <c r="N827" s="33"/>
      <c r="O827" s="33"/>
      <c r="P827" s="33"/>
      <c r="R827" s="33"/>
      <c r="S827" s="33"/>
      <c r="T827" s="33"/>
      <c r="U827" s="33"/>
      <c r="V827" s="33"/>
      <c r="W827" s="33"/>
      <c r="X827" s="33"/>
      <c r="AA827" s="33"/>
      <c r="AC827" s="33"/>
    </row>
    <row r="828" ht="15.75" customHeight="1">
      <c r="A828" s="33"/>
      <c r="B828" s="33"/>
      <c r="F828" s="33"/>
      <c r="G828" s="33"/>
      <c r="H828" s="33"/>
      <c r="I828" s="33"/>
      <c r="J828" s="33"/>
      <c r="L828" s="33"/>
      <c r="M828" s="33"/>
      <c r="N828" s="33"/>
      <c r="O828" s="33"/>
      <c r="P828" s="33"/>
      <c r="R828" s="33"/>
      <c r="S828" s="33"/>
      <c r="T828" s="33"/>
      <c r="U828" s="33"/>
      <c r="V828" s="33"/>
      <c r="W828" s="33"/>
      <c r="X828" s="33"/>
      <c r="AA828" s="33"/>
      <c r="AC828" s="33"/>
    </row>
    <row r="829" ht="15.75" customHeight="1">
      <c r="A829" s="33"/>
      <c r="B829" s="33"/>
      <c r="F829" s="33"/>
      <c r="G829" s="33"/>
      <c r="H829" s="33"/>
      <c r="I829" s="33"/>
      <c r="J829" s="33"/>
      <c r="L829" s="33"/>
      <c r="M829" s="33"/>
      <c r="N829" s="33"/>
      <c r="O829" s="33"/>
      <c r="P829" s="33"/>
      <c r="R829" s="33"/>
      <c r="S829" s="33"/>
      <c r="T829" s="33"/>
      <c r="U829" s="33"/>
      <c r="V829" s="33"/>
      <c r="W829" s="33"/>
      <c r="X829" s="33"/>
      <c r="AA829" s="33"/>
      <c r="AC829" s="33"/>
    </row>
    <row r="830" ht="15.75" customHeight="1">
      <c r="A830" s="33"/>
      <c r="B830" s="33"/>
      <c r="F830" s="33"/>
      <c r="G830" s="33"/>
      <c r="H830" s="33"/>
      <c r="I830" s="33"/>
      <c r="J830" s="33"/>
      <c r="L830" s="33"/>
      <c r="M830" s="33"/>
      <c r="N830" s="33"/>
      <c r="O830" s="33"/>
      <c r="P830" s="33"/>
      <c r="R830" s="33"/>
      <c r="S830" s="33"/>
      <c r="T830" s="33"/>
      <c r="U830" s="33"/>
      <c r="V830" s="33"/>
      <c r="W830" s="33"/>
      <c r="X830" s="33"/>
      <c r="AA830" s="33"/>
      <c r="AC830" s="33"/>
    </row>
    <row r="831" ht="15.75" customHeight="1">
      <c r="A831" s="33"/>
      <c r="B831" s="33"/>
      <c r="F831" s="33"/>
      <c r="G831" s="33"/>
      <c r="H831" s="33"/>
      <c r="I831" s="33"/>
      <c r="J831" s="33"/>
      <c r="L831" s="33"/>
      <c r="M831" s="33"/>
      <c r="N831" s="33"/>
      <c r="O831" s="33"/>
      <c r="P831" s="33"/>
      <c r="R831" s="33"/>
      <c r="S831" s="33"/>
      <c r="T831" s="33"/>
      <c r="U831" s="33"/>
      <c r="V831" s="33"/>
      <c r="W831" s="33"/>
      <c r="X831" s="33"/>
      <c r="AA831" s="33"/>
      <c r="AC831" s="33"/>
    </row>
    <row r="832" ht="15.75" customHeight="1">
      <c r="A832" s="33"/>
      <c r="B832" s="33"/>
      <c r="F832" s="33"/>
      <c r="G832" s="33"/>
      <c r="H832" s="33"/>
      <c r="I832" s="33"/>
      <c r="J832" s="33"/>
      <c r="L832" s="33"/>
      <c r="M832" s="33"/>
      <c r="N832" s="33"/>
      <c r="O832" s="33"/>
      <c r="P832" s="33"/>
      <c r="R832" s="33"/>
      <c r="S832" s="33"/>
      <c r="T832" s="33"/>
      <c r="U832" s="33"/>
      <c r="V832" s="33"/>
      <c r="W832" s="33"/>
      <c r="X832" s="33"/>
      <c r="AA832" s="33"/>
      <c r="AC832" s="33"/>
    </row>
    <row r="833" ht="15.75" customHeight="1">
      <c r="A833" s="33"/>
      <c r="B833" s="33"/>
      <c r="F833" s="33"/>
      <c r="G833" s="33"/>
      <c r="H833" s="33"/>
      <c r="I833" s="33"/>
      <c r="J833" s="33"/>
      <c r="L833" s="33"/>
      <c r="M833" s="33"/>
      <c r="N833" s="33"/>
      <c r="O833" s="33"/>
      <c r="P833" s="33"/>
      <c r="R833" s="33"/>
      <c r="S833" s="33"/>
      <c r="T833" s="33"/>
      <c r="U833" s="33"/>
      <c r="V833" s="33"/>
      <c r="W833" s="33"/>
      <c r="X833" s="33"/>
      <c r="AA833" s="33"/>
      <c r="AC833" s="33"/>
    </row>
    <row r="834" ht="15.75" customHeight="1">
      <c r="A834" s="33"/>
      <c r="B834" s="33"/>
      <c r="F834" s="33"/>
      <c r="G834" s="33"/>
      <c r="H834" s="33"/>
      <c r="I834" s="33"/>
      <c r="J834" s="33"/>
      <c r="L834" s="33"/>
      <c r="M834" s="33"/>
      <c r="N834" s="33"/>
      <c r="O834" s="33"/>
      <c r="P834" s="33"/>
      <c r="R834" s="33"/>
      <c r="S834" s="33"/>
      <c r="T834" s="33"/>
      <c r="U834" s="33"/>
      <c r="V834" s="33"/>
      <c r="W834" s="33"/>
      <c r="X834" s="33"/>
      <c r="AA834" s="33"/>
      <c r="AC834" s="33"/>
    </row>
    <row r="835" ht="15.75" customHeight="1">
      <c r="A835" s="33"/>
      <c r="B835" s="33"/>
      <c r="F835" s="33"/>
      <c r="G835" s="33"/>
      <c r="H835" s="33"/>
      <c r="I835" s="33"/>
      <c r="J835" s="33"/>
      <c r="L835" s="33"/>
      <c r="M835" s="33"/>
      <c r="N835" s="33"/>
      <c r="O835" s="33"/>
      <c r="P835" s="33"/>
      <c r="R835" s="33"/>
      <c r="S835" s="33"/>
      <c r="T835" s="33"/>
      <c r="U835" s="33"/>
      <c r="V835" s="33"/>
      <c r="W835" s="33"/>
      <c r="X835" s="33"/>
      <c r="AA835" s="33"/>
      <c r="AC835" s="33"/>
    </row>
    <row r="836" ht="15.75" customHeight="1">
      <c r="A836" s="33"/>
      <c r="B836" s="33"/>
      <c r="F836" s="33"/>
      <c r="G836" s="33"/>
      <c r="H836" s="33"/>
      <c r="I836" s="33"/>
      <c r="J836" s="33"/>
      <c r="L836" s="33"/>
      <c r="M836" s="33"/>
      <c r="N836" s="33"/>
      <c r="O836" s="33"/>
      <c r="P836" s="33"/>
      <c r="R836" s="33"/>
      <c r="S836" s="33"/>
      <c r="T836" s="33"/>
      <c r="U836" s="33"/>
      <c r="V836" s="33"/>
      <c r="W836" s="33"/>
      <c r="X836" s="33"/>
      <c r="AA836" s="33"/>
      <c r="AC836" s="33"/>
    </row>
    <row r="837" ht="15.75" customHeight="1">
      <c r="A837" s="33"/>
      <c r="B837" s="33"/>
      <c r="F837" s="33"/>
      <c r="G837" s="33"/>
      <c r="H837" s="33"/>
      <c r="I837" s="33"/>
      <c r="J837" s="33"/>
      <c r="L837" s="33"/>
      <c r="M837" s="33"/>
      <c r="N837" s="33"/>
      <c r="O837" s="33"/>
      <c r="P837" s="33"/>
      <c r="R837" s="33"/>
      <c r="S837" s="33"/>
      <c r="T837" s="33"/>
      <c r="U837" s="33"/>
      <c r="V837" s="33"/>
      <c r="W837" s="33"/>
      <c r="X837" s="33"/>
      <c r="AA837" s="33"/>
      <c r="AC837" s="33"/>
    </row>
    <row r="838" ht="15.75" customHeight="1">
      <c r="A838" s="33"/>
      <c r="B838" s="33"/>
      <c r="F838" s="33"/>
      <c r="G838" s="33"/>
      <c r="H838" s="33"/>
      <c r="I838" s="33"/>
      <c r="J838" s="33"/>
      <c r="L838" s="33"/>
      <c r="M838" s="33"/>
      <c r="N838" s="33"/>
      <c r="O838" s="33"/>
      <c r="P838" s="33"/>
      <c r="R838" s="33"/>
      <c r="S838" s="33"/>
      <c r="T838" s="33"/>
      <c r="U838" s="33"/>
      <c r="V838" s="33"/>
      <c r="W838" s="33"/>
      <c r="X838" s="33"/>
      <c r="AA838" s="33"/>
      <c r="AC838" s="33"/>
    </row>
    <row r="839" ht="15.75" customHeight="1">
      <c r="A839" s="33"/>
      <c r="B839" s="33"/>
      <c r="F839" s="33"/>
      <c r="G839" s="33"/>
      <c r="H839" s="33"/>
      <c r="I839" s="33"/>
      <c r="J839" s="33"/>
      <c r="L839" s="33"/>
      <c r="M839" s="33"/>
      <c r="N839" s="33"/>
      <c r="O839" s="33"/>
      <c r="P839" s="33"/>
      <c r="R839" s="33"/>
      <c r="S839" s="33"/>
      <c r="T839" s="33"/>
      <c r="U839" s="33"/>
      <c r="V839" s="33"/>
      <c r="W839" s="33"/>
      <c r="X839" s="33"/>
      <c r="AA839" s="33"/>
      <c r="AC839" s="33"/>
    </row>
    <row r="840" ht="15.75" customHeight="1">
      <c r="A840" s="33"/>
      <c r="B840" s="33"/>
      <c r="F840" s="33"/>
      <c r="G840" s="33"/>
      <c r="H840" s="33"/>
      <c r="I840" s="33"/>
      <c r="J840" s="33"/>
      <c r="L840" s="33"/>
      <c r="M840" s="33"/>
      <c r="N840" s="33"/>
      <c r="O840" s="33"/>
      <c r="P840" s="33"/>
      <c r="R840" s="33"/>
      <c r="S840" s="33"/>
      <c r="T840" s="33"/>
      <c r="U840" s="33"/>
      <c r="V840" s="33"/>
      <c r="W840" s="33"/>
      <c r="X840" s="33"/>
      <c r="AA840" s="33"/>
      <c r="AC840" s="33"/>
    </row>
    <row r="841" ht="15.75" customHeight="1">
      <c r="A841" s="33"/>
      <c r="B841" s="33"/>
      <c r="F841" s="33"/>
      <c r="G841" s="33"/>
      <c r="H841" s="33"/>
      <c r="I841" s="33"/>
      <c r="J841" s="33"/>
      <c r="L841" s="33"/>
      <c r="M841" s="33"/>
      <c r="N841" s="33"/>
      <c r="O841" s="33"/>
      <c r="P841" s="33"/>
      <c r="R841" s="33"/>
      <c r="S841" s="33"/>
      <c r="T841" s="33"/>
      <c r="U841" s="33"/>
      <c r="V841" s="33"/>
      <c r="W841" s="33"/>
      <c r="X841" s="33"/>
      <c r="AA841" s="33"/>
      <c r="AC841" s="33"/>
    </row>
    <row r="842" ht="15.75" customHeight="1">
      <c r="A842" s="33"/>
      <c r="B842" s="33"/>
      <c r="F842" s="33"/>
      <c r="G842" s="33"/>
      <c r="H842" s="33"/>
      <c r="I842" s="33"/>
      <c r="J842" s="33"/>
      <c r="L842" s="33"/>
      <c r="M842" s="33"/>
      <c r="N842" s="33"/>
      <c r="O842" s="33"/>
      <c r="P842" s="33"/>
      <c r="R842" s="33"/>
      <c r="S842" s="33"/>
      <c r="T842" s="33"/>
      <c r="U842" s="33"/>
      <c r="V842" s="33"/>
      <c r="W842" s="33"/>
      <c r="X842" s="33"/>
      <c r="AA842" s="33"/>
      <c r="AC842" s="33"/>
    </row>
    <row r="843" ht="15.75" customHeight="1">
      <c r="A843" s="33"/>
      <c r="B843" s="33"/>
      <c r="F843" s="33"/>
      <c r="G843" s="33"/>
      <c r="H843" s="33"/>
      <c r="I843" s="33"/>
      <c r="J843" s="33"/>
      <c r="L843" s="33"/>
      <c r="M843" s="33"/>
      <c r="N843" s="33"/>
      <c r="O843" s="33"/>
      <c r="P843" s="33"/>
      <c r="R843" s="33"/>
      <c r="S843" s="33"/>
      <c r="T843" s="33"/>
      <c r="U843" s="33"/>
      <c r="V843" s="33"/>
      <c r="W843" s="33"/>
      <c r="X843" s="33"/>
      <c r="AA843" s="33"/>
      <c r="AC843" s="33"/>
    </row>
    <row r="844" ht="15.75" customHeight="1">
      <c r="A844" s="33"/>
      <c r="B844" s="33"/>
      <c r="F844" s="33"/>
      <c r="G844" s="33"/>
      <c r="H844" s="33"/>
      <c r="I844" s="33"/>
      <c r="J844" s="33"/>
      <c r="L844" s="33"/>
      <c r="M844" s="33"/>
      <c r="N844" s="33"/>
      <c r="O844" s="33"/>
      <c r="P844" s="33"/>
      <c r="R844" s="33"/>
      <c r="S844" s="33"/>
      <c r="T844" s="33"/>
      <c r="U844" s="33"/>
      <c r="V844" s="33"/>
      <c r="W844" s="33"/>
      <c r="X844" s="33"/>
      <c r="AA844" s="33"/>
      <c r="AC844" s="33"/>
    </row>
    <row r="845" ht="15.75" customHeight="1">
      <c r="A845" s="33"/>
      <c r="B845" s="33"/>
      <c r="F845" s="33"/>
      <c r="G845" s="33"/>
      <c r="H845" s="33"/>
      <c r="I845" s="33"/>
      <c r="J845" s="33"/>
      <c r="L845" s="33"/>
      <c r="M845" s="33"/>
      <c r="N845" s="33"/>
      <c r="O845" s="33"/>
      <c r="P845" s="33"/>
      <c r="R845" s="33"/>
      <c r="S845" s="33"/>
      <c r="T845" s="33"/>
      <c r="U845" s="33"/>
      <c r="V845" s="33"/>
      <c r="W845" s="33"/>
      <c r="X845" s="33"/>
      <c r="AA845" s="33"/>
      <c r="AC845" s="33"/>
    </row>
    <row r="846" ht="15.75" customHeight="1">
      <c r="A846" s="33"/>
      <c r="B846" s="33"/>
      <c r="F846" s="33"/>
      <c r="G846" s="33"/>
      <c r="H846" s="33"/>
      <c r="I846" s="33"/>
      <c r="J846" s="33"/>
      <c r="L846" s="33"/>
      <c r="M846" s="33"/>
      <c r="N846" s="33"/>
      <c r="O846" s="33"/>
      <c r="P846" s="33"/>
      <c r="R846" s="33"/>
      <c r="S846" s="33"/>
      <c r="T846" s="33"/>
      <c r="U846" s="33"/>
      <c r="V846" s="33"/>
      <c r="W846" s="33"/>
      <c r="X846" s="33"/>
      <c r="AA846" s="33"/>
      <c r="AC846" s="33"/>
    </row>
    <row r="847" ht="15.75" customHeight="1">
      <c r="A847" s="33"/>
      <c r="B847" s="33"/>
      <c r="F847" s="33"/>
      <c r="G847" s="33"/>
      <c r="H847" s="33"/>
      <c r="I847" s="33"/>
      <c r="J847" s="33"/>
      <c r="L847" s="33"/>
      <c r="M847" s="33"/>
      <c r="N847" s="33"/>
      <c r="O847" s="33"/>
      <c r="P847" s="33"/>
      <c r="R847" s="33"/>
      <c r="S847" s="33"/>
      <c r="T847" s="33"/>
      <c r="U847" s="33"/>
      <c r="V847" s="33"/>
      <c r="W847" s="33"/>
      <c r="X847" s="33"/>
      <c r="AA847" s="33"/>
      <c r="AC847" s="33"/>
    </row>
    <row r="848" ht="15.75" customHeight="1">
      <c r="A848" s="33"/>
      <c r="B848" s="33"/>
      <c r="F848" s="33"/>
      <c r="G848" s="33"/>
      <c r="H848" s="33"/>
      <c r="I848" s="33"/>
      <c r="J848" s="33"/>
      <c r="L848" s="33"/>
      <c r="M848" s="33"/>
      <c r="N848" s="33"/>
      <c r="O848" s="33"/>
      <c r="P848" s="33"/>
      <c r="R848" s="33"/>
      <c r="S848" s="33"/>
      <c r="T848" s="33"/>
      <c r="U848" s="33"/>
      <c r="V848" s="33"/>
      <c r="W848" s="33"/>
      <c r="X848" s="33"/>
      <c r="AA848" s="33"/>
      <c r="AC848" s="33"/>
    </row>
    <row r="849" ht="15.75" customHeight="1">
      <c r="A849" s="33"/>
      <c r="B849" s="33"/>
      <c r="F849" s="33"/>
      <c r="G849" s="33"/>
      <c r="H849" s="33"/>
      <c r="I849" s="33"/>
      <c r="J849" s="33"/>
      <c r="L849" s="33"/>
      <c r="M849" s="33"/>
      <c r="N849" s="33"/>
      <c r="O849" s="33"/>
      <c r="P849" s="33"/>
      <c r="R849" s="33"/>
      <c r="S849" s="33"/>
      <c r="T849" s="33"/>
      <c r="U849" s="33"/>
      <c r="V849" s="33"/>
      <c r="W849" s="33"/>
      <c r="X849" s="33"/>
      <c r="AA849" s="33"/>
      <c r="AC849" s="33"/>
    </row>
    <row r="850" ht="15.75" customHeight="1">
      <c r="A850" s="33"/>
      <c r="B850" s="33"/>
      <c r="F850" s="33"/>
      <c r="G850" s="33"/>
      <c r="H850" s="33"/>
      <c r="I850" s="33"/>
      <c r="J850" s="33"/>
      <c r="L850" s="33"/>
      <c r="M850" s="33"/>
      <c r="N850" s="33"/>
      <c r="O850" s="33"/>
      <c r="P850" s="33"/>
      <c r="R850" s="33"/>
      <c r="S850" s="33"/>
      <c r="T850" s="33"/>
      <c r="U850" s="33"/>
      <c r="V850" s="33"/>
      <c r="W850" s="33"/>
      <c r="X850" s="33"/>
      <c r="AA850" s="33"/>
      <c r="AC850" s="33"/>
    </row>
    <row r="851" ht="15.75" customHeight="1">
      <c r="A851" s="33"/>
      <c r="B851" s="33"/>
      <c r="F851" s="33"/>
      <c r="G851" s="33"/>
      <c r="H851" s="33"/>
      <c r="I851" s="33"/>
      <c r="J851" s="33"/>
      <c r="L851" s="33"/>
      <c r="M851" s="33"/>
      <c r="N851" s="33"/>
      <c r="O851" s="33"/>
      <c r="P851" s="33"/>
      <c r="R851" s="33"/>
      <c r="S851" s="33"/>
      <c r="T851" s="33"/>
      <c r="U851" s="33"/>
      <c r="V851" s="33"/>
      <c r="W851" s="33"/>
      <c r="X851" s="33"/>
      <c r="AA851" s="33"/>
      <c r="AC851" s="33"/>
    </row>
    <row r="852" ht="15.75" customHeight="1">
      <c r="A852" s="33"/>
      <c r="B852" s="33"/>
      <c r="F852" s="33"/>
      <c r="G852" s="33"/>
      <c r="H852" s="33"/>
      <c r="I852" s="33"/>
      <c r="J852" s="33"/>
      <c r="L852" s="33"/>
      <c r="M852" s="33"/>
      <c r="N852" s="33"/>
      <c r="O852" s="33"/>
      <c r="P852" s="33"/>
      <c r="R852" s="33"/>
      <c r="S852" s="33"/>
      <c r="T852" s="33"/>
      <c r="U852" s="33"/>
      <c r="V852" s="33"/>
      <c r="W852" s="33"/>
      <c r="X852" s="33"/>
      <c r="AA852" s="33"/>
      <c r="AC852" s="33"/>
    </row>
    <row r="853" ht="15.75" customHeight="1">
      <c r="A853" s="33"/>
      <c r="B853" s="33"/>
      <c r="F853" s="33"/>
      <c r="G853" s="33"/>
      <c r="H853" s="33"/>
      <c r="I853" s="33"/>
      <c r="J853" s="33"/>
      <c r="L853" s="33"/>
      <c r="M853" s="33"/>
      <c r="N853" s="33"/>
      <c r="O853" s="33"/>
      <c r="P853" s="33"/>
      <c r="R853" s="33"/>
      <c r="S853" s="33"/>
      <c r="T853" s="33"/>
      <c r="U853" s="33"/>
      <c r="V853" s="33"/>
      <c r="W853" s="33"/>
      <c r="X853" s="33"/>
      <c r="AA853" s="33"/>
      <c r="AC853" s="33"/>
    </row>
    <row r="854" ht="15.75" customHeight="1">
      <c r="A854" s="33"/>
      <c r="B854" s="33"/>
      <c r="F854" s="33"/>
      <c r="G854" s="33"/>
      <c r="H854" s="33"/>
      <c r="I854" s="33"/>
      <c r="J854" s="33"/>
      <c r="L854" s="33"/>
      <c r="M854" s="33"/>
      <c r="N854" s="33"/>
      <c r="O854" s="33"/>
      <c r="P854" s="33"/>
      <c r="R854" s="33"/>
      <c r="S854" s="33"/>
      <c r="T854" s="33"/>
      <c r="U854" s="33"/>
      <c r="V854" s="33"/>
      <c r="W854" s="33"/>
      <c r="X854" s="33"/>
      <c r="AA854" s="33"/>
      <c r="AC854" s="33"/>
    </row>
    <row r="855" ht="15.75" customHeight="1">
      <c r="A855" s="33"/>
      <c r="B855" s="33"/>
      <c r="F855" s="33"/>
      <c r="G855" s="33"/>
      <c r="H855" s="33"/>
      <c r="I855" s="33"/>
      <c r="J855" s="33"/>
      <c r="L855" s="33"/>
      <c r="M855" s="33"/>
      <c r="N855" s="33"/>
      <c r="O855" s="33"/>
      <c r="P855" s="33"/>
      <c r="R855" s="33"/>
      <c r="S855" s="33"/>
      <c r="T855" s="33"/>
      <c r="U855" s="33"/>
      <c r="V855" s="33"/>
      <c r="W855" s="33"/>
      <c r="X855" s="33"/>
      <c r="AA855" s="33"/>
      <c r="AC855" s="33"/>
    </row>
    <row r="856" ht="15.75" customHeight="1">
      <c r="A856" s="33"/>
      <c r="B856" s="33"/>
      <c r="F856" s="33"/>
      <c r="G856" s="33"/>
      <c r="H856" s="33"/>
      <c r="I856" s="33"/>
      <c r="J856" s="33"/>
      <c r="L856" s="33"/>
      <c r="M856" s="33"/>
      <c r="N856" s="33"/>
      <c r="O856" s="33"/>
      <c r="P856" s="33"/>
      <c r="R856" s="33"/>
      <c r="S856" s="33"/>
      <c r="T856" s="33"/>
      <c r="U856" s="33"/>
      <c r="V856" s="33"/>
      <c r="W856" s="33"/>
      <c r="X856" s="33"/>
      <c r="AA856" s="33"/>
      <c r="AC856" s="33"/>
    </row>
    <row r="857" ht="15.75" customHeight="1">
      <c r="A857" s="33"/>
      <c r="B857" s="33"/>
      <c r="F857" s="33"/>
      <c r="G857" s="33"/>
      <c r="H857" s="33"/>
      <c r="I857" s="33"/>
      <c r="J857" s="33"/>
      <c r="L857" s="33"/>
      <c r="M857" s="33"/>
      <c r="N857" s="33"/>
      <c r="O857" s="33"/>
      <c r="P857" s="33"/>
      <c r="R857" s="33"/>
      <c r="S857" s="33"/>
      <c r="T857" s="33"/>
      <c r="U857" s="33"/>
      <c r="V857" s="33"/>
      <c r="W857" s="33"/>
      <c r="X857" s="33"/>
      <c r="AA857" s="33"/>
      <c r="AC857" s="33"/>
    </row>
    <row r="858" ht="15.75" customHeight="1">
      <c r="A858" s="33"/>
      <c r="B858" s="33"/>
      <c r="F858" s="33"/>
      <c r="G858" s="33"/>
      <c r="H858" s="33"/>
      <c r="I858" s="33"/>
      <c r="J858" s="33"/>
      <c r="L858" s="33"/>
      <c r="M858" s="33"/>
      <c r="N858" s="33"/>
      <c r="O858" s="33"/>
      <c r="P858" s="33"/>
      <c r="R858" s="33"/>
      <c r="S858" s="33"/>
      <c r="T858" s="33"/>
      <c r="U858" s="33"/>
      <c r="V858" s="33"/>
      <c r="W858" s="33"/>
      <c r="X858" s="33"/>
      <c r="AA858" s="33"/>
      <c r="AC858" s="33"/>
    </row>
    <row r="859" ht="15.75" customHeight="1">
      <c r="A859" s="33"/>
      <c r="B859" s="33"/>
      <c r="F859" s="33"/>
      <c r="G859" s="33"/>
      <c r="H859" s="33"/>
      <c r="I859" s="33"/>
      <c r="J859" s="33"/>
      <c r="L859" s="33"/>
      <c r="M859" s="33"/>
      <c r="N859" s="33"/>
      <c r="O859" s="33"/>
      <c r="P859" s="33"/>
      <c r="R859" s="33"/>
      <c r="S859" s="33"/>
      <c r="T859" s="33"/>
      <c r="U859" s="33"/>
      <c r="V859" s="33"/>
      <c r="W859" s="33"/>
      <c r="X859" s="33"/>
      <c r="AA859" s="33"/>
      <c r="AC859" s="33"/>
    </row>
    <row r="860" ht="15.75" customHeight="1">
      <c r="A860" s="33"/>
      <c r="B860" s="33"/>
      <c r="F860" s="33"/>
      <c r="G860" s="33"/>
      <c r="H860" s="33"/>
      <c r="I860" s="33"/>
      <c r="J860" s="33"/>
      <c r="L860" s="33"/>
      <c r="M860" s="33"/>
      <c r="N860" s="33"/>
      <c r="O860" s="33"/>
      <c r="P860" s="33"/>
      <c r="R860" s="33"/>
      <c r="S860" s="33"/>
      <c r="T860" s="33"/>
      <c r="U860" s="33"/>
      <c r="V860" s="33"/>
      <c r="W860" s="33"/>
      <c r="X860" s="33"/>
      <c r="AA860" s="33"/>
      <c r="AC860" s="33"/>
    </row>
    <row r="861" ht="15.75" customHeight="1">
      <c r="A861" s="33"/>
      <c r="B861" s="33"/>
      <c r="F861" s="33"/>
      <c r="G861" s="33"/>
      <c r="H861" s="33"/>
      <c r="I861" s="33"/>
      <c r="J861" s="33"/>
      <c r="L861" s="33"/>
      <c r="M861" s="33"/>
      <c r="N861" s="33"/>
      <c r="O861" s="33"/>
      <c r="P861" s="33"/>
      <c r="R861" s="33"/>
      <c r="S861" s="33"/>
      <c r="T861" s="33"/>
      <c r="U861" s="33"/>
      <c r="V861" s="33"/>
      <c r="W861" s="33"/>
      <c r="X861" s="33"/>
      <c r="AA861" s="33"/>
      <c r="AC861" s="33"/>
    </row>
    <row r="862" ht="15.75" customHeight="1">
      <c r="A862" s="33"/>
      <c r="B862" s="33"/>
      <c r="F862" s="33"/>
      <c r="G862" s="33"/>
      <c r="H862" s="33"/>
      <c r="I862" s="33"/>
      <c r="J862" s="33"/>
      <c r="L862" s="33"/>
      <c r="M862" s="33"/>
      <c r="N862" s="33"/>
      <c r="O862" s="33"/>
      <c r="P862" s="33"/>
      <c r="R862" s="33"/>
      <c r="S862" s="33"/>
      <c r="T862" s="33"/>
      <c r="U862" s="33"/>
      <c r="V862" s="33"/>
      <c r="W862" s="33"/>
      <c r="X862" s="33"/>
      <c r="AA862" s="33"/>
      <c r="AC862" s="33"/>
    </row>
    <row r="863" ht="15.75" customHeight="1">
      <c r="A863" s="33"/>
      <c r="B863" s="33"/>
      <c r="F863" s="33"/>
      <c r="G863" s="33"/>
      <c r="H863" s="33"/>
      <c r="I863" s="33"/>
      <c r="J863" s="33"/>
      <c r="L863" s="33"/>
      <c r="M863" s="33"/>
      <c r="N863" s="33"/>
      <c r="O863" s="33"/>
      <c r="P863" s="33"/>
      <c r="R863" s="33"/>
      <c r="S863" s="33"/>
      <c r="T863" s="33"/>
      <c r="U863" s="33"/>
      <c r="V863" s="33"/>
      <c r="W863" s="33"/>
      <c r="X863" s="33"/>
      <c r="AA863" s="33"/>
      <c r="AC863" s="33"/>
    </row>
    <row r="864" ht="15.75" customHeight="1">
      <c r="A864" s="33"/>
      <c r="B864" s="33"/>
      <c r="F864" s="33"/>
      <c r="G864" s="33"/>
      <c r="H864" s="33"/>
      <c r="I864" s="33"/>
      <c r="J864" s="33"/>
      <c r="L864" s="33"/>
      <c r="M864" s="33"/>
      <c r="N864" s="33"/>
      <c r="O864" s="33"/>
      <c r="P864" s="33"/>
      <c r="R864" s="33"/>
      <c r="S864" s="33"/>
      <c r="T864" s="33"/>
      <c r="U864" s="33"/>
      <c r="V864" s="33"/>
      <c r="W864" s="33"/>
      <c r="X864" s="33"/>
      <c r="AA864" s="33"/>
      <c r="AC864" s="33"/>
    </row>
    <row r="865" ht="15.75" customHeight="1">
      <c r="A865" s="33"/>
      <c r="B865" s="33"/>
      <c r="F865" s="33"/>
      <c r="G865" s="33"/>
      <c r="H865" s="33"/>
      <c r="I865" s="33"/>
      <c r="J865" s="33"/>
      <c r="L865" s="33"/>
      <c r="M865" s="33"/>
      <c r="N865" s="33"/>
      <c r="O865" s="33"/>
      <c r="P865" s="33"/>
      <c r="R865" s="33"/>
      <c r="S865" s="33"/>
      <c r="T865" s="33"/>
      <c r="U865" s="33"/>
      <c r="V865" s="33"/>
      <c r="W865" s="33"/>
      <c r="X865" s="33"/>
      <c r="AA865" s="33"/>
      <c r="AC865" s="33"/>
    </row>
    <row r="866" ht="15.75" customHeight="1">
      <c r="A866" s="33"/>
      <c r="B866" s="33"/>
      <c r="F866" s="33"/>
      <c r="G866" s="33"/>
      <c r="H866" s="33"/>
      <c r="I866" s="33"/>
      <c r="J866" s="33"/>
      <c r="L866" s="33"/>
      <c r="M866" s="33"/>
      <c r="N866" s="33"/>
      <c r="O866" s="33"/>
      <c r="P866" s="33"/>
      <c r="R866" s="33"/>
      <c r="S866" s="33"/>
      <c r="T866" s="33"/>
      <c r="U866" s="33"/>
      <c r="V866" s="33"/>
      <c r="W866" s="33"/>
      <c r="X866" s="33"/>
      <c r="AA866" s="33"/>
      <c r="AC866" s="33"/>
    </row>
    <row r="867" ht="15.75" customHeight="1">
      <c r="A867" s="33"/>
      <c r="B867" s="33"/>
      <c r="F867" s="33"/>
      <c r="G867" s="33"/>
      <c r="H867" s="33"/>
      <c r="I867" s="33"/>
      <c r="J867" s="33"/>
      <c r="L867" s="33"/>
      <c r="M867" s="33"/>
      <c r="N867" s="33"/>
      <c r="O867" s="33"/>
      <c r="P867" s="33"/>
      <c r="R867" s="33"/>
      <c r="S867" s="33"/>
      <c r="T867" s="33"/>
      <c r="U867" s="33"/>
      <c r="V867" s="33"/>
      <c r="W867" s="33"/>
      <c r="X867" s="33"/>
      <c r="AA867" s="33"/>
      <c r="AC867" s="33"/>
    </row>
    <row r="868" ht="15.75" customHeight="1">
      <c r="A868" s="33"/>
      <c r="B868" s="33"/>
      <c r="F868" s="33"/>
      <c r="G868" s="33"/>
      <c r="H868" s="33"/>
      <c r="I868" s="33"/>
      <c r="J868" s="33"/>
      <c r="L868" s="33"/>
      <c r="M868" s="33"/>
      <c r="N868" s="33"/>
      <c r="O868" s="33"/>
      <c r="P868" s="33"/>
      <c r="R868" s="33"/>
      <c r="S868" s="33"/>
      <c r="T868" s="33"/>
      <c r="U868" s="33"/>
      <c r="V868" s="33"/>
      <c r="W868" s="33"/>
      <c r="X868" s="33"/>
      <c r="AA868" s="33"/>
      <c r="AC868" s="33"/>
    </row>
    <row r="869" ht="15.75" customHeight="1">
      <c r="A869" s="33"/>
      <c r="B869" s="33"/>
      <c r="F869" s="33"/>
      <c r="G869" s="33"/>
      <c r="H869" s="33"/>
      <c r="I869" s="33"/>
      <c r="J869" s="33"/>
      <c r="L869" s="33"/>
      <c r="M869" s="33"/>
      <c r="N869" s="33"/>
      <c r="O869" s="33"/>
      <c r="P869" s="33"/>
      <c r="R869" s="33"/>
      <c r="S869" s="33"/>
      <c r="T869" s="33"/>
      <c r="U869" s="33"/>
      <c r="V869" s="33"/>
      <c r="W869" s="33"/>
      <c r="X869" s="33"/>
      <c r="AA869" s="33"/>
      <c r="AC869" s="33"/>
    </row>
    <row r="870" ht="15.75" customHeight="1">
      <c r="A870" s="33"/>
      <c r="B870" s="33"/>
      <c r="F870" s="33"/>
      <c r="G870" s="33"/>
      <c r="H870" s="33"/>
      <c r="I870" s="33"/>
      <c r="J870" s="33"/>
      <c r="L870" s="33"/>
      <c r="M870" s="33"/>
      <c r="N870" s="33"/>
      <c r="O870" s="33"/>
      <c r="P870" s="33"/>
      <c r="R870" s="33"/>
      <c r="S870" s="33"/>
      <c r="T870" s="33"/>
      <c r="U870" s="33"/>
      <c r="V870" s="33"/>
      <c r="W870" s="33"/>
      <c r="X870" s="33"/>
      <c r="AA870" s="33"/>
      <c r="AC870" s="33"/>
    </row>
    <row r="871" ht="15.75" customHeight="1">
      <c r="A871" s="33"/>
      <c r="B871" s="33"/>
      <c r="F871" s="33"/>
      <c r="G871" s="33"/>
      <c r="H871" s="33"/>
      <c r="I871" s="33"/>
      <c r="J871" s="33"/>
      <c r="L871" s="33"/>
      <c r="M871" s="33"/>
      <c r="N871" s="33"/>
      <c r="O871" s="33"/>
      <c r="P871" s="33"/>
      <c r="R871" s="33"/>
      <c r="S871" s="33"/>
      <c r="T871" s="33"/>
      <c r="U871" s="33"/>
      <c r="V871" s="33"/>
      <c r="W871" s="33"/>
      <c r="X871" s="33"/>
      <c r="AA871" s="33"/>
      <c r="AC871" s="33"/>
    </row>
    <row r="872" ht="15.75" customHeight="1">
      <c r="A872" s="33"/>
      <c r="B872" s="33"/>
      <c r="F872" s="33"/>
      <c r="G872" s="33"/>
      <c r="H872" s="33"/>
      <c r="I872" s="33"/>
      <c r="J872" s="33"/>
      <c r="L872" s="33"/>
      <c r="M872" s="33"/>
      <c r="N872" s="33"/>
      <c r="O872" s="33"/>
      <c r="P872" s="33"/>
      <c r="R872" s="33"/>
      <c r="S872" s="33"/>
      <c r="T872" s="33"/>
      <c r="U872" s="33"/>
      <c r="V872" s="33"/>
      <c r="W872" s="33"/>
      <c r="X872" s="33"/>
      <c r="AA872" s="33"/>
      <c r="AC872" s="33"/>
    </row>
    <row r="873" ht="15.75" customHeight="1">
      <c r="A873" s="33"/>
      <c r="B873" s="33"/>
      <c r="F873" s="33"/>
      <c r="G873" s="33"/>
      <c r="H873" s="33"/>
      <c r="I873" s="33"/>
      <c r="J873" s="33"/>
      <c r="L873" s="33"/>
      <c r="M873" s="33"/>
      <c r="N873" s="33"/>
      <c r="O873" s="33"/>
      <c r="P873" s="33"/>
      <c r="R873" s="33"/>
      <c r="S873" s="33"/>
      <c r="T873" s="33"/>
      <c r="U873" s="33"/>
      <c r="V873" s="33"/>
      <c r="W873" s="33"/>
      <c r="X873" s="33"/>
      <c r="AA873" s="33"/>
      <c r="AC873" s="33"/>
    </row>
    <row r="874" ht="15.75" customHeight="1">
      <c r="A874" s="33"/>
      <c r="B874" s="33"/>
      <c r="F874" s="33"/>
      <c r="G874" s="33"/>
      <c r="H874" s="33"/>
      <c r="I874" s="33"/>
      <c r="J874" s="33"/>
      <c r="L874" s="33"/>
      <c r="M874" s="33"/>
      <c r="N874" s="33"/>
      <c r="O874" s="33"/>
      <c r="P874" s="33"/>
      <c r="R874" s="33"/>
      <c r="S874" s="33"/>
      <c r="T874" s="33"/>
      <c r="U874" s="33"/>
      <c r="V874" s="33"/>
      <c r="W874" s="33"/>
      <c r="X874" s="33"/>
      <c r="AA874" s="33"/>
      <c r="AC874" s="33"/>
    </row>
    <row r="875" ht="15.75" customHeight="1">
      <c r="A875" s="33"/>
      <c r="B875" s="33"/>
      <c r="F875" s="33"/>
      <c r="G875" s="33"/>
      <c r="H875" s="33"/>
      <c r="I875" s="33"/>
      <c r="J875" s="33"/>
      <c r="L875" s="33"/>
      <c r="M875" s="33"/>
      <c r="N875" s="33"/>
      <c r="O875" s="33"/>
      <c r="P875" s="33"/>
      <c r="R875" s="33"/>
      <c r="S875" s="33"/>
      <c r="T875" s="33"/>
      <c r="U875" s="33"/>
      <c r="V875" s="33"/>
      <c r="W875" s="33"/>
      <c r="X875" s="33"/>
      <c r="AA875" s="33"/>
      <c r="AC875" s="33"/>
    </row>
    <row r="876" ht="15.75" customHeight="1">
      <c r="A876" s="33"/>
      <c r="B876" s="33"/>
      <c r="F876" s="33"/>
      <c r="G876" s="33"/>
      <c r="H876" s="33"/>
      <c r="I876" s="33"/>
      <c r="J876" s="33"/>
      <c r="L876" s="33"/>
      <c r="M876" s="33"/>
      <c r="N876" s="33"/>
      <c r="O876" s="33"/>
      <c r="P876" s="33"/>
      <c r="R876" s="33"/>
      <c r="S876" s="33"/>
      <c r="T876" s="33"/>
      <c r="U876" s="33"/>
      <c r="V876" s="33"/>
      <c r="W876" s="33"/>
      <c r="X876" s="33"/>
      <c r="AA876" s="33"/>
      <c r="AC876" s="33"/>
    </row>
    <row r="877" ht="15.75" customHeight="1">
      <c r="A877" s="33"/>
      <c r="B877" s="33"/>
      <c r="F877" s="33"/>
      <c r="G877" s="33"/>
      <c r="H877" s="33"/>
      <c r="I877" s="33"/>
      <c r="J877" s="33"/>
      <c r="L877" s="33"/>
      <c r="M877" s="33"/>
      <c r="N877" s="33"/>
      <c r="O877" s="33"/>
      <c r="P877" s="33"/>
      <c r="R877" s="33"/>
      <c r="S877" s="33"/>
      <c r="T877" s="33"/>
      <c r="U877" s="33"/>
      <c r="V877" s="33"/>
      <c r="W877" s="33"/>
      <c r="X877" s="33"/>
      <c r="AA877" s="33"/>
      <c r="AC877" s="33"/>
    </row>
    <row r="878" ht="15.75" customHeight="1">
      <c r="A878" s="33"/>
      <c r="B878" s="33"/>
      <c r="F878" s="33"/>
      <c r="G878" s="33"/>
      <c r="H878" s="33"/>
      <c r="I878" s="33"/>
      <c r="J878" s="33"/>
      <c r="L878" s="33"/>
      <c r="M878" s="33"/>
      <c r="N878" s="33"/>
      <c r="O878" s="33"/>
      <c r="P878" s="33"/>
      <c r="R878" s="33"/>
      <c r="S878" s="33"/>
      <c r="T878" s="33"/>
      <c r="U878" s="33"/>
      <c r="V878" s="33"/>
      <c r="W878" s="33"/>
      <c r="X878" s="33"/>
      <c r="AA878" s="33"/>
      <c r="AC878" s="33"/>
    </row>
    <row r="879" ht="15.75" customHeight="1">
      <c r="A879" s="33"/>
      <c r="B879" s="33"/>
      <c r="F879" s="33"/>
      <c r="G879" s="33"/>
      <c r="H879" s="33"/>
      <c r="I879" s="33"/>
      <c r="J879" s="33"/>
      <c r="L879" s="33"/>
      <c r="M879" s="33"/>
      <c r="N879" s="33"/>
      <c r="O879" s="33"/>
      <c r="P879" s="33"/>
      <c r="R879" s="33"/>
      <c r="S879" s="33"/>
      <c r="T879" s="33"/>
      <c r="U879" s="33"/>
      <c r="V879" s="33"/>
      <c r="W879" s="33"/>
      <c r="X879" s="33"/>
      <c r="AA879" s="33"/>
      <c r="AC879" s="33"/>
    </row>
    <row r="880" ht="15.75" customHeight="1">
      <c r="A880" s="33"/>
      <c r="B880" s="33"/>
      <c r="F880" s="33"/>
      <c r="G880" s="33"/>
      <c r="H880" s="33"/>
      <c r="I880" s="33"/>
      <c r="J880" s="33"/>
      <c r="L880" s="33"/>
      <c r="M880" s="33"/>
      <c r="N880" s="33"/>
      <c r="O880" s="33"/>
      <c r="P880" s="33"/>
      <c r="R880" s="33"/>
      <c r="S880" s="33"/>
      <c r="T880" s="33"/>
      <c r="U880" s="33"/>
      <c r="V880" s="33"/>
      <c r="W880" s="33"/>
      <c r="X880" s="33"/>
      <c r="AA880" s="33"/>
      <c r="AC880" s="33"/>
    </row>
    <row r="881" ht="15.75" customHeight="1">
      <c r="A881" s="33"/>
      <c r="B881" s="33"/>
      <c r="F881" s="33"/>
      <c r="G881" s="33"/>
      <c r="H881" s="33"/>
      <c r="I881" s="33"/>
      <c r="J881" s="33"/>
      <c r="L881" s="33"/>
      <c r="M881" s="33"/>
      <c r="N881" s="33"/>
      <c r="O881" s="33"/>
      <c r="P881" s="33"/>
      <c r="R881" s="33"/>
      <c r="S881" s="33"/>
      <c r="T881" s="33"/>
      <c r="U881" s="33"/>
      <c r="V881" s="33"/>
      <c r="W881" s="33"/>
      <c r="X881" s="33"/>
      <c r="AA881" s="33"/>
      <c r="AC881" s="33"/>
    </row>
    <row r="882" ht="15.75" customHeight="1">
      <c r="A882" s="33"/>
      <c r="B882" s="33"/>
      <c r="F882" s="33"/>
      <c r="G882" s="33"/>
      <c r="H882" s="33"/>
      <c r="I882" s="33"/>
      <c r="J882" s="33"/>
      <c r="L882" s="33"/>
      <c r="M882" s="33"/>
      <c r="N882" s="33"/>
      <c r="O882" s="33"/>
      <c r="P882" s="33"/>
      <c r="R882" s="33"/>
      <c r="S882" s="33"/>
      <c r="T882" s="33"/>
      <c r="U882" s="33"/>
      <c r="V882" s="33"/>
      <c r="W882" s="33"/>
      <c r="X882" s="33"/>
      <c r="AA882" s="33"/>
      <c r="AC882" s="33"/>
    </row>
    <row r="883" ht="15.75" customHeight="1">
      <c r="A883" s="33"/>
      <c r="B883" s="33"/>
      <c r="F883" s="33"/>
      <c r="G883" s="33"/>
      <c r="H883" s="33"/>
      <c r="I883" s="33"/>
      <c r="J883" s="33"/>
      <c r="L883" s="33"/>
      <c r="M883" s="33"/>
      <c r="N883" s="33"/>
      <c r="O883" s="33"/>
      <c r="P883" s="33"/>
      <c r="R883" s="33"/>
      <c r="S883" s="33"/>
      <c r="T883" s="33"/>
      <c r="U883" s="33"/>
      <c r="V883" s="33"/>
      <c r="W883" s="33"/>
      <c r="X883" s="33"/>
      <c r="AA883" s="33"/>
      <c r="AC883" s="33"/>
    </row>
    <row r="884" ht="15.75" customHeight="1">
      <c r="A884" s="33"/>
      <c r="B884" s="33"/>
      <c r="F884" s="33"/>
      <c r="G884" s="33"/>
      <c r="H884" s="33"/>
      <c r="I884" s="33"/>
      <c r="J884" s="33"/>
      <c r="L884" s="33"/>
      <c r="M884" s="33"/>
      <c r="N884" s="33"/>
      <c r="O884" s="33"/>
      <c r="P884" s="33"/>
      <c r="R884" s="33"/>
      <c r="S884" s="33"/>
      <c r="T884" s="33"/>
      <c r="U884" s="33"/>
      <c r="V884" s="33"/>
      <c r="W884" s="33"/>
      <c r="X884" s="33"/>
      <c r="AA884" s="33"/>
      <c r="AC884" s="33"/>
    </row>
    <row r="885" ht="15.75" customHeight="1">
      <c r="A885" s="33"/>
      <c r="B885" s="33"/>
      <c r="F885" s="33"/>
      <c r="G885" s="33"/>
      <c r="H885" s="33"/>
      <c r="I885" s="33"/>
      <c r="J885" s="33"/>
      <c r="L885" s="33"/>
      <c r="M885" s="33"/>
      <c r="N885" s="33"/>
      <c r="O885" s="33"/>
      <c r="P885" s="33"/>
      <c r="R885" s="33"/>
      <c r="S885" s="33"/>
      <c r="T885" s="33"/>
      <c r="U885" s="33"/>
      <c r="V885" s="33"/>
      <c r="W885" s="33"/>
      <c r="X885" s="33"/>
      <c r="AA885" s="33"/>
      <c r="AC885" s="33"/>
    </row>
    <row r="886" ht="15.75" customHeight="1">
      <c r="A886" s="33"/>
      <c r="B886" s="33"/>
      <c r="F886" s="33"/>
      <c r="G886" s="33"/>
      <c r="H886" s="33"/>
      <c r="I886" s="33"/>
      <c r="J886" s="33"/>
      <c r="L886" s="33"/>
      <c r="M886" s="33"/>
      <c r="N886" s="33"/>
      <c r="O886" s="33"/>
      <c r="P886" s="33"/>
      <c r="R886" s="33"/>
      <c r="S886" s="33"/>
      <c r="T886" s="33"/>
      <c r="U886" s="33"/>
      <c r="V886" s="33"/>
      <c r="W886" s="33"/>
      <c r="X886" s="33"/>
      <c r="AA886" s="33"/>
      <c r="AC886" s="33"/>
    </row>
    <row r="887" ht="15.75" customHeight="1">
      <c r="A887" s="33"/>
      <c r="B887" s="33"/>
      <c r="F887" s="33"/>
      <c r="G887" s="33"/>
      <c r="H887" s="33"/>
      <c r="I887" s="33"/>
      <c r="J887" s="33"/>
      <c r="L887" s="33"/>
      <c r="M887" s="33"/>
      <c r="N887" s="33"/>
      <c r="O887" s="33"/>
      <c r="P887" s="33"/>
      <c r="R887" s="33"/>
      <c r="S887" s="33"/>
      <c r="T887" s="33"/>
      <c r="U887" s="33"/>
      <c r="V887" s="33"/>
      <c r="W887" s="33"/>
      <c r="X887" s="33"/>
      <c r="AA887" s="33"/>
      <c r="AC887" s="33"/>
    </row>
    <row r="888" ht="15.75" customHeight="1">
      <c r="A888" s="33"/>
      <c r="B888" s="33"/>
      <c r="F888" s="33"/>
      <c r="G888" s="33"/>
      <c r="H888" s="33"/>
      <c r="I888" s="33"/>
      <c r="J888" s="33"/>
      <c r="L888" s="33"/>
      <c r="M888" s="33"/>
      <c r="N888" s="33"/>
      <c r="O888" s="33"/>
      <c r="P888" s="33"/>
      <c r="R888" s="33"/>
      <c r="S888" s="33"/>
      <c r="T888" s="33"/>
      <c r="U888" s="33"/>
      <c r="V888" s="33"/>
      <c r="W888" s="33"/>
      <c r="X888" s="33"/>
      <c r="AA888" s="33"/>
      <c r="AC888" s="33"/>
    </row>
    <row r="889" ht="15.75" customHeight="1">
      <c r="A889" s="33"/>
      <c r="B889" s="33"/>
      <c r="F889" s="33"/>
      <c r="G889" s="33"/>
      <c r="H889" s="33"/>
      <c r="I889" s="33"/>
      <c r="J889" s="33"/>
      <c r="L889" s="33"/>
      <c r="M889" s="33"/>
      <c r="N889" s="33"/>
      <c r="O889" s="33"/>
      <c r="P889" s="33"/>
      <c r="R889" s="33"/>
      <c r="S889" s="33"/>
      <c r="T889" s="33"/>
      <c r="U889" s="33"/>
      <c r="V889" s="33"/>
      <c r="W889" s="33"/>
      <c r="X889" s="33"/>
      <c r="AA889" s="33"/>
      <c r="AC889" s="33"/>
    </row>
    <row r="890" ht="15.75" customHeight="1">
      <c r="A890" s="33"/>
      <c r="B890" s="33"/>
      <c r="F890" s="33"/>
      <c r="G890" s="33"/>
      <c r="H890" s="33"/>
      <c r="I890" s="33"/>
      <c r="J890" s="33"/>
      <c r="L890" s="33"/>
      <c r="M890" s="33"/>
      <c r="N890" s="33"/>
      <c r="O890" s="33"/>
      <c r="P890" s="33"/>
      <c r="R890" s="33"/>
      <c r="S890" s="33"/>
      <c r="T890" s="33"/>
      <c r="U890" s="33"/>
      <c r="V890" s="33"/>
      <c r="W890" s="33"/>
      <c r="X890" s="33"/>
      <c r="AA890" s="33"/>
      <c r="AC890" s="33"/>
    </row>
    <row r="891" ht="15.75" customHeight="1">
      <c r="A891" s="33"/>
      <c r="B891" s="33"/>
      <c r="F891" s="33"/>
      <c r="G891" s="33"/>
      <c r="H891" s="33"/>
      <c r="I891" s="33"/>
      <c r="J891" s="33"/>
      <c r="L891" s="33"/>
      <c r="M891" s="33"/>
      <c r="N891" s="33"/>
      <c r="O891" s="33"/>
      <c r="P891" s="33"/>
      <c r="R891" s="33"/>
      <c r="S891" s="33"/>
      <c r="T891" s="33"/>
      <c r="U891" s="33"/>
      <c r="V891" s="33"/>
      <c r="W891" s="33"/>
      <c r="X891" s="33"/>
      <c r="AA891" s="33"/>
      <c r="AC891" s="33"/>
    </row>
    <row r="892" ht="15.75" customHeight="1">
      <c r="A892" s="33"/>
      <c r="B892" s="33"/>
      <c r="F892" s="33"/>
      <c r="G892" s="33"/>
      <c r="H892" s="33"/>
      <c r="I892" s="33"/>
      <c r="J892" s="33"/>
      <c r="L892" s="33"/>
      <c r="M892" s="33"/>
      <c r="N892" s="33"/>
      <c r="O892" s="33"/>
      <c r="P892" s="33"/>
      <c r="R892" s="33"/>
      <c r="S892" s="33"/>
      <c r="T892" s="33"/>
      <c r="U892" s="33"/>
      <c r="V892" s="33"/>
      <c r="W892" s="33"/>
      <c r="X892" s="33"/>
      <c r="AA892" s="33"/>
      <c r="AC892" s="33"/>
    </row>
    <row r="893" ht="15.75" customHeight="1">
      <c r="A893" s="33"/>
      <c r="B893" s="33"/>
      <c r="F893" s="33"/>
      <c r="G893" s="33"/>
      <c r="H893" s="33"/>
      <c r="I893" s="33"/>
      <c r="J893" s="33"/>
      <c r="L893" s="33"/>
      <c r="M893" s="33"/>
      <c r="N893" s="33"/>
      <c r="O893" s="33"/>
      <c r="P893" s="33"/>
      <c r="R893" s="33"/>
      <c r="S893" s="33"/>
      <c r="T893" s="33"/>
      <c r="U893" s="33"/>
      <c r="V893" s="33"/>
      <c r="W893" s="33"/>
      <c r="X893" s="33"/>
      <c r="AA893" s="33"/>
      <c r="AC893" s="33"/>
    </row>
    <row r="894" ht="15.75" customHeight="1">
      <c r="A894" s="33"/>
      <c r="B894" s="33"/>
      <c r="F894" s="33"/>
      <c r="G894" s="33"/>
      <c r="H894" s="33"/>
      <c r="I894" s="33"/>
      <c r="J894" s="33"/>
      <c r="L894" s="33"/>
      <c r="M894" s="33"/>
      <c r="N894" s="33"/>
      <c r="O894" s="33"/>
      <c r="P894" s="33"/>
      <c r="R894" s="33"/>
      <c r="S894" s="33"/>
      <c r="T894" s="33"/>
      <c r="U894" s="33"/>
      <c r="V894" s="33"/>
      <c r="W894" s="33"/>
      <c r="X894" s="33"/>
      <c r="AA894" s="33"/>
      <c r="AC894" s="33"/>
    </row>
    <row r="895" ht="15.75" customHeight="1">
      <c r="A895" s="33"/>
      <c r="B895" s="33"/>
      <c r="F895" s="33"/>
      <c r="G895" s="33"/>
      <c r="H895" s="33"/>
      <c r="I895" s="33"/>
      <c r="J895" s="33"/>
      <c r="L895" s="33"/>
      <c r="M895" s="33"/>
      <c r="N895" s="33"/>
      <c r="O895" s="33"/>
      <c r="P895" s="33"/>
      <c r="R895" s="33"/>
      <c r="S895" s="33"/>
      <c r="T895" s="33"/>
      <c r="U895" s="33"/>
      <c r="V895" s="33"/>
      <c r="W895" s="33"/>
      <c r="X895" s="33"/>
      <c r="AA895" s="33"/>
      <c r="AC895" s="33"/>
    </row>
    <row r="896" ht="15.75" customHeight="1">
      <c r="A896" s="33"/>
      <c r="B896" s="33"/>
      <c r="F896" s="33"/>
      <c r="G896" s="33"/>
      <c r="H896" s="33"/>
      <c r="I896" s="33"/>
      <c r="J896" s="33"/>
      <c r="L896" s="33"/>
      <c r="M896" s="33"/>
      <c r="N896" s="33"/>
      <c r="O896" s="33"/>
      <c r="P896" s="33"/>
      <c r="R896" s="33"/>
      <c r="S896" s="33"/>
      <c r="T896" s="33"/>
      <c r="U896" s="33"/>
      <c r="V896" s="33"/>
      <c r="W896" s="33"/>
      <c r="X896" s="33"/>
      <c r="AA896" s="33"/>
      <c r="AC896" s="33"/>
    </row>
    <row r="897" ht="15.75" customHeight="1">
      <c r="A897" s="33"/>
      <c r="B897" s="33"/>
      <c r="F897" s="33"/>
      <c r="G897" s="33"/>
      <c r="H897" s="33"/>
      <c r="I897" s="33"/>
      <c r="J897" s="33"/>
      <c r="L897" s="33"/>
      <c r="M897" s="33"/>
      <c r="N897" s="33"/>
      <c r="O897" s="33"/>
      <c r="P897" s="33"/>
      <c r="R897" s="33"/>
      <c r="S897" s="33"/>
      <c r="T897" s="33"/>
      <c r="U897" s="33"/>
      <c r="V897" s="33"/>
      <c r="W897" s="33"/>
      <c r="X897" s="33"/>
      <c r="AA897" s="33"/>
      <c r="AC897" s="33"/>
    </row>
    <row r="898" ht="15.75" customHeight="1">
      <c r="A898" s="33"/>
      <c r="B898" s="33"/>
      <c r="F898" s="33"/>
      <c r="G898" s="33"/>
      <c r="H898" s="33"/>
      <c r="I898" s="33"/>
      <c r="J898" s="33"/>
      <c r="L898" s="33"/>
      <c r="M898" s="33"/>
      <c r="N898" s="33"/>
      <c r="O898" s="33"/>
      <c r="P898" s="33"/>
      <c r="R898" s="33"/>
      <c r="S898" s="33"/>
      <c r="T898" s="33"/>
      <c r="U898" s="33"/>
      <c r="V898" s="33"/>
      <c r="W898" s="33"/>
      <c r="X898" s="33"/>
      <c r="AA898" s="33"/>
      <c r="AC898" s="33"/>
    </row>
    <row r="899" ht="15.75" customHeight="1">
      <c r="A899" s="33"/>
      <c r="B899" s="33"/>
      <c r="F899" s="33"/>
      <c r="G899" s="33"/>
      <c r="H899" s="33"/>
      <c r="I899" s="33"/>
      <c r="J899" s="33"/>
      <c r="L899" s="33"/>
      <c r="M899" s="33"/>
      <c r="N899" s="33"/>
      <c r="O899" s="33"/>
      <c r="P899" s="33"/>
      <c r="R899" s="33"/>
      <c r="S899" s="33"/>
      <c r="T899" s="33"/>
      <c r="U899" s="33"/>
      <c r="V899" s="33"/>
      <c r="W899" s="33"/>
      <c r="X899" s="33"/>
      <c r="AA899" s="33"/>
      <c r="AC899" s="33"/>
    </row>
    <row r="900" ht="15.75" customHeight="1">
      <c r="A900" s="33"/>
      <c r="B900" s="33"/>
      <c r="F900" s="33"/>
      <c r="G900" s="33"/>
      <c r="H900" s="33"/>
      <c r="I900" s="33"/>
      <c r="J900" s="33"/>
      <c r="L900" s="33"/>
      <c r="M900" s="33"/>
      <c r="N900" s="33"/>
      <c r="O900" s="33"/>
      <c r="P900" s="33"/>
      <c r="R900" s="33"/>
      <c r="S900" s="33"/>
      <c r="T900" s="33"/>
      <c r="U900" s="33"/>
      <c r="V900" s="33"/>
      <c r="W900" s="33"/>
      <c r="X900" s="33"/>
      <c r="AA900" s="33"/>
      <c r="AC900" s="33"/>
    </row>
    <row r="901" ht="15.75" customHeight="1">
      <c r="A901" s="33"/>
      <c r="B901" s="33"/>
      <c r="F901" s="33"/>
      <c r="G901" s="33"/>
      <c r="H901" s="33"/>
      <c r="I901" s="33"/>
      <c r="J901" s="33"/>
      <c r="L901" s="33"/>
      <c r="M901" s="33"/>
      <c r="N901" s="33"/>
      <c r="O901" s="33"/>
      <c r="P901" s="33"/>
      <c r="R901" s="33"/>
      <c r="S901" s="33"/>
      <c r="T901" s="33"/>
      <c r="U901" s="33"/>
      <c r="V901" s="33"/>
      <c r="W901" s="33"/>
      <c r="X901" s="33"/>
      <c r="AA901" s="33"/>
      <c r="AC901" s="33"/>
    </row>
    <row r="902" ht="15.75" customHeight="1">
      <c r="A902" s="33"/>
      <c r="B902" s="33"/>
      <c r="F902" s="33"/>
      <c r="G902" s="33"/>
      <c r="H902" s="33"/>
      <c r="I902" s="33"/>
      <c r="J902" s="33"/>
      <c r="L902" s="33"/>
      <c r="M902" s="33"/>
      <c r="N902" s="33"/>
      <c r="O902" s="33"/>
      <c r="P902" s="33"/>
      <c r="R902" s="33"/>
      <c r="S902" s="33"/>
      <c r="T902" s="33"/>
      <c r="U902" s="33"/>
      <c r="V902" s="33"/>
      <c r="W902" s="33"/>
      <c r="X902" s="33"/>
      <c r="AA902" s="33"/>
      <c r="AC902" s="33"/>
    </row>
    <row r="903" ht="15.75" customHeight="1">
      <c r="A903" s="33"/>
      <c r="B903" s="33"/>
      <c r="F903" s="33"/>
      <c r="G903" s="33"/>
      <c r="H903" s="33"/>
      <c r="I903" s="33"/>
      <c r="J903" s="33"/>
      <c r="L903" s="33"/>
      <c r="M903" s="33"/>
      <c r="N903" s="33"/>
      <c r="O903" s="33"/>
      <c r="P903" s="33"/>
      <c r="R903" s="33"/>
      <c r="S903" s="33"/>
      <c r="T903" s="33"/>
      <c r="U903" s="33"/>
      <c r="V903" s="33"/>
      <c r="W903" s="33"/>
      <c r="X903" s="33"/>
      <c r="AA903" s="33"/>
      <c r="AC903" s="33"/>
    </row>
    <row r="904" ht="15.75" customHeight="1">
      <c r="A904" s="33"/>
      <c r="B904" s="33"/>
      <c r="F904" s="33"/>
      <c r="G904" s="33"/>
      <c r="H904" s="33"/>
      <c r="I904" s="33"/>
      <c r="J904" s="33"/>
      <c r="L904" s="33"/>
      <c r="M904" s="33"/>
      <c r="N904" s="33"/>
      <c r="O904" s="33"/>
      <c r="P904" s="33"/>
      <c r="R904" s="33"/>
      <c r="S904" s="33"/>
      <c r="T904" s="33"/>
      <c r="U904" s="33"/>
      <c r="V904" s="33"/>
      <c r="W904" s="33"/>
      <c r="X904" s="33"/>
      <c r="AA904" s="33"/>
      <c r="AC904" s="33"/>
    </row>
    <row r="905" ht="15.75" customHeight="1">
      <c r="A905" s="33"/>
      <c r="B905" s="33"/>
      <c r="F905" s="33"/>
      <c r="G905" s="33"/>
      <c r="H905" s="33"/>
      <c r="I905" s="33"/>
      <c r="J905" s="33"/>
      <c r="L905" s="33"/>
      <c r="M905" s="33"/>
      <c r="N905" s="33"/>
      <c r="O905" s="33"/>
      <c r="P905" s="33"/>
      <c r="R905" s="33"/>
      <c r="S905" s="33"/>
      <c r="T905" s="33"/>
      <c r="U905" s="33"/>
      <c r="V905" s="33"/>
      <c r="W905" s="33"/>
      <c r="X905" s="33"/>
      <c r="AA905" s="33"/>
      <c r="AC905" s="33"/>
    </row>
    <row r="906" ht="15.75" customHeight="1">
      <c r="A906" s="33"/>
      <c r="B906" s="33"/>
      <c r="F906" s="33"/>
      <c r="G906" s="33"/>
      <c r="H906" s="33"/>
      <c r="I906" s="33"/>
      <c r="J906" s="33"/>
      <c r="L906" s="33"/>
      <c r="M906" s="33"/>
      <c r="N906" s="33"/>
      <c r="O906" s="33"/>
      <c r="P906" s="33"/>
      <c r="R906" s="33"/>
      <c r="S906" s="33"/>
      <c r="T906" s="33"/>
      <c r="U906" s="33"/>
      <c r="V906" s="33"/>
      <c r="W906" s="33"/>
      <c r="X906" s="33"/>
      <c r="AA906" s="33"/>
      <c r="AC906" s="33"/>
    </row>
    <row r="907" ht="15.75" customHeight="1">
      <c r="A907" s="33"/>
      <c r="B907" s="33"/>
      <c r="F907" s="33"/>
      <c r="G907" s="33"/>
      <c r="H907" s="33"/>
      <c r="I907" s="33"/>
      <c r="J907" s="33"/>
      <c r="L907" s="33"/>
      <c r="M907" s="33"/>
      <c r="N907" s="33"/>
      <c r="O907" s="33"/>
      <c r="P907" s="33"/>
      <c r="R907" s="33"/>
      <c r="S907" s="33"/>
      <c r="T907" s="33"/>
      <c r="U907" s="33"/>
      <c r="V907" s="33"/>
      <c r="W907" s="33"/>
      <c r="X907" s="33"/>
      <c r="AA907" s="33"/>
      <c r="AC907" s="33"/>
    </row>
    <row r="908" ht="15.75" customHeight="1">
      <c r="A908" s="33"/>
      <c r="B908" s="33"/>
      <c r="F908" s="33"/>
      <c r="G908" s="33"/>
      <c r="H908" s="33"/>
      <c r="I908" s="33"/>
      <c r="J908" s="33"/>
      <c r="L908" s="33"/>
      <c r="M908" s="33"/>
      <c r="N908" s="33"/>
      <c r="O908" s="33"/>
      <c r="P908" s="33"/>
      <c r="R908" s="33"/>
      <c r="S908" s="33"/>
      <c r="T908" s="33"/>
      <c r="U908" s="33"/>
      <c r="V908" s="33"/>
      <c r="W908" s="33"/>
      <c r="X908" s="33"/>
      <c r="AA908" s="33"/>
      <c r="AC908" s="33"/>
    </row>
    <row r="909" ht="15.75" customHeight="1">
      <c r="A909" s="33"/>
      <c r="B909" s="33"/>
      <c r="F909" s="33"/>
      <c r="G909" s="33"/>
      <c r="H909" s="33"/>
      <c r="I909" s="33"/>
      <c r="J909" s="33"/>
      <c r="L909" s="33"/>
      <c r="M909" s="33"/>
      <c r="N909" s="33"/>
      <c r="O909" s="33"/>
      <c r="P909" s="33"/>
      <c r="R909" s="33"/>
      <c r="S909" s="33"/>
      <c r="T909" s="33"/>
      <c r="U909" s="33"/>
      <c r="V909" s="33"/>
      <c r="W909" s="33"/>
      <c r="X909" s="33"/>
      <c r="AA909" s="33"/>
      <c r="AC909" s="33"/>
    </row>
    <row r="910" ht="15.75" customHeight="1">
      <c r="A910" s="33"/>
      <c r="B910" s="33"/>
      <c r="F910" s="33"/>
      <c r="G910" s="33"/>
      <c r="H910" s="33"/>
      <c r="I910" s="33"/>
      <c r="J910" s="33"/>
      <c r="L910" s="33"/>
      <c r="M910" s="33"/>
      <c r="N910" s="33"/>
      <c r="O910" s="33"/>
      <c r="P910" s="33"/>
      <c r="R910" s="33"/>
      <c r="S910" s="33"/>
      <c r="T910" s="33"/>
      <c r="U910" s="33"/>
      <c r="V910" s="33"/>
      <c r="W910" s="33"/>
      <c r="X910" s="33"/>
      <c r="AA910" s="33"/>
      <c r="AC910" s="33"/>
    </row>
    <row r="911" ht="15.75" customHeight="1">
      <c r="A911" s="33"/>
      <c r="B911" s="33"/>
      <c r="F911" s="33"/>
      <c r="G911" s="33"/>
      <c r="H911" s="33"/>
      <c r="I911" s="33"/>
      <c r="J911" s="33"/>
      <c r="L911" s="33"/>
      <c r="M911" s="33"/>
      <c r="N911" s="33"/>
      <c r="O911" s="33"/>
      <c r="P911" s="33"/>
      <c r="R911" s="33"/>
      <c r="S911" s="33"/>
      <c r="T911" s="33"/>
      <c r="U911" s="33"/>
      <c r="V911" s="33"/>
      <c r="W911" s="33"/>
      <c r="X911" s="33"/>
      <c r="AA911" s="33"/>
      <c r="AC911" s="33"/>
    </row>
    <row r="912" ht="15.75" customHeight="1">
      <c r="A912" s="33"/>
      <c r="B912" s="33"/>
      <c r="F912" s="33"/>
      <c r="G912" s="33"/>
      <c r="H912" s="33"/>
      <c r="I912" s="33"/>
      <c r="J912" s="33"/>
      <c r="L912" s="33"/>
      <c r="M912" s="33"/>
      <c r="N912" s="33"/>
      <c r="O912" s="33"/>
      <c r="P912" s="33"/>
      <c r="R912" s="33"/>
      <c r="S912" s="33"/>
      <c r="T912" s="33"/>
      <c r="U912" s="33"/>
      <c r="V912" s="33"/>
      <c r="W912" s="33"/>
      <c r="X912" s="33"/>
      <c r="AA912" s="33"/>
      <c r="AC912" s="33"/>
    </row>
    <row r="913" ht="15.75" customHeight="1">
      <c r="A913" s="33"/>
      <c r="B913" s="33"/>
      <c r="F913" s="33"/>
      <c r="G913" s="33"/>
      <c r="H913" s="33"/>
      <c r="I913" s="33"/>
      <c r="J913" s="33"/>
      <c r="L913" s="33"/>
      <c r="M913" s="33"/>
      <c r="N913" s="33"/>
      <c r="O913" s="33"/>
      <c r="P913" s="33"/>
      <c r="R913" s="33"/>
      <c r="S913" s="33"/>
      <c r="T913" s="33"/>
      <c r="U913" s="33"/>
      <c r="V913" s="33"/>
      <c r="W913" s="33"/>
      <c r="X913" s="33"/>
      <c r="AA913" s="33"/>
      <c r="AC913" s="33"/>
    </row>
    <row r="914" ht="15.75" customHeight="1">
      <c r="A914" s="33"/>
      <c r="B914" s="33"/>
      <c r="F914" s="33"/>
      <c r="G914" s="33"/>
      <c r="H914" s="33"/>
      <c r="I914" s="33"/>
      <c r="J914" s="33"/>
      <c r="L914" s="33"/>
      <c r="M914" s="33"/>
      <c r="N914" s="33"/>
      <c r="O914" s="33"/>
      <c r="P914" s="33"/>
      <c r="R914" s="33"/>
      <c r="S914" s="33"/>
      <c r="T914" s="33"/>
      <c r="U914" s="33"/>
      <c r="V914" s="33"/>
      <c r="W914" s="33"/>
      <c r="X914" s="33"/>
      <c r="AA914" s="33"/>
      <c r="AC914" s="33"/>
    </row>
    <row r="915" ht="15.75" customHeight="1">
      <c r="A915" s="33"/>
      <c r="B915" s="33"/>
      <c r="F915" s="33"/>
      <c r="G915" s="33"/>
      <c r="H915" s="33"/>
      <c r="I915" s="33"/>
      <c r="J915" s="33"/>
      <c r="L915" s="33"/>
      <c r="M915" s="33"/>
      <c r="N915" s="33"/>
      <c r="O915" s="33"/>
      <c r="P915" s="33"/>
      <c r="R915" s="33"/>
      <c r="S915" s="33"/>
      <c r="T915" s="33"/>
      <c r="U915" s="33"/>
      <c r="V915" s="33"/>
      <c r="W915" s="33"/>
      <c r="X915" s="33"/>
      <c r="AA915" s="33"/>
      <c r="AC915" s="33"/>
    </row>
    <row r="916" ht="15.75" customHeight="1">
      <c r="A916" s="33"/>
      <c r="B916" s="33"/>
      <c r="F916" s="33"/>
      <c r="G916" s="33"/>
      <c r="H916" s="33"/>
      <c r="I916" s="33"/>
      <c r="J916" s="33"/>
      <c r="L916" s="33"/>
      <c r="M916" s="33"/>
      <c r="N916" s="33"/>
      <c r="O916" s="33"/>
      <c r="P916" s="33"/>
      <c r="R916" s="33"/>
      <c r="S916" s="33"/>
      <c r="T916" s="33"/>
      <c r="U916" s="33"/>
      <c r="V916" s="33"/>
      <c r="W916" s="33"/>
      <c r="X916" s="33"/>
      <c r="AA916" s="33"/>
      <c r="AC916" s="33"/>
    </row>
    <row r="917" ht="15.75" customHeight="1">
      <c r="A917" s="33"/>
      <c r="B917" s="33"/>
      <c r="F917" s="33"/>
      <c r="G917" s="33"/>
      <c r="H917" s="33"/>
      <c r="I917" s="33"/>
      <c r="J917" s="33"/>
      <c r="L917" s="33"/>
      <c r="M917" s="33"/>
      <c r="N917" s="33"/>
      <c r="O917" s="33"/>
      <c r="P917" s="33"/>
      <c r="R917" s="33"/>
      <c r="S917" s="33"/>
      <c r="T917" s="33"/>
      <c r="U917" s="33"/>
      <c r="V917" s="33"/>
      <c r="W917" s="33"/>
      <c r="X917" s="33"/>
      <c r="AA917" s="33"/>
      <c r="AC917" s="33"/>
    </row>
    <row r="918" ht="15.75" customHeight="1">
      <c r="A918" s="33"/>
      <c r="B918" s="33"/>
      <c r="F918" s="33"/>
      <c r="G918" s="33"/>
      <c r="H918" s="33"/>
      <c r="I918" s="33"/>
      <c r="J918" s="33"/>
      <c r="L918" s="33"/>
      <c r="M918" s="33"/>
      <c r="N918" s="33"/>
      <c r="O918" s="33"/>
      <c r="P918" s="33"/>
      <c r="R918" s="33"/>
      <c r="S918" s="33"/>
      <c r="T918" s="33"/>
      <c r="U918" s="33"/>
      <c r="V918" s="33"/>
      <c r="W918" s="33"/>
      <c r="X918" s="33"/>
      <c r="AA918" s="33"/>
      <c r="AC918" s="33"/>
    </row>
    <row r="919" ht="15.75" customHeight="1">
      <c r="A919" s="33"/>
      <c r="B919" s="33"/>
      <c r="F919" s="33"/>
      <c r="G919" s="33"/>
      <c r="H919" s="33"/>
      <c r="I919" s="33"/>
      <c r="J919" s="33"/>
      <c r="L919" s="33"/>
      <c r="M919" s="33"/>
      <c r="N919" s="33"/>
      <c r="O919" s="33"/>
      <c r="P919" s="33"/>
      <c r="R919" s="33"/>
      <c r="S919" s="33"/>
      <c r="T919" s="33"/>
      <c r="U919" s="33"/>
      <c r="V919" s="33"/>
      <c r="W919" s="33"/>
      <c r="X919" s="33"/>
      <c r="AA919" s="33"/>
      <c r="AC919" s="33"/>
    </row>
    <row r="920" ht="15.75" customHeight="1">
      <c r="A920" s="33"/>
      <c r="B920" s="33"/>
      <c r="F920" s="33"/>
      <c r="G920" s="33"/>
      <c r="H920" s="33"/>
      <c r="I920" s="33"/>
      <c r="J920" s="33"/>
      <c r="L920" s="33"/>
      <c r="M920" s="33"/>
      <c r="N920" s="33"/>
      <c r="O920" s="33"/>
      <c r="P920" s="33"/>
      <c r="R920" s="33"/>
      <c r="S920" s="33"/>
      <c r="T920" s="33"/>
      <c r="U920" s="33"/>
      <c r="V920" s="33"/>
      <c r="W920" s="33"/>
      <c r="X920" s="33"/>
      <c r="AA920" s="33"/>
      <c r="AC920" s="33"/>
    </row>
    <row r="921" ht="15.75" customHeight="1">
      <c r="A921" s="33"/>
      <c r="B921" s="33"/>
      <c r="F921" s="33"/>
      <c r="G921" s="33"/>
      <c r="H921" s="33"/>
      <c r="I921" s="33"/>
      <c r="J921" s="33"/>
      <c r="L921" s="33"/>
      <c r="M921" s="33"/>
      <c r="N921" s="33"/>
      <c r="O921" s="33"/>
      <c r="P921" s="33"/>
      <c r="R921" s="33"/>
      <c r="S921" s="33"/>
      <c r="T921" s="33"/>
      <c r="U921" s="33"/>
      <c r="V921" s="33"/>
      <c r="W921" s="33"/>
      <c r="X921" s="33"/>
      <c r="AA921" s="33"/>
      <c r="AC921" s="33"/>
    </row>
    <row r="922" ht="15.75" customHeight="1">
      <c r="A922" s="33"/>
      <c r="B922" s="33"/>
      <c r="F922" s="33"/>
      <c r="G922" s="33"/>
      <c r="H922" s="33"/>
      <c r="I922" s="33"/>
      <c r="J922" s="33"/>
      <c r="L922" s="33"/>
      <c r="M922" s="33"/>
      <c r="N922" s="33"/>
      <c r="O922" s="33"/>
      <c r="P922" s="33"/>
      <c r="R922" s="33"/>
      <c r="S922" s="33"/>
      <c r="T922" s="33"/>
      <c r="U922" s="33"/>
      <c r="V922" s="33"/>
      <c r="W922" s="33"/>
      <c r="X922" s="33"/>
      <c r="AA922" s="33"/>
      <c r="AC922" s="33"/>
    </row>
    <row r="923" ht="15.75" customHeight="1">
      <c r="A923" s="33"/>
      <c r="B923" s="33"/>
      <c r="F923" s="33"/>
      <c r="G923" s="33"/>
      <c r="H923" s="33"/>
      <c r="I923" s="33"/>
      <c r="J923" s="33"/>
      <c r="L923" s="33"/>
      <c r="M923" s="33"/>
      <c r="N923" s="33"/>
      <c r="O923" s="33"/>
      <c r="P923" s="33"/>
      <c r="R923" s="33"/>
      <c r="S923" s="33"/>
      <c r="T923" s="33"/>
      <c r="U923" s="33"/>
      <c r="V923" s="33"/>
      <c r="W923" s="33"/>
      <c r="X923" s="33"/>
      <c r="AA923" s="33"/>
      <c r="AC923" s="33"/>
    </row>
    <row r="924" ht="15.75" customHeight="1">
      <c r="A924" s="33"/>
      <c r="B924" s="33"/>
      <c r="F924" s="33"/>
      <c r="G924" s="33"/>
      <c r="H924" s="33"/>
      <c r="I924" s="33"/>
      <c r="J924" s="33"/>
      <c r="L924" s="33"/>
      <c r="M924" s="33"/>
      <c r="N924" s="33"/>
      <c r="O924" s="33"/>
      <c r="P924" s="33"/>
      <c r="R924" s="33"/>
      <c r="S924" s="33"/>
      <c r="T924" s="33"/>
      <c r="U924" s="33"/>
      <c r="V924" s="33"/>
      <c r="W924" s="33"/>
      <c r="X924" s="33"/>
      <c r="AA924" s="33"/>
      <c r="AC924" s="33"/>
    </row>
    <row r="925" ht="15.75" customHeight="1">
      <c r="A925" s="33"/>
      <c r="B925" s="33"/>
      <c r="F925" s="33"/>
      <c r="G925" s="33"/>
      <c r="H925" s="33"/>
      <c r="I925" s="33"/>
      <c r="J925" s="33"/>
      <c r="L925" s="33"/>
      <c r="M925" s="33"/>
      <c r="N925" s="33"/>
      <c r="O925" s="33"/>
      <c r="P925" s="33"/>
      <c r="R925" s="33"/>
      <c r="S925" s="33"/>
      <c r="T925" s="33"/>
      <c r="U925" s="33"/>
      <c r="V925" s="33"/>
      <c r="W925" s="33"/>
      <c r="X925" s="33"/>
      <c r="AA925" s="33"/>
      <c r="AC925" s="33"/>
    </row>
    <row r="926" ht="15.75" customHeight="1">
      <c r="A926" s="33"/>
      <c r="B926" s="33"/>
      <c r="F926" s="33"/>
      <c r="G926" s="33"/>
      <c r="H926" s="33"/>
      <c r="I926" s="33"/>
      <c r="J926" s="33"/>
      <c r="L926" s="33"/>
      <c r="M926" s="33"/>
      <c r="N926" s="33"/>
      <c r="O926" s="33"/>
      <c r="P926" s="33"/>
      <c r="R926" s="33"/>
      <c r="S926" s="33"/>
      <c r="T926" s="33"/>
      <c r="U926" s="33"/>
      <c r="V926" s="33"/>
      <c r="W926" s="33"/>
      <c r="X926" s="33"/>
      <c r="AA926" s="33"/>
      <c r="AC926" s="33"/>
    </row>
    <row r="927" ht="15.75" customHeight="1">
      <c r="A927" s="33"/>
      <c r="B927" s="33"/>
      <c r="F927" s="33"/>
      <c r="G927" s="33"/>
      <c r="H927" s="33"/>
      <c r="I927" s="33"/>
      <c r="J927" s="33"/>
      <c r="L927" s="33"/>
      <c r="M927" s="33"/>
      <c r="N927" s="33"/>
      <c r="O927" s="33"/>
      <c r="P927" s="33"/>
      <c r="R927" s="33"/>
      <c r="S927" s="33"/>
      <c r="T927" s="33"/>
      <c r="U927" s="33"/>
      <c r="V927" s="33"/>
      <c r="W927" s="33"/>
      <c r="X927" s="33"/>
      <c r="AA927" s="33"/>
      <c r="AC927" s="33"/>
    </row>
    <row r="928" ht="15.75" customHeight="1">
      <c r="A928" s="33"/>
      <c r="B928" s="33"/>
      <c r="F928" s="33"/>
      <c r="G928" s="33"/>
      <c r="H928" s="33"/>
      <c r="I928" s="33"/>
      <c r="J928" s="33"/>
      <c r="L928" s="33"/>
      <c r="M928" s="33"/>
      <c r="N928" s="33"/>
      <c r="O928" s="33"/>
      <c r="P928" s="33"/>
      <c r="R928" s="33"/>
      <c r="S928" s="33"/>
      <c r="T928" s="33"/>
      <c r="U928" s="33"/>
      <c r="V928" s="33"/>
      <c r="W928" s="33"/>
      <c r="X928" s="33"/>
      <c r="AA928" s="33"/>
      <c r="AC928" s="33"/>
    </row>
    <row r="929" ht="15.75" customHeight="1">
      <c r="A929" s="33"/>
      <c r="B929" s="33"/>
      <c r="F929" s="33"/>
      <c r="G929" s="33"/>
      <c r="H929" s="33"/>
      <c r="I929" s="33"/>
      <c r="J929" s="33"/>
      <c r="L929" s="33"/>
      <c r="M929" s="33"/>
      <c r="N929" s="33"/>
      <c r="O929" s="33"/>
      <c r="P929" s="33"/>
      <c r="R929" s="33"/>
      <c r="S929" s="33"/>
      <c r="T929" s="33"/>
      <c r="U929" s="33"/>
      <c r="V929" s="33"/>
      <c r="W929" s="33"/>
      <c r="X929" s="33"/>
      <c r="AA929" s="33"/>
      <c r="AC929" s="33"/>
    </row>
    <row r="930" ht="15.75" customHeight="1">
      <c r="A930" s="33"/>
      <c r="B930" s="33"/>
      <c r="F930" s="33"/>
      <c r="G930" s="33"/>
      <c r="H930" s="33"/>
      <c r="I930" s="33"/>
      <c r="J930" s="33"/>
      <c r="L930" s="33"/>
      <c r="M930" s="33"/>
      <c r="N930" s="33"/>
      <c r="O930" s="33"/>
      <c r="P930" s="33"/>
      <c r="R930" s="33"/>
      <c r="S930" s="33"/>
      <c r="T930" s="33"/>
      <c r="U930" s="33"/>
      <c r="V930" s="33"/>
      <c r="W930" s="33"/>
      <c r="X930" s="33"/>
      <c r="AA930" s="33"/>
      <c r="AC930" s="33"/>
    </row>
    <row r="931" ht="15.75" customHeight="1">
      <c r="A931" s="33"/>
      <c r="B931" s="33"/>
      <c r="F931" s="33"/>
      <c r="G931" s="33"/>
      <c r="H931" s="33"/>
      <c r="I931" s="33"/>
      <c r="J931" s="33"/>
      <c r="L931" s="33"/>
      <c r="M931" s="33"/>
      <c r="N931" s="33"/>
      <c r="O931" s="33"/>
      <c r="P931" s="33"/>
      <c r="R931" s="33"/>
      <c r="S931" s="33"/>
      <c r="T931" s="33"/>
      <c r="U931" s="33"/>
      <c r="V931" s="33"/>
      <c r="W931" s="33"/>
      <c r="X931" s="33"/>
      <c r="AA931" s="33"/>
      <c r="AC931" s="33"/>
    </row>
    <row r="932" ht="15.75" customHeight="1">
      <c r="A932" s="33"/>
      <c r="B932" s="33"/>
      <c r="F932" s="33"/>
      <c r="G932" s="33"/>
      <c r="H932" s="33"/>
      <c r="I932" s="33"/>
      <c r="J932" s="33"/>
      <c r="L932" s="33"/>
      <c r="M932" s="33"/>
      <c r="N932" s="33"/>
      <c r="O932" s="33"/>
      <c r="P932" s="33"/>
      <c r="R932" s="33"/>
      <c r="S932" s="33"/>
      <c r="T932" s="33"/>
      <c r="U932" s="33"/>
      <c r="V932" s="33"/>
      <c r="W932" s="33"/>
      <c r="X932" s="33"/>
      <c r="AA932" s="33"/>
      <c r="AC932" s="33"/>
    </row>
    <row r="933" ht="15.75" customHeight="1">
      <c r="A933" s="33"/>
      <c r="B933" s="33"/>
      <c r="F933" s="33"/>
      <c r="G933" s="33"/>
      <c r="H933" s="33"/>
      <c r="I933" s="33"/>
      <c r="J933" s="33"/>
      <c r="L933" s="33"/>
      <c r="M933" s="33"/>
      <c r="N933" s="33"/>
      <c r="O933" s="33"/>
      <c r="P933" s="33"/>
      <c r="R933" s="33"/>
      <c r="S933" s="33"/>
      <c r="T933" s="33"/>
      <c r="U933" s="33"/>
      <c r="V933" s="33"/>
      <c r="W933" s="33"/>
      <c r="X933" s="33"/>
      <c r="AA933" s="33"/>
      <c r="AC933" s="33"/>
    </row>
    <row r="934" ht="15.75" customHeight="1">
      <c r="A934" s="33"/>
      <c r="B934" s="33"/>
      <c r="F934" s="33"/>
      <c r="G934" s="33"/>
      <c r="H934" s="33"/>
      <c r="I934" s="33"/>
      <c r="J934" s="33"/>
      <c r="L934" s="33"/>
      <c r="M934" s="33"/>
      <c r="N934" s="33"/>
      <c r="O934" s="33"/>
      <c r="P934" s="33"/>
      <c r="R934" s="33"/>
      <c r="S934" s="33"/>
      <c r="T934" s="33"/>
      <c r="U934" s="33"/>
      <c r="V934" s="33"/>
      <c r="W934" s="33"/>
      <c r="X934" s="33"/>
      <c r="AA934" s="33"/>
      <c r="AC934" s="33"/>
    </row>
    <row r="935" ht="15.75" customHeight="1">
      <c r="A935" s="33"/>
      <c r="B935" s="33"/>
      <c r="F935" s="33"/>
      <c r="G935" s="33"/>
      <c r="H935" s="33"/>
      <c r="I935" s="33"/>
      <c r="J935" s="33"/>
      <c r="L935" s="33"/>
      <c r="M935" s="33"/>
      <c r="N935" s="33"/>
      <c r="O935" s="33"/>
      <c r="P935" s="33"/>
      <c r="R935" s="33"/>
      <c r="S935" s="33"/>
      <c r="T935" s="33"/>
      <c r="U935" s="33"/>
      <c r="V935" s="33"/>
      <c r="W935" s="33"/>
      <c r="X935" s="33"/>
      <c r="AA935" s="33"/>
      <c r="AC935" s="33"/>
    </row>
    <row r="936" ht="15.75" customHeight="1">
      <c r="A936" s="33"/>
      <c r="B936" s="33"/>
      <c r="F936" s="33"/>
      <c r="G936" s="33"/>
      <c r="H936" s="33"/>
      <c r="I936" s="33"/>
      <c r="J936" s="33"/>
      <c r="L936" s="33"/>
      <c r="M936" s="33"/>
      <c r="N936" s="33"/>
      <c r="O936" s="33"/>
      <c r="P936" s="33"/>
      <c r="R936" s="33"/>
      <c r="S936" s="33"/>
      <c r="T936" s="33"/>
      <c r="U936" s="33"/>
      <c r="V936" s="33"/>
      <c r="W936" s="33"/>
      <c r="X936" s="33"/>
      <c r="AA936" s="33"/>
      <c r="AC936" s="33"/>
    </row>
    <row r="937" ht="15.75" customHeight="1">
      <c r="A937" s="33"/>
      <c r="B937" s="33"/>
      <c r="F937" s="33"/>
      <c r="G937" s="33"/>
      <c r="H937" s="33"/>
      <c r="I937" s="33"/>
      <c r="J937" s="33"/>
      <c r="L937" s="33"/>
      <c r="M937" s="33"/>
      <c r="N937" s="33"/>
      <c r="O937" s="33"/>
      <c r="P937" s="33"/>
      <c r="R937" s="33"/>
      <c r="S937" s="33"/>
      <c r="T937" s="33"/>
      <c r="U937" s="33"/>
      <c r="V937" s="33"/>
      <c r="W937" s="33"/>
      <c r="X937" s="33"/>
      <c r="AA937" s="33"/>
      <c r="AC937" s="33"/>
    </row>
    <row r="938" ht="15.75" customHeight="1">
      <c r="A938" s="33"/>
      <c r="B938" s="33"/>
      <c r="F938" s="33"/>
      <c r="G938" s="33"/>
      <c r="H938" s="33"/>
      <c r="I938" s="33"/>
      <c r="J938" s="33"/>
      <c r="L938" s="33"/>
      <c r="M938" s="33"/>
      <c r="N938" s="33"/>
      <c r="O938" s="33"/>
      <c r="P938" s="33"/>
      <c r="R938" s="33"/>
      <c r="S938" s="33"/>
      <c r="T938" s="33"/>
      <c r="U938" s="33"/>
      <c r="V938" s="33"/>
      <c r="W938" s="33"/>
      <c r="X938" s="33"/>
      <c r="AA938" s="33"/>
      <c r="AC938" s="33"/>
    </row>
    <row r="939" ht="15.75" customHeight="1">
      <c r="A939" s="33"/>
      <c r="B939" s="33"/>
      <c r="F939" s="33"/>
      <c r="G939" s="33"/>
      <c r="H939" s="33"/>
      <c r="I939" s="33"/>
      <c r="J939" s="33"/>
      <c r="L939" s="33"/>
      <c r="M939" s="33"/>
      <c r="N939" s="33"/>
      <c r="O939" s="33"/>
      <c r="P939" s="33"/>
      <c r="R939" s="33"/>
      <c r="S939" s="33"/>
      <c r="T939" s="33"/>
      <c r="U939" s="33"/>
      <c r="V939" s="33"/>
      <c r="W939" s="33"/>
      <c r="X939" s="33"/>
      <c r="AA939" s="33"/>
      <c r="AC939" s="33"/>
    </row>
    <row r="940" ht="15.75" customHeight="1">
      <c r="A940" s="33"/>
      <c r="B940" s="33"/>
      <c r="F940" s="33"/>
      <c r="G940" s="33"/>
      <c r="H940" s="33"/>
      <c r="I940" s="33"/>
      <c r="J940" s="33"/>
      <c r="L940" s="33"/>
      <c r="M940" s="33"/>
      <c r="N940" s="33"/>
      <c r="O940" s="33"/>
      <c r="P940" s="33"/>
      <c r="R940" s="33"/>
      <c r="S940" s="33"/>
      <c r="T940" s="33"/>
      <c r="U940" s="33"/>
      <c r="V940" s="33"/>
      <c r="W940" s="33"/>
      <c r="X940" s="33"/>
      <c r="AA940" s="33"/>
      <c r="AC940" s="33"/>
    </row>
    <row r="941" ht="15.75" customHeight="1">
      <c r="A941" s="33"/>
      <c r="B941" s="33"/>
      <c r="F941" s="33"/>
      <c r="G941" s="33"/>
      <c r="H941" s="33"/>
      <c r="I941" s="33"/>
      <c r="J941" s="33"/>
      <c r="L941" s="33"/>
      <c r="M941" s="33"/>
      <c r="N941" s="33"/>
      <c r="O941" s="33"/>
      <c r="P941" s="33"/>
      <c r="R941" s="33"/>
      <c r="S941" s="33"/>
      <c r="T941" s="33"/>
      <c r="U941" s="33"/>
      <c r="V941" s="33"/>
      <c r="W941" s="33"/>
      <c r="X941" s="33"/>
      <c r="AA941" s="33"/>
      <c r="AC941" s="33"/>
    </row>
    <row r="942" ht="15.75" customHeight="1">
      <c r="A942" s="33"/>
      <c r="B942" s="33"/>
      <c r="F942" s="33"/>
      <c r="G942" s="33"/>
      <c r="H942" s="33"/>
      <c r="I942" s="33"/>
      <c r="J942" s="33"/>
      <c r="L942" s="33"/>
      <c r="M942" s="33"/>
      <c r="N942" s="33"/>
      <c r="O942" s="33"/>
      <c r="P942" s="33"/>
      <c r="R942" s="33"/>
      <c r="S942" s="33"/>
      <c r="T942" s="33"/>
      <c r="U942" s="33"/>
      <c r="V942" s="33"/>
      <c r="W942" s="33"/>
      <c r="X942" s="33"/>
      <c r="AA942" s="33"/>
      <c r="AC942" s="33"/>
    </row>
    <row r="943" ht="15.75" customHeight="1">
      <c r="A943" s="33"/>
      <c r="B943" s="33"/>
      <c r="F943" s="33"/>
      <c r="G943" s="33"/>
      <c r="H943" s="33"/>
      <c r="I943" s="33"/>
      <c r="J943" s="33"/>
      <c r="L943" s="33"/>
      <c r="M943" s="33"/>
      <c r="N943" s="33"/>
      <c r="O943" s="33"/>
      <c r="P943" s="33"/>
      <c r="R943" s="33"/>
      <c r="S943" s="33"/>
      <c r="T943" s="33"/>
      <c r="U943" s="33"/>
      <c r="V943" s="33"/>
      <c r="W943" s="33"/>
      <c r="X943" s="33"/>
      <c r="AA943" s="33"/>
      <c r="AC943" s="33"/>
    </row>
    <row r="944" ht="15.75" customHeight="1">
      <c r="A944" s="33"/>
      <c r="B944" s="33"/>
      <c r="F944" s="33"/>
      <c r="G944" s="33"/>
      <c r="H944" s="33"/>
      <c r="I944" s="33"/>
      <c r="J944" s="33"/>
      <c r="L944" s="33"/>
      <c r="M944" s="33"/>
      <c r="N944" s="33"/>
      <c r="O944" s="33"/>
      <c r="P944" s="33"/>
      <c r="R944" s="33"/>
      <c r="S944" s="33"/>
      <c r="T944" s="33"/>
      <c r="U944" s="33"/>
      <c r="V944" s="33"/>
      <c r="W944" s="33"/>
      <c r="X944" s="33"/>
      <c r="AA944" s="33"/>
      <c r="AC944" s="33"/>
    </row>
    <row r="945" ht="15.75" customHeight="1">
      <c r="A945" s="33"/>
      <c r="B945" s="33"/>
      <c r="F945" s="33"/>
      <c r="G945" s="33"/>
      <c r="H945" s="33"/>
      <c r="I945" s="33"/>
      <c r="J945" s="33"/>
      <c r="L945" s="33"/>
      <c r="M945" s="33"/>
      <c r="N945" s="33"/>
      <c r="O945" s="33"/>
      <c r="P945" s="33"/>
      <c r="R945" s="33"/>
      <c r="S945" s="33"/>
      <c r="T945" s="33"/>
      <c r="U945" s="33"/>
      <c r="V945" s="33"/>
      <c r="W945" s="33"/>
      <c r="X945" s="33"/>
      <c r="AA945" s="33"/>
      <c r="AC945" s="33"/>
    </row>
    <row r="946" ht="15.75" customHeight="1">
      <c r="A946" s="33"/>
      <c r="B946" s="33"/>
      <c r="F946" s="33"/>
      <c r="G946" s="33"/>
      <c r="H946" s="33"/>
      <c r="I946" s="33"/>
      <c r="J946" s="33"/>
      <c r="L946" s="33"/>
      <c r="M946" s="33"/>
      <c r="N946" s="33"/>
      <c r="O946" s="33"/>
      <c r="P946" s="33"/>
      <c r="R946" s="33"/>
      <c r="S946" s="33"/>
      <c r="T946" s="33"/>
      <c r="U946" s="33"/>
      <c r="V946" s="33"/>
      <c r="W946" s="33"/>
      <c r="X946" s="33"/>
      <c r="AA946" s="33"/>
      <c r="AC946" s="33"/>
    </row>
    <row r="947" ht="15.75" customHeight="1">
      <c r="A947" s="33"/>
      <c r="B947" s="33"/>
      <c r="F947" s="33"/>
      <c r="G947" s="33"/>
      <c r="H947" s="33"/>
      <c r="I947" s="33"/>
      <c r="J947" s="33"/>
      <c r="L947" s="33"/>
      <c r="M947" s="33"/>
      <c r="N947" s="33"/>
      <c r="O947" s="33"/>
      <c r="P947" s="33"/>
      <c r="R947" s="33"/>
      <c r="S947" s="33"/>
      <c r="T947" s="33"/>
      <c r="U947" s="33"/>
      <c r="V947" s="33"/>
      <c r="W947" s="33"/>
      <c r="X947" s="33"/>
      <c r="AA947" s="33"/>
      <c r="AC947" s="33"/>
    </row>
    <row r="948" ht="15.75" customHeight="1">
      <c r="A948" s="33"/>
      <c r="B948" s="33"/>
      <c r="F948" s="33"/>
      <c r="G948" s="33"/>
      <c r="H948" s="33"/>
      <c r="I948" s="33"/>
      <c r="J948" s="33"/>
      <c r="L948" s="33"/>
      <c r="M948" s="33"/>
      <c r="N948" s="33"/>
      <c r="O948" s="33"/>
      <c r="P948" s="33"/>
      <c r="R948" s="33"/>
      <c r="S948" s="33"/>
      <c r="T948" s="33"/>
      <c r="U948" s="33"/>
      <c r="V948" s="33"/>
      <c r="W948" s="33"/>
      <c r="X948" s="33"/>
      <c r="AA948" s="33"/>
      <c r="AC948" s="33"/>
    </row>
    <row r="949" ht="15.75" customHeight="1">
      <c r="A949" s="33"/>
      <c r="B949" s="33"/>
      <c r="F949" s="33"/>
      <c r="G949" s="33"/>
      <c r="H949" s="33"/>
      <c r="I949" s="33"/>
      <c r="J949" s="33"/>
      <c r="L949" s="33"/>
      <c r="M949" s="33"/>
      <c r="N949" s="33"/>
      <c r="O949" s="33"/>
      <c r="P949" s="33"/>
      <c r="R949" s="33"/>
      <c r="S949" s="33"/>
      <c r="T949" s="33"/>
      <c r="U949" s="33"/>
      <c r="V949" s="33"/>
      <c r="W949" s="33"/>
      <c r="X949" s="33"/>
      <c r="AA949" s="33"/>
      <c r="AC949" s="33"/>
    </row>
    <row r="950" ht="15.75" customHeight="1">
      <c r="A950" s="33"/>
      <c r="B950" s="33"/>
      <c r="F950" s="33"/>
      <c r="G950" s="33"/>
      <c r="H950" s="33"/>
      <c r="I950" s="33"/>
      <c r="J950" s="33"/>
      <c r="L950" s="33"/>
      <c r="M950" s="33"/>
      <c r="N950" s="33"/>
      <c r="O950" s="33"/>
      <c r="P950" s="33"/>
      <c r="R950" s="33"/>
      <c r="S950" s="33"/>
      <c r="T950" s="33"/>
      <c r="U950" s="33"/>
      <c r="V950" s="33"/>
      <c r="W950" s="33"/>
      <c r="X950" s="33"/>
      <c r="AA950" s="33"/>
      <c r="AC950" s="33"/>
    </row>
    <row r="951" ht="15.75" customHeight="1">
      <c r="A951" s="33"/>
      <c r="B951" s="33"/>
      <c r="F951" s="33"/>
      <c r="G951" s="33"/>
      <c r="H951" s="33"/>
      <c r="I951" s="33"/>
      <c r="J951" s="33"/>
      <c r="L951" s="33"/>
      <c r="M951" s="33"/>
      <c r="N951" s="33"/>
      <c r="O951" s="33"/>
      <c r="P951" s="33"/>
      <c r="R951" s="33"/>
      <c r="S951" s="33"/>
      <c r="T951" s="33"/>
      <c r="U951" s="33"/>
      <c r="V951" s="33"/>
      <c r="W951" s="33"/>
      <c r="X951" s="33"/>
      <c r="AA951" s="33"/>
      <c r="AC951" s="33"/>
    </row>
    <row r="952" ht="15.75" customHeight="1">
      <c r="A952" s="33"/>
      <c r="B952" s="33"/>
      <c r="F952" s="33"/>
      <c r="G952" s="33"/>
      <c r="H952" s="33"/>
      <c r="I952" s="33"/>
      <c r="J952" s="33"/>
      <c r="L952" s="33"/>
      <c r="M952" s="33"/>
      <c r="N952" s="33"/>
      <c r="O952" s="33"/>
      <c r="P952" s="33"/>
      <c r="R952" s="33"/>
      <c r="S952" s="33"/>
      <c r="T952" s="33"/>
      <c r="U952" s="33"/>
      <c r="V952" s="33"/>
      <c r="W952" s="33"/>
      <c r="X952" s="33"/>
      <c r="AA952" s="33"/>
      <c r="AC952" s="33"/>
    </row>
    <row r="953" ht="15.75" customHeight="1">
      <c r="A953" s="33"/>
      <c r="B953" s="33"/>
      <c r="F953" s="33"/>
      <c r="G953" s="33"/>
      <c r="H953" s="33"/>
      <c r="I953" s="33"/>
      <c r="J953" s="33"/>
      <c r="L953" s="33"/>
      <c r="M953" s="33"/>
      <c r="N953" s="33"/>
      <c r="O953" s="33"/>
      <c r="P953" s="33"/>
      <c r="R953" s="33"/>
      <c r="S953" s="33"/>
      <c r="T953" s="33"/>
      <c r="U953" s="33"/>
      <c r="V953" s="33"/>
      <c r="W953" s="33"/>
      <c r="X953" s="33"/>
      <c r="AA953" s="33"/>
      <c r="AC953" s="33"/>
    </row>
    <row r="954" ht="15.75" customHeight="1">
      <c r="A954" s="33"/>
      <c r="B954" s="33"/>
      <c r="F954" s="33"/>
      <c r="G954" s="33"/>
      <c r="H954" s="33"/>
      <c r="I954" s="33"/>
      <c r="J954" s="33"/>
      <c r="L954" s="33"/>
      <c r="M954" s="33"/>
      <c r="N954" s="33"/>
      <c r="O954" s="33"/>
      <c r="P954" s="33"/>
      <c r="R954" s="33"/>
      <c r="S954" s="33"/>
      <c r="T954" s="33"/>
      <c r="U954" s="33"/>
      <c r="V954" s="33"/>
      <c r="W954" s="33"/>
      <c r="X954" s="33"/>
      <c r="AA954" s="33"/>
      <c r="AC954" s="33"/>
    </row>
    <row r="955" ht="15.75" customHeight="1">
      <c r="A955" s="33"/>
      <c r="B955" s="33"/>
      <c r="F955" s="33"/>
      <c r="G955" s="33"/>
      <c r="H955" s="33"/>
      <c r="I955" s="33"/>
      <c r="J955" s="33"/>
      <c r="L955" s="33"/>
      <c r="M955" s="33"/>
      <c r="N955" s="33"/>
      <c r="O955" s="33"/>
      <c r="P955" s="33"/>
      <c r="R955" s="33"/>
      <c r="S955" s="33"/>
      <c r="T955" s="33"/>
      <c r="U955" s="33"/>
      <c r="V955" s="33"/>
      <c r="W955" s="33"/>
      <c r="X955" s="33"/>
      <c r="AA955" s="33"/>
      <c r="AC955" s="33"/>
    </row>
    <row r="956" ht="15.75" customHeight="1">
      <c r="A956" s="33"/>
      <c r="B956" s="33"/>
      <c r="F956" s="33"/>
      <c r="G956" s="33"/>
      <c r="H956" s="33"/>
      <c r="I956" s="33"/>
      <c r="J956" s="33"/>
      <c r="L956" s="33"/>
      <c r="M956" s="33"/>
      <c r="N956" s="33"/>
      <c r="O956" s="33"/>
      <c r="P956" s="33"/>
      <c r="R956" s="33"/>
      <c r="S956" s="33"/>
      <c r="T956" s="33"/>
      <c r="U956" s="33"/>
      <c r="V956" s="33"/>
      <c r="W956" s="33"/>
      <c r="X956" s="33"/>
      <c r="AA956" s="33"/>
      <c r="AC956" s="33"/>
    </row>
    <row r="957" ht="15.75" customHeight="1">
      <c r="A957" s="33"/>
      <c r="B957" s="33"/>
      <c r="F957" s="33"/>
      <c r="G957" s="33"/>
      <c r="H957" s="33"/>
      <c r="I957" s="33"/>
      <c r="J957" s="33"/>
      <c r="L957" s="33"/>
      <c r="M957" s="33"/>
      <c r="N957" s="33"/>
      <c r="O957" s="33"/>
      <c r="P957" s="33"/>
      <c r="R957" s="33"/>
      <c r="S957" s="33"/>
      <c r="T957" s="33"/>
      <c r="U957" s="33"/>
      <c r="V957" s="33"/>
      <c r="W957" s="33"/>
      <c r="X957" s="33"/>
      <c r="AA957" s="33"/>
      <c r="AC957" s="33"/>
    </row>
    <row r="958" ht="15.75" customHeight="1">
      <c r="A958" s="33"/>
      <c r="B958" s="33"/>
      <c r="F958" s="33"/>
      <c r="G958" s="33"/>
      <c r="H958" s="33"/>
      <c r="I958" s="33"/>
      <c r="J958" s="33"/>
      <c r="L958" s="33"/>
      <c r="M958" s="33"/>
      <c r="N958" s="33"/>
      <c r="O958" s="33"/>
      <c r="P958" s="33"/>
      <c r="R958" s="33"/>
      <c r="S958" s="33"/>
      <c r="T958" s="33"/>
      <c r="U958" s="33"/>
      <c r="V958" s="33"/>
      <c r="W958" s="33"/>
      <c r="X958" s="33"/>
      <c r="AA958" s="33"/>
      <c r="AC958" s="33"/>
    </row>
    <row r="959" ht="15.75" customHeight="1">
      <c r="A959" s="33"/>
      <c r="B959" s="33"/>
      <c r="F959" s="33"/>
      <c r="G959" s="33"/>
      <c r="H959" s="33"/>
      <c r="I959" s="33"/>
      <c r="J959" s="33"/>
      <c r="L959" s="33"/>
      <c r="M959" s="33"/>
      <c r="N959" s="33"/>
      <c r="O959" s="33"/>
      <c r="P959" s="33"/>
      <c r="R959" s="33"/>
      <c r="S959" s="33"/>
      <c r="T959" s="33"/>
      <c r="U959" s="33"/>
      <c r="V959" s="33"/>
      <c r="W959" s="33"/>
      <c r="X959" s="33"/>
      <c r="AA959" s="33"/>
      <c r="AC959" s="33"/>
    </row>
    <row r="960" ht="15.75" customHeight="1">
      <c r="A960" s="33"/>
      <c r="B960" s="33"/>
      <c r="F960" s="33"/>
      <c r="G960" s="33"/>
      <c r="H960" s="33"/>
      <c r="I960" s="33"/>
      <c r="J960" s="33"/>
      <c r="L960" s="33"/>
      <c r="M960" s="33"/>
      <c r="N960" s="33"/>
      <c r="O960" s="33"/>
      <c r="P960" s="33"/>
      <c r="R960" s="33"/>
      <c r="S960" s="33"/>
      <c r="T960" s="33"/>
      <c r="U960" s="33"/>
      <c r="V960" s="33"/>
      <c r="W960" s="33"/>
      <c r="X960" s="33"/>
      <c r="AA960" s="33"/>
      <c r="AC960" s="33"/>
    </row>
    <row r="961" ht="15.75" customHeight="1">
      <c r="A961" s="33"/>
      <c r="B961" s="33"/>
      <c r="F961" s="33"/>
      <c r="G961" s="33"/>
      <c r="H961" s="33"/>
      <c r="I961" s="33"/>
      <c r="J961" s="33"/>
      <c r="L961" s="33"/>
      <c r="M961" s="33"/>
      <c r="N961" s="33"/>
      <c r="O961" s="33"/>
      <c r="P961" s="33"/>
      <c r="R961" s="33"/>
      <c r="S961" s="33"/>
      <c r="T961" s="33"/>
      <c r="U961" s="33"/>
      <c r="V961" s="33"/>
      <c r="W961" s="33"/>
      <c r="X961" s="33"/>
      <c r="AA961" s="33"/>
      <c r="AC961" s="33"/>
    </row>
    <row r="962" ht="15.75" customHeight="1">
      <c r="A962" s="33"/>
      <c r="B962" s="33"/>
      <c r="F962" s="33"/>
      <c r="G962" s="33"/>
      <c r="H962" s="33"/>
      <c r="I962" s="33"/>
      <c r="J962" s="33"/>
      <c r="L962" s="33"/>
      <c r="M962" s="33"/>
      <c r="N962" s="33"/>
      <c r="O962" s="33"/>
      <c r="P962" s="33"/>
      <c r="R962" s="33"/>
      <c r="S962" s="33"/>
      <c r="T962" s="33"/>
      <c r="U962" s="33"/>
      <c r="V962" s="33"/>
      <c r="W962" s="33"/>
      <c r="X962" s="33"/>
      <c r="AA962" s="33"/>
      <c r="AC962" s="33"/>
    </row>
    <row r="963" ht="15.75" customHeight="1">
      <c r="A963" s="33"/>
      <c r="B963" s="33"/>
      <c r="F963" s="33"/>
      <c r="G963" s="33"/>
      <c r="H963" s="33"/>
      <c r="I963" s="33"/>
      <c r="J963" s="33"/>
      <c r="L963" s="33"/>
      <c r="M963" s="33"/>
      <c r="N963" s="33"/>
      <c r="O963" s="33"/>
      <c r="P963" s="33"/>
      <c r="R963" s="33"/>
      <c r="S963" s="33"/>
      <c r="T963" s="33"/>
      <c r="U963" s="33"/>
      <c r="V963" s="33"/>
      <c r="W963" s="33"/>
      <c r="X963" s="33"/>
      <c r="AA963" s="33"/>
      <c r="AC963" s="33"/>
    </row>
    <row r="964" ht="15.75" customHeight="1">
      <c r="A964" s="33"/>
      <c r="B964" s="33"/>
      <c r="F964" s="33"/>
      <c r="G964" s="33"/>
      <c r="H964" s="33"/>
      <c r="I964" s="33"/>
      <c r="J964" s="33"/>
      <c r="L964" s="33"/>
      <c r="M964" s="33"/>
      <c r="N964" s="33"/>
      <c r="O964" s="33"/>
      <c r="P964" s="33"/>
      <c r="R964" s="33"/>
      <c r="S964" s="33"/>
      <c r="T964" s="33"/>
      <c r="U964" s="33"/>
      <c r="V964" s="33"/>
      <c r="W964" s="33"/>
      <c r="X964" s="33"/>
      <c r="AA964" s="33"/>
      <c r="AC964" s="33"/>
    </row>
    <row r="965" ht="15.75" customHeight="1">
      <c r="A965" s="33"/>
      <c r="B965" s="33"/>
      <c r="F965" s="33"/>
      <c r="G965" s="33"/>
      <c r="H965" s="33"/>
      <c r="I965" s="33"/>
      <c r="J965" s="33"/>
      <c r="L965" s="33"/>
      <c r="M965" s="33"/>
      <c r="N965" s="33"/>
      <c r="O965" s="33"/>
      <c r="P965" s="33"/>
      <c r="R965" s="33"/>
      <c r="S965" s="33"/>
      <c r="T965" s="33"/>
      <c r="U965" s="33"/>
      <c r="V965" s="33"/>
      <c r="W965" s="33"/>
      <c r="X965" s="33"/>
      <c r="AA965" s="33"/>
      <c r="AC965" s="33"/>
    </row>
    <row r="966" ht="15.75" customHeight="1">
      <c r="A966" s="33"/>
      <c r="B966" s="33"/>
      <c r="F966" s="33"/>
      <c r="G966" s="33"/>
      <c r="H966" s="33"/>
      <c r="I966" s="33"/>
      <c r="J966" s="33"/>
      <c r="L966" s="33"/>
      <c r="M966" s="33"/>
      <c r="N966" s="33"/>
      <c r="O966" s="33"/>
      <c r="P966" s="33"/>
      <c r="R966" s="33"/>
      <c r="S966" s="33"/>
      <c r="T966" s="33"/>
      <c r="U966" s="33"/>
      <c r="V966" s="33"/>
      <c r="W966" s="33"/>
      <c r="X966" s="33"/>
      <c r="AA966" s="33"/>
      <c r="AC966" s="33"/>
    </row>
    <row r="967" ht="15.75" customHeight="1">
      <c r="A967" s="33"/>
      <c r="B967" s="33"/>
      <c r="F967" s="33"/>
      <c r="G967" s="33"/>
      <c r="H967" s="33"/>
      <c r="I967" s="33"/>
      <c r="J967" s="33"/>
      <c r="L967" s="33"/>
      <c r="M967" s="33"/>
      <c r="N967" s="33"/>
      <c r="O967" s="33"/>
      <c r="P967" s="33"/>
      <c r="R967" s="33"/>
      <c r="S967" s="33"/>
      <c r="T967" s="33"/>
      <c r="U967" s="33"/>
      <c r="V967" s="33"/>
      <c r="W967" s="33"/>
      <c r="X967" s="33"/>
      <c r="AA967" s="33"/>
      <c r="AC967" s="33"/>
    </row>
    <row r="968" ht="15.75" customHeight="1">
      <c r="A968" s="33"/>
      <c r="B968" s="33"/>
      <c r="F968" s="33"/>
      <c r="G968" s="33"/>
      <c r="H968" s="33"/>
      <c r="I968" s="33"/>
      <c r="J968" s="33"/>
      <c r="L968" s="33"/>
      <c r="M968" s="33"/>
      <c r="N968" s="33"/>
      <c r="O968" s="33"/>
      <c r="P968" s="33"/>
      <c r="R968" s="33"/>
      <c r="S968" s="33"/>
      <c r="T968" s="33"/>
      <c r="U968" s="33"/>
      <c r="V968" s="33"/>
      <c r="W968" s="33"/>
      <c r="X968" s="33"/>
      <c r="AA968" s="33"/>
      <c r="AC968" s="33"/>
    </row>
    <row r="969" ht="15.75" customHeight="1">
      <c r="A969" s="33"/>
      <c r="B969" s="33"/>
      <c r="F969" s="33"/>
      <c r="G969" s="33"/>
      <c r="H969" s="33"/>
      <c r="I969" s="33"/>
      <c r="J969" s="33"/>
      <c r="L969" s="33"/>
      <c r="M969" s="33"/>
      <c r="N969" s="33"/>
      <c r="O969" s="33"/>
      <c r="P969" s="33"/>
      <c r="R969" s="33"/>
      <c r="S969" s="33"/>
      <c r="T969" s="33"/>
      <c r="U969" s="33"/>
      <c r="V969" s="33"/>
      <c r="W969" s="33"/>
      <c r="X969" s="33"/>
      <c r="AA969" s="33"/>
      <c r="AC969" s="33"/>
    </row>
    <row r="970" ht="15.75" customHeight="1">
      <c r="A970" s="33"/>
      <c r="B970" s="33"/>
      <c r="F970" s="33"/>
      <c r="G970" s="33"/>
      <c r="H970" s="33"/>
      <c r="I970" s="33"/>
      <c r="J970" s="33"/>
      <c r="L970" s="33"/>
      <c r="M970" s="33"/>
      <c r="N970" s="33"/>
      <c r="O970" s="33"/>
      <c r="P970" s="33"/>
      <c r="R970" s="33"/>
      <c r="S970" s="33"/>
      <c r="T970" s="33"/>
      <c r="U970" s="33"/>
      <c r="V970" s="33"/>
      <c r="W970" s="33"/>
      <c r="X970" s="33"/>
      <c r="AA970" s="33"/>
      <c r="AC970" s="33"/>
    </row>
    <row r="971" ht="15.75" customHeight="1">
      <c r="A971" s="33"/>
      <c r="B971" s="33"/>
      <c r="F971" s="33"/>
      <c r="G971" s="33"/>
      <c r="H971" s="33"/>
      <c r="I971" s="33"/>
      <c r="J971" s="33"/>
      <c r="L971" s="33"/>
      <c r="M971" s="33"/>
      <c r="N971" s="33"/>
      <c r="O971" s="33"/>
      <c r="P971" s="33"/>
      <c r="R971" s="33"/>
      <c r="S971" s="33"/>
      <c r="T971" s="33"/>
      <c r="U971" s="33"/>
      <c r="V971" s="33"/>
      <c r="W971" s="33"/>
      <c r="X971" s="33"/>
      <c r="AA971" s="33"/>
      <c r="AC971" s="33"/>
    </row>
    <row r="972" ht="15.75" customHeight="1">
      <c r="A972" s="33"/>
      <c r="B972" s="33"/>
      <c r="F972" s="33"/>
      <c r="G972" s="33"/>
      <c r="H972" s="33"/>
      <c r="I972" s="33"/>
      <c r="J972" s="33"/>
      <c r="L972" s="33"/>
      <c r="M972" s="33"/>
      <c r="N972" s="33"/>
      <c r="O972" s="33"/>
      <c r="P972" s="33"/>
      <c r="R972" s="33"/>
      <c r="S972" s="33"/>
      <c r="T972" s="33"/>
      <c r="U972" s="33"/>
      <c r="V972" s="33"/>
      <c r="W972" s="33"/>
      <c r="X972" s="33"/>
      <c r="AA972" s="33"/>
      <c r="AC972" s="33"/>
    </row>
    <row r="973" ht="15.75" customHeight="1">
      <c r="A973" s="33"/>
      <c r="B973" s="33"/>
      <c r="F973" s="33"/>
      <c r="G973" s="33"/>
      <c r="H973" s="33"/>
      <c r="I973" s="33"/>
      <c r="J973" s="33"/>
      <c r="L973" s="33"/>
      <c r="M973" s="33"/>
      <c r="N973" s="33"/>
      <c r="O973" s="33"/>
      <c r="P973" s="33"/>
      <c r="R973" s="33"/>
      <c r="S973" s="33"/>
      <c r="T973" s="33"/>
      <c r="U973" s="33"/>
      <c r="V973" s="33"/>
      <c r="W973" s="33"/>
      <c r="X973" s="33"/>
      <c r="AA973" s="33"/>
      <c r="AC973" s="33"/>
    </row>
    <row r="974" ht="15.75" customHeight="1">
      <c r="A974" s="33"/>
      <c r="B974" s="33"/>
      <c r="F974" s="33"/>
      <c r="G974" s="33"/>
      <c r="H974" s="33"/>
      <c r="I974" s="33"/>
      <c r="J974" s="33"/>
      <c r="L974" s="33"/>
      <c r="M974" s="33"/>
      <c r="N974" s="33"/>
      <c r="O974" s="33"/>
      <c r="P974" s="33"/>
      <c r="R974" s="33"/>
      <c r="S974" s="33"/>
      <c r="T974" s="33"/>
      <c r="U974" s="33"/>
      <c r="V974" s="33"/>
      <c r="W974" s="33"/>
      <c r="X974" s="33"/>
      <c r="AA974" s="33"/>
      <c r="AC974" s="33"/>
    </row>
    <row r="975" ht="15.75" customHeight="1">
      <c r="A975" s="33"/>
      <c r="B975" s="33"/>
      <c r="F975" s="33"/>
      <c r="G975" s="33"/>
      <c r="H975" s="33"/>
      <c r="I975" s="33"/>
      <c r="J975" s="33"/>
      <c r="L975" s="33"/>
      <c r="M975" s="33"/>
      <c r="N975" s="33"/>
      <c r="O975" s="33"/>
      <c r="P975" s="33"/>
      <c r="R975" s="33"/>
      <c r="S975" s="33"/>
      <c r="T975" s="33"/>
      <c r="U975" s="33"/>
      <c r="V975" s="33"/>
      <c r="W975" s="33"/>
      <c r="X975" s="33"/>
      <c r="AA975" s="33"/>
      <c r="AC975" s="33"/>
    </row>
    <row r="976" ht="15.75" customHeight="1">
      <c r="A976" s="33"/>
      <c r="B976" s="33"/>
      <c r="F976" s="33"/>
      <c r="G976" s="33"/>
      <c r="H976" s="33"/>
      <c r="I976" s="33"/>
      <c r="J976" s="33"/>
      <c r="L976" s="33"/>
      <c r="M976" s="33"/>
      <c r="N976" s="33"/>
      <c r="O976" s="33"/>
      <c r="P976" s="33"/>
      <c r="R976" s="33"/>
      <c r="S976" s="33"/>
      <c r="T976" s="33"/>
      <c r="U976" s="33"/>
      <c r="V976" s="33"/>
      <c r="W976" s="33"/>
      <c r="X976" s="33"/>
      <c r="AA976" s="33"/>
      <c r="AC976" s="33"/>
    </row>
    <row r="977" ht="15.75" customHeight="1">
      <c r="A977" s="33"/>
      <c r="B977" s="33"/>
      <c r="F977" s="33"/>
      <c r="G977" s="33"/>
      <c r="H977" s="33"/>
      <c r="I977" s="33"/>
      <c r="J977" s="33"/>
      <c r="L977" s="33"/>
      <c r="M977" s="33"/>
      <c r="N977" s="33"/>
      <c r="O977" s="33"/>
      <c r="P977" s="33"/>
      <c r="R977" s="33"/>
      <c r="S977" s="33"/>
      <c r="T977" s="33"/>
      <c r="U977" s="33"/>
      <c r="V977" s="33"/>
      <c r="W977" s="33"/>
      <c r="X977" s="33"/>
      <c r="AA977" s="33"/>
      <c r="AC977" s="33"/>
    </row>
    <row r="978" ht="15.75" customHeight="1">
      <c r="A978" s="33"/>
      <c r="B978" s="33"/>
      <c r="F978" s="33"/>
      <c r="G978" s="33"/>
      <c r="H978" s="33"/>
      <c r="I978" s="33"/>
      <c r="J978" s="33"/>
      <c r="L978" s="33"/>
      <c r="M978" s="33"/>
      <c r="N978" s="33"/>
      <c r="O978" s="33"/>
      <c r="P978" s="33"/>
      <c r="R978" s="33"/>
      <c r="S978" s="33"/>
      <c r="T978" s="33"/>
      <c r="U978" s="33"/>
      <c r="V978" s="33"/>
      <c r="W978" s="33"/>
      <c r="X978" s="33"/>
      <c r="AA978" s="33"/>
      <c r="AC978" s="33"/>
    </row>
    <row r="979" ht="15.75" customHeight="1">
      <c r="A979" s="33"/>
      <c r="B979" s="33"/>
      <c r="F979" s="33"/>
      <c r="G979" s="33"/>
      <c r="H979" s="33"/>
      <c r="I979" s="33"/>
      <c r="J979" s="33"/>
      <c r="L979" s="33"/>
      <c r="M979" s="33"/>
      <c r="N979" s="33"/>
      <c r="O979" s="33"/>
      <c r="P979" s="33"/>
      <c r="R979" s="33"/>
      <c r="S979" s="33"/>
      <c r="T979" s="33"/>
      <c r="U979" s="33"/>
      <c r="V979" s="33"/>
      <c r="W979" s="33"/>
      <c r="X979" s="33"/>
      <c r="AA979" s="33"/>
      <c r="AC979" s="33"/>
    </row>
    <row r="980" ht="15.75" customHeight="1">
      <c r="A980" s="33"/>
      <c r="B980" s="33"/>
      <c r="F980" s="33"/>
      <c r="G980" s="33"/>
      <c r="H980" s="33"/>
      <c r="I980" s="33"/>
      <c r="J980" s="33"/>
      <c r="L980" s="33"/>
      <c r="M980" s="33"/>
      <c r="N980" s="33"/>
      <c r="O980" s="33"/>
      <c r="P980" s="33"/>
      <c r="R980" s="33"/>
      <c r="S980" s="33"/>
      <c r="T980" s="33"/>
      <c r="U980" s="33"/>
      <c r="V980" s="33"/>
      <c r="W980" s="33"/>
      <c r="X980" s="33"/>
      <c r="AA980" s="33"/>
      <c r="AC980" s="33"/>
    </row>
    <row r="981" ht="15.75" customHeight="1">
      <c r="A981" s="33"/>
      <c r="B981" s="33"/>
      <c r="F981" s="33"/>
      <c r="G981" s="33"/>
      <c r="H981" s="33"/>
      <c r="I981" s="33"/>
      <c r="J981" s="33"/>
      <c r="L981" s="33"/>
      <c r="M981" s="33"/>
      <c r="N981" s="33"/>
      <c r="O981" s="33"/>
      <c r="P981" s="33"/>
      <c r="R981" s="33"/>
      <c r="S981" s="33"/>
      <c r="T981" s="33"/>
      <c r="U981" s="33"/>
      <c r="V981" s="33"/>
      <c r="W981" s="33"/>
      <c r="X981" s="33"/>
      <c r="AA981" s="33"/>
      <c r="AC981" s="33"/>
    </row>
    <row r="982" ht="15.75" customHeight="1">
      <c r="A982" s="33"/>
      <c r="B982" s="33"/>
      <c r="F982" s="33"/>
      <c r="G982" s="33"/>
      <c r="H982" s="33"/>
      <c r="I982" s="33"/>
      <c r="J982" s="33"/>
      <c r="L982" s="33"/>
      <c r="M982" s="33"/>
      <c r="N982" s="33"/>
      <c r="O982" s="33"/>
      <c r="P982" s="33"/>
      <c r="R982" s="33"/>
      <c r="S982" s="33"/>
      <c r="T982" s="33"/>
      <c r="U982" s="33"/>
      <c r="V982" s="33"/>
      <c r="W982" s="33"/>
      <c r="X982" s="33"/>
      <c r="AA982" s="33"/>
      <c r="AC982" s="33"/>
    </row>
    <row r="983" ht="15.75" customHeight="1">
      <c r="A983" s="33"/>
      <c r="B983" s="33"/>
      <c r="F983" s="33"/>
      <c r="G983" s="33"/>
      <c r="H983" s="33"/>
      <c r="I983" s="33"/>
      <c r="J983" s="33"/>
      <c r="L983" s="33"/>
      <c r="M983" s="33"/>
      <c r="N983" s="33"/>
      <c r="O983" s="33"/>
      <c r="P983" s="33"/>
      <c r="R983" s="33"/>
      <c r="S983" s="33"/>
      <c r="T983" s="33"/>
      <c r="U983" s="33"/>
      <c r="V983" s="33"/>
      <c r="W983" s="33"/>
      <c r="X983" s="33"/>
      <c r="AA983" s="33"/>
      <c r="AC983" s="33"/>
    </row>
    <row r="984" ht="15.75" customHeight="1">
      <c r="A984" s="33"/>
      <c r="B984" s="33"/>
      <c r="F984" s="33"/>
      <c r="G984" s="33"/>
      <c r="H984" s="33"/>
      <c r="I984" s="33"/>
      <c r="J984" s="33"/>
      <c r="L984" s="33"/>
      <c r="M984" s="33"/>
      <c r="N984" s="33"/>
      <c r="O984" s="33"/>
      <c r="P984" s="33"/>
      <c r="R984" s="33"/>
      <c r="S984" s="33"/>
      <c r="T984" s="33"/>
      <c r="U984" s="33"/>
      <c r="V984" s="33"/>
      <c r="W984" s="33"/>
      <c r="X984" s="33"/>
      <c r="AA984" s="33"/>
      <c r="AC984" s="33"/>
    </row>
    <row r="985" ht="15.75" customHeight="1">
      <c r="A985" s="33"/>
      <c r="B985" s="33"/>
      <c r="F985" s="33"/>
      <c r="G985" s="33"/>
      <c r="H985" s="33"/>
      <c r="I985" s="33"/>
      <c r="J985" s="33"/>
      <c r="L985" s="33"/>
      <c r="M985" s="33"/>
      <c r="N985" s="33"/>
      <c r="O985" s="33"/>
      <c r="P985" s="33"/>
      <c r="R985" s="33"/>
      <c r="S985" s="33"/>
      <c r="T985" s="33"/>
      <c r="U985" s="33"/>
      <c r="V985" s="33"/>
      <c r="W985" s="33"/>
      <c r="X985" s="33"/>
      <c r="AA985" s="33"/>
      <c r="AC985" s="33"/>
    </row>
    <row r="986" ht="15.75" customHeight="1">
      <c r="A986" s="33"/>
      <c r="B986" s="33"/>
      <c r="F986" s="33"/>
      <c r="G986" s="33"/>
      <c r="H986" s="33"/>
      <c r="I986" s="33"/>
      <c r="J986" s="33"/>
      <c r="L986" s="33"/>
      <c r="M986" s="33"/>
      <c r="N986" s="33"/>
      <c r="O986" s="33"/>
      <c r="P986" s="33"/>
      <c r="R986" s="33"/>
      <c r="S986" s="33"/>
      <c r="T986" s="33"/>
      <c r="U986" s="33"/>
      <c r="V986" s="33"/>
      <c r="W986" s="33"/>
      <c r="X986" s="33"/>
      <c r="AA986" s="33"/>
      <c r="AC986" s="33"/>
    </row>
    <row r="987" ht="15.75" customHeight="1">
      <c r="A987" s="33"/>
      <c r="B987" s="33"/>
      <c r="F987" s="33"/>
      <c r="G987" s="33"/>
      <c r="H987" s="33"/>
      <c r="I987" s="33"/>
      <c r="J987" s="33"/>
      <c r="L987" s="33"/>
      <c r="M987" s="33"/>
      <c r="N987" s="33"/>
      <c r="O987" s="33"/>
      <c r="P987" s="33"/>
      <c r="R987" s="33"/>
      <c r="S987" s="33"/>
      <c r="T987" s="33"/>
      <c r="U987" s="33"/>
      <c r="V987" s="33"/>
      <c r="W987" s="33"/>
      <c r="X987" s="33"/>
      <c r="AA987" s="33"/>
      <c r="AC987" s="33"/>
    </row>
    <row r="988" ht="15.75" customHeight="1">
      <c r="A988" s="33"/>
      <c r="B988" s="33"/>
      <c r="F988" s="33"/>
      <c r="G988" s="33"/>
      <c r="H988" s="33"/>
      <c r="I988" s="33"/>
      <c r="J988" s="33"/>
      <c r="L988" s="33"/>
      <c r="M988" s="33"/>
      <c r="N988" s="33"/>
      <c r="O988" s="33"/>
      <c r="P988" s="33"/>
      <c r="R988" s="33"/>
      <c r="S988" s="33"/>
      <c r="T988" s="33"/>
      <c r="U988" s="33"/>
      <c r="V988" s="33"/>
      <c r="W988" s="33"/>
      <c r="X988" s="33"/>
      <c r="AA988" s="33"/>
      <c r="AC988" s="33"/>
    </row>
    <row r="989" ht="15.75" customHeight="1">
      <c r="A989" s="33"/>
      <c r="B989" s="33"/>
      <c r="F989" s="33"/>
      <c r="G989" s="33"/>
      <c r="H989" s="33"/>
      <c r="I989" s="33"/>
      <c r="J989" s="33"/>
      <c r="L989" s="33"/>
      <c r="M989" s="33"/>
      <c r="N989" s="33"/>
      <c r="O989" s="33"/>
      <c r="P989" s="33"/>
      <c r="R989" s="33"/>
      <c r="S989" s="33"/>
      <c r="T989" s="33"/>
      <c r="U989" s="33"/>
      <c r="V989" s="33"/>
      <c r="W989" s="33"/>
      <c r="X989" s="33"/>
      <c r="AA989" s="33"/>
      <c r="AC989" s="33"/>
    </row>
    <row r="990" ht="15.75" customHeight="1">
      <c r="A990" s="33"/>
      <c r="B990" s="33"/>
      <c r="F990" s="33"/>
      <c r="G990" s="33"/>
      <c r="H990" s="33"/>
      <c r="I990" s="33"/>
      <c r="J990" s="33"/>
      <c r="L990" s="33"/>
      <c r="M990" s="33"/>
      <c r="N990" s="33"/>
      <c r="O990" s="33"/>
      <c r="P990" s="33"/>
      <c r="R990" s="33"/>
      <c r="S990" s="33"/>
      <c r="T990" s="33"/>
      <c r="U990" s="33"/>
      <c r="V990" s="33"/>
      <c r="W990" s="33"/>
      <c r="X990" s="33"/>
      <c r="AA990" s="33"/>
      <c r="AC990" s="33"/>
    </row>
    <row r="991" ht="15.75" customHeight="1">
      <c r="A991" s="33"/>
      <c r="B991" s="33"/>
      <c r="F991" s="33"/>
      <c r="G991" s="33"/>
      <c r="H991" s="33"/>
      <c r="I991" s="33"/>
      <c r="J991" s="33"/>
      <c r="L991" s="33"/>
      <c r="M991" s="33"/>
      <c r="N991" s="33"/>
      <c r="O991" s="33"/>
      <c r="P991" s="33"/>
      <c r="R991" s="33"/>
      <c r="S991" s="33"/>
      <c r="T991" s="33"/>
      <c r="U991" s="33"/>
      <c r="V991" s="33"/>
      <c r="W991" s="33"/>
      <c r="X991" s="33"/>
      <c r="AA991" s="33"/>
      <c r="AC991" s="33"/>
    </row>
    <row r="992" ht="15.75" customHeight="1">
      <c r="A992" s="33"/>
      <c r="B992" s="33"/>
      <c r="F992" s="33"/>
      <c r="G992" s="33"/>
      <c r="H992" s="33"/>
      <c r="I992" s="33"/>
      <c r="J992" s="33"/>
      <c r="L992" s="33"/>
      <c r="M992" s="33"/>
      <c r="N992" s="33"/>
      <c r="O992" s="33"/>
      <c r="P992" s="33"/>
      <c r="R992" s="33"/>
      <c r="S992" s="33"/>
      <c r="T992" s="33"/>
      <c r="U992" s="33"/>
      <c r="V992" s="33"/>
      <c r="W992" s="33"/>
      <c r="X992" s="33"/>
      <c r="AA992" s="33"/>
      <c r="AC992" s="33"/>
    </row>
    <row r="993" ht="15.75" customHeight="1">
      <c r="A993" s="33"/>
      <c r="B993" s="33"/>
      <c r="F993" s="33"/>
      <c r="G993" s="33"/>
      <c r="H993" s="33"/>
      <c r="I993" s="33"/>
      <c r="J993" s="33"/>
      <c r="L993" s="33"/>
      <c r="M993" s="33"/>
      <c r="N993" s="33"/>
      <c r="O993" s="33"/>
      <c r="P993" s="33"/>
      <c r="R993" s="33"/>
      <c r="S993" s="33"/>
      <c r="T993" s="33"/>
      <c r="U993" s="33"/>
      <c r="V993" s="33"/>
      <c r="W993" s="33"/>
      <c r="X993" s="33"/>
      <c r="AA993" s="33"/>
      <c r="AC993" s="33"/>
    </row>
    <row r="994" ht="15.75" customHeight="1">
      <c r="A994" s="33"/>
      <c r="B994" s="33"/>
      <c r="F994" s="33"/>
      <c r="G994" s="33"/>
      <c r="H994" s="33"/>
      <c r="I994" s="33"/>
      <c r="J994" s="33"/>
      <c r="L994" s="33"/>
      <c r="M994" s="33"/>
      <c r="N994" s="33"/>
      <c r="O994" s="33"/>
      <c r="P994" s="33"/>
      <c r="R994" s="33"/>
      <c r="S994" s="33"/>
      <c r="T994" s="33"/>
      <c r="U994" s="33"/>
      <c r="V994" s="33"/>
      <c r="W994" s="33"/>
      <c r="X994" s="33"/>
      <c r="AA994" s="33"/>
      <c r="AC994" s="33"/>
    </row>
    <row r="995" ht="15.75" customHeight="1">
      <c r="A995" s="33"/>
      <c r="B995" s="33"/>
      <c r="F995" s="33"/>
      <c r="G995" s="33"/>
      <c r="H995" s="33"/>
      <c r="I995" s="33"/>
      <c r="J995" s="33"/>
      <c r="L995" s="33"/>
      <c r="M995" s="33"/>
      <c r="N995" s="33"/>
      <c r="O995" s="33"/>
      <c r="P995" s="33"/>
      <c r="R995" s="33"/>
      <c r="S995" s="33"/>
      <c r="T995" s="33"/>
      <c r="U995" s="33"/>
      <c r="V995" s="33"/>
      <c r="W995" s="33"/>
      <c r="X995" s="33"/>
      <c r="AA995" s="33"/>
      <c r="AC995" s="33"/>
    </row>
    <row r="996" ht="15.75" customHeight="1">
      <c r="A996" s="33"/>
      <c r="B996" s="33"/>
      <c r="F996" s="33"/>
      <c r="G996" s="33"/>
      <c r="H996" s="33"/>
      <c r="I996" s="33"/>
      <c r="J996" s="33"/>
      <c r="L996" s="33"/>
      <c r="M996" s="33"/>
      <c r="N996" s="33"/>
      <c r="O996" s="33"/>
      <c r="P996" s="33"/>
      <c r="R996" s="33"/>
      <c r="S996" s="33"/>
      <c r="T996" s="33"/>
      <c r="U996" s="33"/>
      <c r="V996" s="33"/>
      <c r="W996" s="33"/>
      <c r="X996" s="33"/>
      <c r="AA996" s="33"/>
      <c r="AC996" s="33"/>
    </row>
    <row r="997" ht="15.75" customHeight="1">
      <c r="A997" s="33"/>
      <c r="B997" s="33"/>
      <c r="F997" s="33"/>
      <c r="G997" s="33"/>
      <c r="H997" s="33"/>
      <c r="I997" s="33"/>
      <c r="J997" s="33"/>
      <c r="L997" s="33"/>
      <c r="M997" s="33"/>
      <c r="N997" s="33"/>
      <c r="O997" s="33"/>
      <c r="P997" s="33"/>
      <c r="R997" s="33"/>
      <c r="S997" s="33"/>
      <c r="T997" s="33"/>
      <c r="U997" s="33"/>
      <c r="V997" s="33"/>
      <c r="W997" s="33"/>
      <c r="X997" s="33"/>
      <c r="AA997" s="33"/>
      <c r="AC997" s="33"/>
    </row>
    <row r="998" ht="15.75" customHeight="1">
      <c r="A998" s="33"/>
      <c r="B998" s="33"/>
      <c r="F998" s="33"/>
      <c r="G998" s="33"/>
      <c r="H998" s="33"/>
      <c r="I998" s="33"/>
      <c r="J998" s="33"/>
      <c r="L998" s="33"/>
      <c r="M998" s="33"/>
      <c r="N998" s="33"/>
      <c r="O998" s="33"/>
      <c r="P998" s="33"/>
      <c r="R998" s="33"/>
      <c r="S998" s="33"/>
      <c r="T998" s="33"/>
      <c r="U998" s="33"/>
      <c r="V998" s="33"/>
      <c r="W998" s="33"/>
      <c r="X998" s="33"/>
      <c r="AA998" s="33"/>
      <c r="AC998" s="33"/>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71"/>
    <col customWidth="1" min="2" max="4" width="22.57"/>
    <col customWidth="1" min="5" max="6" width="20.0"/>
    <col customWidth="1" min="7" max="7" width="18.29"/>
    <col customWidth="1" min="8" max="8" width="15.0"/>
    <col customWidth="1" min="9" max="9" width="13.29"/>
    <col customWidth="1" min="10" max="13" width="10.71"/>
    <col customWidth="1" min="14" max="14" width="8.14"/>
    <col customWidth="1" min="15" max="15" width="14.43"/>
    <col customWidth="1" min="16" max="18" width="10.71"/>
    <col customWidth="1" min="19" max="19" width="12.71"/>
    <col customWidth="1" min="20" max="33" width="10.71"/>
    <col customWidth="1" min="34" max="34" width="425.43"/>
    <col customWidth="1" min="35" max="36" width="10.71"/>
  </cols>
  <sheetData>
    <row r="1">
      <c r="A1" s="36" t="s">
        <v>0</v>
      </c>
      <c r="B1" s="1" t="s">
        <v>1</v>
      </c>
      <c r="C1" s="1" t="s">
        <v>2</v>
      </c>
      <c r="D1" s="37" t="s">
        <v>4</v>
      </c>
      <c r="E1" s="36" t="s">
        <v>1117</v>
      </c>
      <c r="F1" s="36" t="s">
        <v>1118</v>
      </c>
      <c r="G1" s="36" t="s">
        <v>1119</v>
      </c>
      <c r="H1" s="37" t="s">
        <v>1120</v>
      </c>
      <c r="I1" s="37" t="s">
        <v>520</v>
      </c>
      <c r="J1" s="36" t="s">
        <v>5</v>
      </c>
      <c r="K1" s="36" t="s">
        <v>8</v>
      </c>
      <c r="L1" s="36" t="s">
        <v>9</v>
      </c>
      <c r="M1" s="36" t="s">
        <v>11</v>
      </c>
      <c r="N1" s="37" t="s">
        <v>521</v>
      </c>
      <c r="O1" s="36" t="s">
        <v>1121</v>
      </c>
      <c r="P1" s="37" t="s">
        <v>521</v>
      </c>
      <c r="Q1" s="36" t="s">
        <v>16</v>
      </c>
      <c r="R1" s="37" t="s">
        <v>521</v>
      </c>
      <c r="S1" s="36" t="s">
        <v>17</v>
      </c>
      <c r="T1" s="37" t="s">
        <v>521</v>
      </c>
      <c r="U1" s="36" t="s">
        <v>18</v>
      </c>
      <c r="V1" s="37" t="s">
        <v>521</v>
      </c>
      <c r="W1" s="36" t="s">
        <v>15</v>
      </c>
      <c r="X1" s="66" t="s">
        <v>20</v>
      </c>
      <c r="Y1" s="37" t="s">
        <v>21</v>
      </c>
      <c r="Z1" s="66" t="s">
        <v>22</v>
      </c>
      <c r="AA1" s="37" t="s">
        <v>21</v>
      </c>
      <c r="AB1" s="38" t="s">
        <v>26</v>
      </c>
      <c r="AC1" s="38" t="s">
        <v>27</v>
      </c>
      <c r="AD1" s="38" t="s">
        <v>28</v>
      </c>
      <c r="AE1" s="38" t="s">
        <v>29</v>
      </c>
      <c r="AF1" s="38" t="s">
        <v>30</v>
      </c>
      <c r="AG1" s="38" t="s">
        <v>31</v>
      </c>
      <c r="AH1" s="38" t="s">
        <v>32</v>
      </c>
    </row>
    <row r="2">
      <c r="A2" s="32">
        <v>22323.0</v>
      </c>
      <c r="B2" s="5" t="s">
        <v>33</v>
      </c>
      <c r="C2" s="5" t="s">
        <v>34</v>
      </c>
      <c r="D2" s="32" t="s">
        <v>1122</v>
      </c>
      <c r="E2" s="32" t="s">
        <v>1123</v>
      </c>
      <c r="F2" s="32" t="s">
        <v>1124</v>
      </c>
      <c r="G2" s="32" t="s">
        <v>1125</v>
      </c>
      <c r="H2" s="40" t="s">
        <v>1126</v>
      </c>
      <c r="I2" s="40" t="s">
        <v>1127</v>
      </c>
      <c r="J2" s="43" t="s">
        <v>1128</v>
      </c>
      <c r="K2" s="32" t="s">
        <v>789</v>
      </c>
      <c r="M2" s="40">
        <v>12.4</v>
      </c>
      <c r="N2" s="40" t="s">
        <v>42</v>
      </c>
      <c r="O2" s="40">
        <v>3.0</v>
      </c>
      <c r="P2" s="40" t="s">
        <v>42</v>
      </c>
      <c r="Q2" s="40">
        <v>131.0</v>
      </c>
      <c r="R2" s="40" t="s">
        <v>42</v>
      </c>
      <c r="S2" s="40" t="s">
        <v>1129</v>
      </c>
      <c r="T2" s="40" t="s">
        <v>42</v>
      </c>
      <c r="U2" s="40">
        <v>2.82</v>
      </c>
      <c r="V2" s="40" t="s">
        <v>46</v>
      </c>
      <c r="W2" s="40" t="s">
        <v>1130</v>
      </c>
      <c r="X2" s="41">
        <v>50.0</v>
      </c>
      <c r="Y2" s="40" t="s">
        <v>61</v>
      </c>
      <c r="Z2" s="34">
        <f t="shared" ref="Z2:Z15" si="1">U2*X2</f>
        <v>141</v>
      </c>
      <c r="AA2" s="40" t="s">
        <v>61</v>
      </c>
      <c r="AH2" s="43" t="str">
        <f>IFERROR(__xludf.DUMMYFUNCTION("ai(""Breve descripcion de este piso"")"),"Este piso de ingeniería de Tauari Tostado presenta una elegante tonalidad beige dorada con vetas suaves, ideal para iluminar ambientes interiores con un toque rústico y sofisticado. Fabricado por Max Core en Paraguay, cuenta con un espesor de 12.4 mm, una"&amp;" lámina de madera noble de 3 mm y un acabado semi mate que resalta su brillo natural. Es una opción resistente, estable y de fácil mantenimiento, con un formato de entablonado de largos variados que aporta naturalidad y calidez al espacio.")</f>
        <v>Este piso de ingeniería de Tauari Tostado presenta una elegante tonalidad beige dorada con vetas suaves, ideal para iluminar ambientes interiores con un toque rústico y sofisticado. Fabricado por Max Core en Paraguay, cuenta con un espesor de 12.4 mm, una lámina de madera noble de 3 mm y un acabado semi mate que resalta su brillo natural. Es una opción resistente, estable y de fácil mantenimiento, con un formato de entablonado de largos variados que aporta naturalidad y calidez al espacio.</v>
      </c>
    </row>
    <row r="3">
      <c r="A3" s="32">
        <v>24820.0</v>
      </c>
      <c r="B3" s="5" t="s">
        <v>33</v>
      </c>
      <c r="C3" s="5" t="s">
        <v>34</v>
      </c>
      <c r="D3" s="32" t="s">
        <v>1122</v>
      </c>
      <c r="E3" s="32" t="s">
        <v>1123</v>
      </c>
      <c r="F3" s="32" t="s">
        <v>1124</v>
      </c>
      <c r="G3" s="32" t="s">
        <v>1131</v>
      </c>
      <c r="H3" s="40" t="s">
        <v>1126</v>
      </c>
      <c r="I3" s="40" t="s">
        <v>1127</v>
      </c>
      <c r="J3" s="32" t="s">
        <v>1128</v>
      </c>
      <c r="K3" s="32" t="s">
        <v>789</v>
      </c>
      <c r="M3" s="40">
        <v>12.4</v>
      </c>
      <c r="N3" s="40" t="s">
        <v>42</v>
      </c>
      <c r="O3" s="40">
        <v>3.0</v>
      </c>
      <c r="P3" s="40" t="s">
        <v>42</v>
      </c>
      <c r="Q3" s="40">
        <v>131.0</v>
      </c>
      <c r="R3" s="40" t="s">
        <v>42</v>
      </c>
      <c r="S3" s="40" t="s">
        <v>1129</v>
      </c>
      <c r="T3" s="40" t="s">
        <v>42</v>
      </c>
      <c r="U3" s="40">
        <v>2.82</v>
      </c>
      <c r="V3" s="40" t="s">
        <v>46</v>
      </c>
      <c r="W3" s="40" t="s">
        <v>1130</v>
      </c>
      <c r="X3" s="41">
        <v>55.0</v>
      </c>
      <c r="Y3" s="40" t="s">
        <v>61</v>
      </c>
      <c r="Z3" s="34">
        <f t="shared" si="1"/>
        <v>155.1</v>
      </c>
      <c r="AA3" s="40" t="s">
        <v>61</v>
      </c>
      <c r="AH3" s="43" t="str">
        <f>IFERROR(__xludf.DUMMYFUNCTION("AI(""Completa un valor adecuado para esta celda en función del contexto de la tabla"")"),"Este piso de ingeniería de Tauari destaca por su tonalidad clara y vetas delicadas, brindando luminosidad y elegancia a cualquier ambiente interior. Fabricado por Max Core en Paraguay, posee un espesor de 12.4 mm con una capa noble de 3 mm y un acabado se"&amp;"mi mate que realza la belleza natural de la madera. Su formato de entablonado con largos variados asegura una instalación con apariencia natural, ofreciendo una superficie estable, duradera y de gran calidez estética.")</f>
        <v>Este piso de ingeniería de Tauari destaca por su tonalidad clara y vetas delicadas, brindando luminosidad y elegancia a cualquier ambiente interior. Fabricado por Max Core en Paraguay, posee un espesor de 12.4 mm con una capa noble de 3 mm y un acabado semi mate que realza la belleza natural de la madera. Su formato de entablonado con largos variados asegura una instalación con apariencia natural, ofreciendo una superficie estable, duradera y de gran calidez estética.</v>
      </c>
    </row>
    <row r="4">
      <c r="A4" s="32">
        <v>23116.0</v>
      </c>
      <c r="B4" s="5" t="s">
        <v>33</v>
      </c>
      <c r="C4" s="5" t="s">
        <v>34</v>
      </c>
      <c r="D4" s="32" t="s">
        <v>1122</v>
      </c>
      <c r="E4" s="32" t="s">
        <v>1123</v>
      </c>
      <c r="F4" s="32" t="s">
        <v>1124</v>
      </c>
      <c r="G4" s="32" t="s">
        <v>1132</v>
      </c>
      <c r="H4" s="40" t="s">
        <v>1126</v>
      </c>
      <c r="I4" s="40" t="s">
        <v>1127</v>
      </c>
      <c r="J4" s="32" t="s">
        <v>1128</v>
      </c>
      <c r="K4" s="32" t="s">
        <v>789</v>
      </c>
      <c r="M4" s="40">
        <v>12.4</v>
      </c>
      <c r="N4" s="40" t="s">
        <v>42</v>
      </c>
      <c r="O4" s="40">
        <v>3.0</v>
      </c>
      <c r="P4" s="40" t="s">
        <v>42</v>
      </c>
      <c r="Q4" s="40">
        <v>131.0</v>
      </c>
      <c r="R4" s="40" t="s">
        <v>42</v>
      </c>
      <c r="S4" s="40" t="s">
        <v>1129</v>
      </c>
      <c r="T4" s="40" t="s">
        <v>42</v>
      </c>
      <c r="U4" s="40">
        <v>2.82</v>
      </c>
      <c r="V4" s="40" t="s">
        <v>46</v>
      </c>
      <c r="W4" s="40" t="s">
        <v>1130</v>
      </c>
      <c r="X4" s="41">
        <v>59.0</v>
      </c>
      <c r="Y4" s="40" t="s">
        <v>61</v>
      </c>
      <c r="Z4" s="34">
        <f t="shared" si="1"/>
        <v>166.38</v>
      </c>
      <c r="AA4" s="40" t="s">
        <v>61</v>
      </c>
      <c r="AH4" s="43" t="str">
        <f>IFERROR(__xludf.DUMMYFUNCTION("AI(""Completa un valor adecuado para esta celda en función del contexto de la tabla"")"),"Este piso de ingeniería de Incienso Colorado ofrece una fragancia natural única y una tonalidad castaña con vetas bien marcadas que brindan calidez y confort al hogar. Fabricado por Max Core en Paraguay, presenta un espesor de 12.4 mm con una lámina de ma"&amp;"dera noble de 3 mm y un acabado semi mate que protege la superficie. Su formato de entablonado de largos variados asegura una estructura estable y resistente, ideal para crear ambientes interiores sofisticados y relajantes.")</f>
        <v>Este piso de ingeniería de Incienso Colorado ofrece una fragancia natural única y una tonalidad castaña con vetas bien marcadas que brindan calidez y confort al hogar. Fabricado por Max Core en Paraguay, presenta un espesor de 12.4 mm con una lámina de madera noble de 3 mm y un acabado semi mate que protege la superficie. Su formato de entablonado de largos variados asegura una estructura estable y resistente, ideal para crear ambientes interiores sofisticados y relajantes.</v>
      </c>
    </row>
    <row r="5">
      <c r="A5" s="32">
        <v>23904.0</v>
      </c>
      <c r="B5" s="5" t="s">
        <v>33</v>
      </c>
      <c r="C5" s="5" t="s">
        <v>34</v>
      </c>
      <c r="D5" s="32" t="s">
        <v>1122</v>
      </c>
      <c r="E5" s="32" t="s">
        <v>1123</v>
      </c>
      <c r="F5" s="32" t="s">
        <v>1124</v>
      </c>
      <c r="G5" s="32" t="s">
        <v>1133</v>
      </c>
      <c r="H5" s="40" t="s">
        <v>1126</v>
      </c>
      <c r="I5" s="40" t="s">
        <v>1127</v>
      </c>
      <c r="J5" s="32" t="s">
        <v>1128</v>
      </c>
      <c r="K5" s="32" t="s">
        <v>789</v>
      </c>
      <c r="M5" s="40">
        <v>12.4</v>
      </c>
      <c r="N5" s="40" t="s">
        <v>42</v>
      </c>
      <c r="O5" s="40">
        <v>3.0</v>
      </c>
      <c r="P5" s="40" t="s">
        <v>42</v>
      </c>
      <c r="Q5" s="40">
        <v>127.0</v>
      </c>
      <c r="R5" s="40" t="s">
        <v>42</v>
      </c>
      <c r="S5" s="40" t="s">
        <v>1129</v>
      </c>
      <c r="T5" s="40" t="s">
        <v>42</v>
      </c>
      <c r="U5" s="40">
        <v>2.74</v>
      </c>
      <c r="V5" s="40" t="s">
        <v>46</v>
      </c>
      <c r="W5" s="40" t="s">
        <v>1130</v>
      </c>
      <c r="X5" s="41">
        <v>62.0</v>
      </c>
      <c r="Y5" s="40" t="s">
        <v>61</v>
      </c>
      <c r="Z5" s="34">
        <f t="shared" si="1"/>
        <v>169.88</v>
      </c>
      <c r="AA5" s="40" t="s">
        <v>61</v>
      </c>
      <c r="AH5" s="43" t="str">
        <f>IFERROR(__xludf.DUMMYFUNCTION("AI(""Completa un valor adecuado para esta celda en función del contexto de la tabla"")"),"Este piso de ingeniería de Roble Natural destaca por su tono claro y equilibrado con vetas naturales, ideal para crear ambientes luminosos y modernos con un toque de elegancia clásica. Fabricado por Max Core en Paraguay, presenta un espesor de 12.4 mm, un"&amp;"a lámina de madera noble de 3 mm y un acabado semi mate que protege la superficie manteniendo su aspecto orgánico. Su diseño en formato entablonado de largos variados ofrece una estética dinámica y acogedora, siendo una solución duradera y de alta estabil"&amp;"idad para espacios interiores.")</f>
        <v>Este piso de ingeniería de Roble Natural destaca por su tono claro y equilibrado con vetas naturales, ideal para crear ambientes luminosos y modernos con un toque de elegancia clásica. Fabricado por Max Core en Paraguay, presenta un espesor de 12.4 mm, una lámina de madera noble de 3 mm y un acabado semi mate que protege la superficie manteniendo su aspecto orgánico. Su diseño en formato entablonado de largos variados ofrece una estética dinámica y acogedora, siendo una solución duradera y de alta estabilidad para espacios interiores.</v>
      </c>
    </row>
    <row r="6">
      <c r="A6" s="32">
        <v>25328.0</v>
      </c>
      <c r="B6" s="5" t="s">
        <v>33</v>
      </c>
      <c r="C6" s="5" t="s">
        <v>34</v>
      </c>
      <c r="D6" s="32" t="s">
        <v>1122</v>
      </c>
      <c r="E6" s="32" t="s">
        <v>1123</v>
      </c>
      <c r="F6" s="32" t="s">
        <v>1124</v>
      </c>
      <c r="G6" s="32" t="s">
        <v>1134</v>
      </c>
      <c r="H6" s="40" t="s">
        <v>523</v>
      </c>
      <c r="I6" s="40" t="s">
        <v>1135</v>
      </c>
      <c r="J6" s="32" t="s">
        <v>1128</v>
      </c>
      <c r="K6" s="32" t="s">
        <v>789</v>
      </c>
      <c r="M6" s="40">
        <v>12.4</v>
      </c>
      <c r="N6" s="40" t="s">
        <v>42</v>
      </c>
      <c r="O6" s="40">
        <v>3.0</v>
      </c>
      <c r="P6" s="40" t="s">
        <v>42</v>
      </c>
      <c r="Q6" s="40">
        <v>127.0</v>
      </c>
      <c r="R6" s="40" t="s">
        <v>42</v>
      </c>
      <c r="S6" s="40" t="s">
        <v>1129</v>
      </c>
      <c r="T6" s="40" t="s">
        <v>42</v>
      </c>
      <c r="U6" s="40">
        <v>2.77</v>
      </c>
      <c r="V6" s="40" t="s">
        <v>46</v>
      </c>
      <c r="W6" s="40" t="s">
        <v>1130</v>
      </c>
      <c r="X6" s="41">
        <v>62.0</v>
      </c>
      <c r="Y6" s="40" t="s">
        <v>61</v>
      </c>
      <c r="Z6" s="34">
        <f t="shared" si="1"/>
        <v>171.74</v>
      </c>
      <c r="AA6" s="40" t="s">
        <v>61</v>
      </c>
      <c r="AH6" s="43" t="str">
        <f>IFERROR(__xludf.DUMMYFUNCTION("AI(""Completa un valor adecuado para esta celda en función del contexto de la tabla"")"),"Este piso de ingeniería de Roble Ivory ofrece una estética luminosa y moderna con su tono claro y acabado mate. Fabricado por Max Core en Paraguay, presenta una terminación escobada que realza la textura de la madera. Con un espesor de 12.4 mm y una lámin"&amp;"a noble de 3 mm, es una solución duradera y estable. Su formato de entablonado de largos variados proporciona una apariencia natural y equilibrada, perfecta para crear ambientes acogedores y sofisticados.")</f>
        <v>Este piso de ingeniería de Roble Ivory ofrece una estética luminosa y moderna con su tono claro y acabado mate. Fabricado por Max Core en Paraguay, presenta una terminación escobada que realza la textura de la madera. Con un espesor de 12.4 mm y una lámina noble de 3 mm, es una solución duradera y estable. Su formato de entablonado de largos variados proporciona una apariencia natural y equilibrada, perfecta para crear ambientes acogedores y sofisticados.</v>
      </c>
    </row>
    <row r="7">
      <c r="A7" s="32">
        <v>23812.0</v>
      </c>
      <c r="B7" s="5" t="s">
        <v>33</v>
      </c>
      <c r="C7" s="5" t="s">
        <v>34</v>
      </c>
      <c r="D7" s="32" t="s">
        <v>1122</v>
      </c>
      <c r="E7" s="32" t="s">
        <v>1123</v>
      </c>
      <c r="F7" s="32" t="s">
        <v>1124</v>
      </c>
      <c r="G7" s="32" t="s">
        <v>1125</v>
      </c>
      <c r="H7" s="40" t="s">
        <v>1126</v>
      </c>
      <c r="I7" s="40" t="s">
        <v>1127</v>
      </c>
      <c r="J7" s="32" t="s">
        <v>1128</v>
      </c>
      <c r="K7" s="32" t="s">
        <v>789</v>
      </c>
      <c r="M7" s="40">
        <v>14.0</v>
      </c>
      <c r="N7" s="40" t="s">
        <v>42</v>
      </c>
      <c r="O7" s="40">
        <v>3.0</v>
      </c>
      <c r="P7" s="40" t="s">
        <v>42</v>
      </c>
      <c r="Q7" s="40">
        <v>190.5</v>
      </c>
      <c r="R7" s="40" t="s">
        <v>42</v>
      </c>
      <c r="S7" s="40" t="s">
        <v>1129</v>
      </c>
      <c r="T7" s="40" t="s">
        <v>42</v>
      </c>
      <c r="U7" s="40">
        <v>2.92</v>
      </c>
      <c r="V7" s="40" t="s">
        <v>46</v>
      </c>
      <c r="W7" s="40" t="s">
        <v>1130</v>
      </c>
      <c r="X7" s="41">
        <v>70.0</v>
      </c>
      <c r="Y7" s="40" t="s">
        <v>61</v>
      </c>
      <c r="Z7" s="34">
        <f t="shared" si="1"/>
        <v>204.4</v>
      </c>
      <c r="AA7" s="40" t="s">
        <v>61</v>
      </c>
      <c r="AH7" s="43" t="str">
        <f>IFERROR(__xludf.DUMMYFUNCTION("AI(""Completa un valor adecuado para esta celda en función del contexto de la tabla"")"),"Este piso de ingeniería de Tauari Tostado presenta una elegante tonalidad beige dorada con vetas suaves, ideal para iluminar ambientes interiores con un toque rústico y sofisticado. Fabricado por Max Core en Paraguay, cuenta con un espesor de 14 mm, una l"&amp;"ámina de madera noble de 3 mm y un acabado semi mate que resalta su brillo natural. Es una opción resistente, estable y de fácil mantenimiento, con un formato de entablonado de largos variados que aporta naturalidad y calidez al espacio.")</f>
        <v>Este piso de ingeniería de Tauari Tostado presenta una elegante tonalidad beige dorada con vetas suaves, ideal para iluminar ambientes interiores con un toque rústico y sofisticado. Fabricado por Max Core en Paraguay, cuenta con un espesor de 14 mm, una lámina de madera noble de 3 mm y un acabado semi mate que resalta su brillo natural. Es una opción resistente, estable y de fácil mantenimiento, con un formato de entablonado de largos variados que aporta naturalidad y calidez al espacio.</v>
      </c>
    </row>
    <row r="8">
      <c r="A8" s="32">
        <v>23811.0</v>
      </c>
      <c r="B8" s="5" t="s">
        <v>33</v>
      </c>
      <c r="C8" s="5" t="s">
        <v>34</v>
      </c>
      <c r="D8" s="32" t="s">
        <v>1122</v>
      </c>
      <c r="E8" s="32" t="s">
        <v>1123</v>
      </c>
      <c r="F8" s="32" t="s">
        <v>1124</v>
      </c>
      <c r="G8" s="32" t="s">
        <v>1133</v>
      </c>
      <c r="H8" s="40" t="s">
        <v>1126</v>
      </c>
      <c r="I8" s="40" t="s">
        <v>1127</v>
      </c>
      <c r="J8" s="32" t="s">
        <v>1128</v>
      </c>
      <c r="K8" s="32" t="s">
        <v>789</v>
      </c>
      <c r="M8" s="40">
        <v>14.0</v>
      </c>
      <c r="N8" s="40" t="s">
        <v>42</v>
      </c>
      <c r="O8" s="40">
        <v>3.0</v>
      </c>
      <c r="P8" s="40" t="s">
        <v>42</v>
      </c>
      <c r="Q8" s="40">
        <v>190.5</v>
      </c>
      <c r="R8" s="40" t="s">
        <v>42</v>
      </c>
      <c r="S8" s="40" t="s">
        <v>1129</v>
      </c>
      <c r="T8" s="40" t="s">
        <v>42</v>
      </c>
      <c r="U8" s="40">
        <v>2.91</v>
      </c>
      <c r="V8" s="40" t="s">
        <v>46</v>
      </c>
      <c r="W8" s="40" t="s">
        <v>1130</v>
      </c>
      <c r="X8" s="41">
        <v>97.0</v>
      </c>
      <c r="Y8" s="40" t="s">
        <v>61</v>
      </c>
      <c r="Z8" s="34">
        <f t="shared" si="1"/>
        <v>282.27</v>
      </c>
      <c r="AA8" s="40" t="s">
        <v>61</v>
      </c>
      <c r="AH8" s="43" t="str">
        <f>IFERROR(__xludf.DUMMYFUNCTION("AI(""Completa un valor adecuado para esta celda en función del contexto de la tabla"")"),"Este piso de ingeniería de Roble Natural destaca por su elegancia clásica y vetas equilibradas, aportando una estética atemporal a cualquier ambiente interior. Fabricado por Max Core en Paraguay, presenta un formato de entablonado de largos variados con u"&amp;"n espesor total de 14 mm y una capa noble de 3 mm. Su acabado semi mate resalta la belleza orgánica de la madera sin brillos excesivos, mientras que su ancho de 190.5 mm proporciona una sensación de mayor amplitud y sofisticada robustez a los espacios. Es"&amp;" una opción de alta calidad, estable y duradera, diseñada para combinar funcionalidad con el encanto natural del roble.")</f>
        <v>Este piso de ingeniería de Roble Natural destaca por su elegancia clásica y vetas equilibradas, aportando una estética atemporal a cualquier ambiente interior. Fabricado por Max Core en Paraguay, presenta un formato de entablonado de largos variados con un espesor total de 14 mm y una capa noble de 3 mm. Su acabado semi mate resalta la belleza orgánica de la madera sin brillos excesivos, mientras que su ancho de 190.5 mm proporciona una sensación de mayor amplitud y sofisticada robustez a los espacios. Es una opción de alta calidad, estable y duradera, diseñada para combinar funcionalidad con el encanto natural del roble.</v>
      </c>
    </row>
    <row r="9">
      <c r="A9" s="32">
        <v>22324.0</v>
      </c>
      <c r="B9" s="5" t="s">
        <v>33</v>
      </c>
      <c r="C9" s="5" t="s">
        <v>34</v>
      </c>
      <c r="D9" s="32" t="s">
        <v>1122</v>
      </c>
      <c r="E9" s="32" t="s">
        <v>1123</v>
      </c>
      <c r="F9" s="32" t="s">
        <v>1124</v>
      </c>
      <c r="G9" s="32" t="s">
        <v>1136</v>
      </c>
      <c r="H9" s="40" t="s">
        <v>1126</v>
      </c>
      <c r="I9" s="40" t="s">
        <v>1127</v>
      </c>
      <c r="J9" s="32" t="s">
        <v>1128</v>
      </c>
      <c r="K9" s="32" t="s">
        <v>789</v>
      </c>
      <c r="M9" s="40">
        <v>12.4</v>
      </c>
      <c r="N9" s="40" t="s">
        <v>42</v>
      </c>
      <c r="O9" s="40">
        <v>3.0</v>
      </c>
      <c r="P9" s="40" t="s">
        <v>42</v>
      </c>
      <c r="Q9" s="40">
        <v>127.0</v>
      </c>
      <c r="R9" s="40" t="s">
        <v>42</v>
      </c>
      <c r="S9" s="40" t="s">
        <v>1129</v>
      </c>
      <c r="T9" s="40" t="s">
        <v>42</v>
      </c>
      <c r="U9" s="40">
        <v>2.74</v>
      </c>
      <c r="V9" s="40" t="s">
        <v>46</v>
      </c>
      <c r="W9" s="40" t="s">
        <v>1130</v>
      </c>
      <c r="X9" s="41">
        <v>55.0</v>
      </c>
      <c r="Y9" s="40" t="s">
        <v>61</v>
      </c>
      <c r="Z9" s="34">
        <f t="shared" si="1"/>
        <v>150.7</v>
      </c>
      <c r="AA9" s="40" t="s">
        <v>61</v>
      </c>
      <c r="AH9" s="43" t="str">
        <f>IFERROR(__xludf.DUMMYFUNCTION("AI(""Completa un valor adecuado para esta celda en función del contexto de la tabla"")"),"Este piso de ingeniería de Viraro ofrece una estética clásica y cálida, con tonalidades rojizas y vetas marcadas que brindan carácter a cualquier ambiente interior. Fabricado por Max Core en Paraguay, posee un espesor de 12.4 mm, una lámina de madera nobl"&amp;"e de 3 mm y un acabado semi mate que realza la belleza de la especie. Es un producto de alta resistencia y estabilidad, presentado en un formato de entablonado de largos variados que asegura una instalación con apariencia natural y acogedora.")</f>
        <v>Este piso de ingeniería de Viraro ofrece una estética clásica y cálida, con tonalidades rojizas y vetas marcadas que brindan carácter a cualquier ambiente interior. Fabricado por Max Core en Paraguay, posee un espesor de 12.4 mm, una lámina de madera noble de 3 mm y un acabado semi mate que realza la belleza de la especie. Es un producto de alta resistencia y estabilidad, presentado en un formato de entablonado de largos variados que asegura una instalación con apariencia natural y acogedora.</v>
      </c>
    </row>
    <row r="10">
      <c r="A10" s="32">
        <v>22608.0</v>
      </c>
      <c r="B10" s="5" t="s">
        <v>33</v>
      </c>
      <c r="C10" s="5" t="s">
        <v>34</v>
      </c>
      <c r="D10" s="32" t="s">
        <v>1122</v>
      </c>
      <c r="E10" s="32" t="s">
        <v>1123</v>
      </c>
      <c r="F10" s="32" t="s">
        <v>1124</v>
      </c>
      <c r="G10" s="32" t="s">
        <v>807</v>
      </c>
      <c r="H10" s="40" t="s">
        <v>1126</v>
      </c>
      <c r="I10" s="40" t="s">
        <v>1127</v>
      </c>
      <c r="J10" s="32" t="s">
        <v>1128</v>
      </c>
      <c r="K10" s="32" t="s">
        <v>789</v>
      </c>
      <c r="M10" s="40">
        <v>12.4</v>
      </c>
      <c r="N10" s="40" t="s">
        <v>42</v>
      </c>
      <c r="O10" s="40">
        <v>3.0</v>
      </c>
      <c r="P10" s="40" t="s">
        <v>42</v>
      </c>
      <c r="Q10" s="40">
        <v>131.0</v>
      </c>
      <c r="R10" s="40" t="s">
        <v>42</v>
      </c>
      <c r="S10" s="40" t="s">
        <v>1129</v>
      </c>
      <c r="T10" s="40" t="s">
        <v>42</v>
      </c>
      <c r="U10" s="40">
        <v>2.83</v>
      </c>
      <c r="V10" s="40" t="s">
        <v>46</v>
      </c>
      <c r="W10" s="40" t="s">
        <v>1130</v>
      </c>
      <c r="X10" s="41">
        <v>59.0</v>
      </c>
      <c r="Y10" s="40" t="s">
        <v>61</v>
      </c>
      <c r="Z10" s="34">
        <f t="shared" si="1"/>
        <v>166.97</v>
      </c>
      <c r="AA10" s="40" t="s">
        <v>61</v>
      </c>
      <c r="AH10" s="43" t="str">
        <f>IFERROR(__xludf.DUMMYFUNCTION("AI(""Completa un valor adecuado para esta celda en función del contexto de la tabla"")"),"Este piso de ingeniería de Lapacho ofrece una tonalidad marrón verdosa sofisticada y distinguida, ideal para aportar estilo y calidez a cualquier ambiente interior. Fabricado por Max Core en Paraguay, cuenta con un espesor de 12.4 mm, una capa de madera n"&amp;"oble de 3 mm y un acabado semi mate que protege la superficie de rayones resaltando su belleza natural. Es una opción extremadamente duradera, estable ante cambios de humedad y de fácil mantenimiento, presentada en un formato de entablonado de largos vari"&amp;"ados que garantiza una apariencia auténtica y resistente.")</f>
        <v>Este piso de ingeniería de Lapacho ofrece una tonalidad marrón verdosa sofisticada y distinguida, ideal para aportar estilo y calidez a cualquier ambiente interior. Fabricado por Max Core en Paraguay, cuenta con un espesor de 12.4 mm, una capa de madera noble de 3 mm y un acabado semi mate que protege la superficie de rayones resaltando su belleza natural. Es una opción extremadamente duradera, estable ante cambios de humedad y de fácil mantenimiento, presentada en un formato de entablonado de largos variados que garantiza una apariencia auténtica y resistente.</v>
      </c>
    </row>
    <row r="11">
      <c r="A11" s="32">
        <v>25326.0</v>
      </c>
      <c r="B11" s="5" t="s">
        <v>33</v>
      </c>
      <c r="C11" s="5" t="s">
        <v>34</v>
      </c>
      <c r="D11" s="32" t="s">
        <v>1122</v>
      </c>
      <c r="E11" s="32" t="s">
        <v>1123</v>
      </c>
      <c r="F11" s="32" t="s">
        <v>1124</v>
      </c>
      <c r="G11" s="32" t="s">
        <v>1137</v>
      </c>
      <c r="H11" s="40" t="s">
        <v>523</v>
      </c>
      <c r="I11" s="40" t="s">
        <v>1135</v>
      </c>
      <c r="J11" s="32" t="s">
        <v>1128</v>
      </c>
      <c r="K11" s="32" t="s">
        <v>789</v>
      </c>
      <c r="M11" s="40">
        <v>14.0</v>
      </c>
      <c r="N11" s="40" t="s">
        <v>42</v>
      </c>
      <c r="O11" s="40">
        <v>3.0</v>
      </c>
      <c r="P11" s="40" t="s">
        <v>42</v>
      </c>
      <c r="Q11" s="40">
        <v>190.5</v>
      </c>
      <c r="R11" s="40" t="s">
        <v>42</v>
      </c>
      <c r="S11" s="40" t="s">
        <v>1129</v>
      </c>
      <c r="T11" s="40" t="s">
        <v>42</v>
      </c>
      <c r="U11" s="40">
        <v>2.91</v>
      </c>
      <c r="V11" s="40" t="s">
        <v>46</v>
      </c>
      <c r="W11" s="40" t="s">
        <v>1130</v>
      </c>
      <c r="X11" s="41">
        <v>59.0</v>
      </c>
      <c r="Y11" s="40" t="s">
        <v>61</v>
      </c>
      <c r="Z11" s="34">
        <f t="shared" si="1"/>
        <v>171.69</v>
      </c>
      <c r="AA11" s="40" t="s">
        <v>61</v>
      </c>
      <c r="AH11" s="43" t="str">
        <f>IFERROR(__xludf.DUMMYFUNCTION("AI(""Completa un valor adecuado para esta celda en función del contexto de la tabla"")"),"Este piso de ingeniería de Roble Rustik ofrece una estética natural y robusta, ideal para crear ambientes cálidos con un carácter auténtico. Fabricado por Max Core en Paraguay, presenta un espesor de 14 mm con una lámina de madera noble de 3 mm y un acaba"&amp;"do mate escobado que realza la textura de la madera. Su diseño en formato de entablonado con largos variados y un ancho de 190.5 mm proporciona una apariencia espaciosa y sofisticada, siendo una solución duradera y de gran estabilidad para espacios interi"&amp;"ores.")</f>
        <v>Este piso de ingeniería de Roble Rustik ofrece una estética natural y robusta, ideal para crear ambientes cálidos con un carácter auténtico. Fabricado por Max Core en Paraguay, presenta un espesor de 14 mm con una lámina de madera noble de 3 mm y un acabado mate escobado que realza la textura de la madera. Su diseño en formato de entablonado con largos variados y un ancho de 190.5 mm proporciona una apariencia espaciosa y sofisticada, siendo una solución duradera y de gran estabilidad para espacios interiores.</v>
      </c>
    </row>
    <row r="12">
      <c r="A12" s="32">
        <v>25325.0</v>
      </c>
      <c r="B12" s="5" t="s">
        <v>33</v>
      </c>
      <c r="C12" s="5" t="s">
        <v>34</v>
      </c>
      <c r="D12" s="32" t="s">
        <v>1122</v>
      </c>
      <c r="E12" s="32" t="s">
        <v>1123</v>
      </c>
      <c r="F12" s="32" t="s">
        <v>1124</v>
      </c>
      <c r="G12" s="32" t="s">
        <v>1133</v>
      </c>
      <c r="H12" s="40" t="s">
        <v>523</v>
      </c>
      <c r="I12" s="40" t="s">
        <v>1127</v>
      </c>
      <c r="J12" s="32" t="s">
        <v>1128</v>
      </c>
      <c r="K12" s="32" t="s">
        <v>789</v>
      </c>
      <c r="M12" s="40">
        <v>12.4</v>
      </c>
      <c r="N12" s="40" t="s">
        <v>42</v>
      </c>
      <c r="O12" s="40">
        <v>3.0</v>
      </c>
      <c r="P12" s="40" t="s">
        <v>42</v>
      </c>
      <c r="Q12" s="40">
        <v>127.0</v>
      </c>
      <c r="R12" s="40" t="s">
        <v>42</v>
      </c>
      <c r="S12" s="40" t="s">
        <v>1129</v>
      </c>
      <c r="T12" s="40" t="s">
        <v>42</v>
      </c>
      <c r="U12" s="40">
        <v>2.77</v>
      </c>
      <c r="V12" s="40" t="s">
        <v>46</v>
      </c>
      <c r="W12" s="40" t="s">
        <v>1130</v>
      </c>
      <c r="X12" s="41">
        <v>62.0</v>
      </c>
      <c r="Y12" s="40" t="s">
        <v>61</v>
      </c>
      <c r="Z12" s="34">
        <f t="shared" si="1"/>
        <v>171.74</v>
      </c>
      <c r="AA12" s="40" t="s">
        <v>61</v>
      </c>
      <c r="AH12" s="43" t="str">
        <f>IFERROR(__xludf.DUMMYFUNCTION("AI(""Completa un valor adecuado para esta celda en función del contexto de la tabla"")"),"Este piso de ingeniería de Roble Natural ofrece una apariencia clásica y orgánica con tonalidades claras y equilibradas, perfecto para crear ambientes luminosos y acogedores. Fabricado por Max Core en Paraguay, presenta un espesor de 12.4 mm, una capa sup"&amp;"erior de madera noble de 3 mm y un acabado mate que resalta la textura auténtica de la madera. Gracias a su formato de entablonado con largos variados, proporciona una estética natural y fluida, siendo una solución duradera y de gran estabilidad para espa"&amp;"cios interiores.")</f>
        <v>Este piso de ingeniería de Roble Natural ofrece una apariencia clásica y orgánica con tonalidades claras y equilibradas, perfecto para crear ambientes luminosos y acogedores. Fabricado por Max Core en Paraguay, presenta un espesor de 12.4 mm, una capa superior de madera noble de 3 mm y un acabado mate que resalta la textura auténtica de la madera. Gracias a su formato de entablonado con largos variados, proporciona una estética natural y fluida, siendo una solución duradera y de gran estabilidad para espacios interiores.</v>
      </c>
    </row>
    <row r="13">
      <c r="A13" s="32">
        <v>25327.0</v>
      </c>
      <c r="B13" s="5" t="s">
        <v>33</v>
      </c>
      <c r="C13" s="5" t="s">
        <v>34</v>
      </c>
      <c r="D13" s="32" t="s">
        <v>1122</v>
      </c>
      <c r="E13" s="32" t="s">
        <v>1123</v>
      </c>
      <c r="F13" s="32" t="s">
        <v>1138</v>
      </c>
      <c r="G13" s="32" t="s">
        <v>1133</v>
      </c>
      <c r="H13" s="40" t="s">
        <v>523</v>
      </c>
      <c r="I13" s="40" t="s">
        <v>1135</v>
      </c>
      <c r="J13" s="32" t="s">
        <v>1128</v>
      </c>
      <c r="K13" s="32" t="s">
        <v>789</v>
      </c>
      <c r="M13" s="40">
        <v>12.4</v>
      </c>
      <c r="N13" s="40" t="s">
        <v>42</v>
      </c>
      <c r="O13" s="40">
        <v>3.0</v>
      </c>
      <c r="P13" s="40" t="s">
        <v>42</v>
      </c>
      <c r="Q13" s="40">
        <v>127.0</v>
      </c>
      <c r="R13" s="40" t="s">
        <v>42</v>
      </c>
      <c r="S13" s="40">
        <v>750.0</v>
      </c>
      <c r="T13" s="40" t="s">
        <v>42</v>
      </c>
      <c r="U13" s="40">
        <v>2.86</v>
      </c>
      <c r="V13" s="40" t="s">
        <v>46</v>
      </c>
      <c r="W13" s="40" t="s">
        <v>1130</v>
      </c>
      <c r="X13" s="41">
        <v>85.0</v>
      </c>
      <c r="Y13" s="40" t="s">
        <v>61</v>
      </c>
      <c r="Z13" s="34">
        <f t="shared" si="1"/>
        <v>243.1</v>
      </c>
      <c r="AA13" s="40" t="s">
        <v>61</v>
      </c>
      <c r="AH13" s="43" t="str">
        <f>IFERROR(__xludf.DUMMYFUNCTION("AI(""Completa un valor adecuado para esta celda en función del contexto de la tabla"")"),"Este piso de ingeniería de Roble Natural presenta una tonalidad clara y equilibrada con vetas orgánicas, ideal para crear espacios luminosos y modernos. Fabricado por Max Core en Paraguay, cuenta con un espesor de 12.4 mm, una lámina de madera noble de 3 "&amp;"mm y un acabado mate con terminación escobada que resalta su textura única. Su diseño en formato Chevron de 750 mm aporta un patrón geométrico sofisticado y dinámico, convirtiéndolo en una opción elegante, estable y de alta calidad para interiores.")</f>
        <v>Este piso de ingeniería de Roble Natural presenta una tonalidad clara y equilibrada con vetas orgánicas, ideal para crear espacios luminosos y modernos. Fabricado por Max Core en Paraguay, cuenta con un espesor de 12.4 mm, una lámina de madera noble de 3 mm y un acabado mate con terminación escobada que resalta su textura única. Su diseño en formato Chevron de 750 mm aporta un patrón geométrico sofisticado y dinámico, convirtiéndolo en una opción elegante, estable y de alta calidad para interiores.</v>
      </c>
    </row>
    <row r="14">
      <c r="A14" s="32">
        <v>25190.0</v>
      </c>
      <c r="B14" s="5" t="s">
        <v>33</v>
      </c>
      <c r="C14" s="5" t="s">
        <v>34</v>
      </c>
      <c r="D14" s="32" t="s">
        <v>1122</v>
      </c>
      <c r="E14" s="32" t="s">
        <v>1123</v>
      </c>
      <c r="F14" s="32" t="s">
        <v>1124</v>
      </c>
      <c r="G14" s="32" t="s">
        <v>1139</v>
      </c>
      <c r="H14" s="40" t="s">
        <v>523</v>
      </c>
      <c r="I14" s="40" t="s">
        <v>1140</v>
      </c>
      <c r="J14" s="32" t="s">
        <v>50</v>
      </c>
      <c r="K14" s="32" t="s">
        <v>789</v>
      </c>
      <c r="M14" s="40">
        <v>15.0</v>
      </c>
      <c r="N14" s="40" t="s">
        <v>42</v>
      </c>
      <c r="O14" s="40">
        <v>4.0</v>
      </c>
      <c r="P14" s="40" t="s">
        <v>42</v>
      </c>
      <c r="Q14" s="40">
        <v>240.0</v>
      </c>
      <c r="R14" s="40" t="s">
        <v>42</v>
      </c>
      <c r="S14" s="40">
        <v>2200.0</v>
      </c>
      <c r="T14" s="40" t="s">
        <v>42</v>
      </c>
      <c r="U14" s="40">
        <v>2.11</v>
      </c>
      <c r="V14" s="40" t="s">
        <v>46</v>
      </c>
      <c r="W14" s="40" t="s">
        <v>74</v>
      </c>
      <c r="X14" s="41">
        <v>85.0</v>
      </c>
      <c r="Y14" s="40" t="s">
        <v>61</v>
      </c>
      <c r="Z14" s="34">
        <f t="shared" si="1"/>
        <v>179.35</v>
      </c>
      <c r="AA14" s="40" t="s">
        <v>61</v>
      </c>
      <c r="AH14" s="43" t="str">
        <f>IFERROR(__xludf.DUMMYFUNCTION("AI(""Completa un valor adecuado para esta celda en función del contexto de la tabla"")"),"Este piso de ingeniería de Chene Dore ofrece una estética sofisticada y natural con un acabado mate y terminación a mano que realza la textura de la madera. Fabricado por Max Core en China, posee un espesor total de 15 mm con una generosa lámina noble de "&amp;"4 mm, garantizando durabilidad y resistencia. Su formato de entablonado ancho de 240 mm y biselado perimetral aporta amplitud y un carácter distintivo a cualquier ambiente interior.")</f>
        <v>Este piso de ingeniería de Chene Dore ofrece una estética sofisticada y natural con un acabado mate y terminación a mano que realza la textura de la madera. Fabricado por Max Core en China, posee un espesor total de 15 mm con una generosa lámina noble de 4 mm, garantizando durabilidad y resistencia. Su formato de entablonado ancho de 240 mm y biselado perimetral aporta amplitud y un carácter distintivo a cualquier ambiente interior.</v>
      </c>
    </row>
    <row r="15">
      <c r="A15" s="32">
        <v>25191.0</v>
      </c>
      <c r="B15" s="5" t="s">
        <v>33</v>
      </c>
      <c r="C15" s="5" t="s">
        <v>34</v>
      </c>
      <c r="D15" s="32" t="s">
        <v>1122</v>
      </c>
      <c r="E15" s="32" t="s">
        <v>1123</v>
      </c>
      <c r="F15" s="32" t="s">
        <v>1124</v>
      </c>
      <c r="G15" s="32" t="s">
        <v>1141</v>
      </c>
      <c r="H15" s="40" t="s">
        <v>523</v>
      </c>
      <c r="I15" s="40" t="s">
        <v>1140</v>
      </c>
      <c r="J15" s="32" t="s">
        <v>50</v>
      </c>
      <c r="K15" s="32" t="s">
        <v>789</v>
      </c>
      <c r="M15" s="40">
        <v>15.0</v>
      </c>
      <c r="N15" s="40" t="s">
        <v>42</v>
      </c>
      <c r="O15" s="40">
        <v>4.0</v>
      </c>
      <c r="P15" s="40" t="s">
        <v>42</v>
      </c>
      <c r="Q15" s="40">
        <v>240.0</v>
      </c>
      <c r="R15" s="40" t="s">
        <v>42</v>
      </c>
      <c r="S15" s="40">
        <v>2200.0</v>
      </c>
      <c r="T15" s="40" t="s">
        <v>42</v>
      </c>
      <c r="U15" s="40">
        <v>2.11</v>
      </c>
      <c r="V15" s="40" t="s">
        <v>46</v>
      </c>
      <c r="W15" s="40" t="s">
        <v>74</v>
      </c>
      <c r="X15" s="41">
        <v>85.0</v>
      </c>
      <c r="Y15" s="40" t="s">
        <v>61</v>
      </c>
      <c r="Z15" s="34">
        <f t="shared" si="1"/>
        <v>179.35</v>
      </c>
      <c r="AA15" s="40" t="s">
        <v>61</v>
      </c>
      <c r="AH15" s="43" t="str">
        <f>IFERROR(__xludf.DUMMYFUNCTION("AI(""Completa un valor adecuado para esta celda en función del contexto de la tabla"")"),"Este piso de ingeniería de Chene Brume, fabricado por Max Core en China, destaca por su acabado mate y terminación a mano que realza la veta natural de la madera. Posee un espesor de 15 mm con una lámina de madera noble de 4 mm, brindando gran estabilidad"&amp;" y durabilidad en un formato de tablas de 240 mm de ancho y 2200 mm de largo. Su diseño con bisel aporta un toque distinguido y moderno, siendo una solución sofisticada y de fácil instalación para diversos ambientes interiores.")</f>
        <v>Este piso de ingeniería de Chene Brume, fabricado por Max Core en China, destaca por su acabado mate y terminación a mano que realza la veta natural de la madera. Posee un espesor de 15 mm con una lámina de madera noble de 4 mm, brindando gran estabilidad y durabilidad en un formato de tablas de 240 mm de ancho y 2200 mm de largo. Su diseño con bisel aporta un toque distinguido y moderno, siendo una solución sofisticada y de fácil instalación para diversos ambientes interiores.</v>
      </c>
    </row>
    <row r="16">
      <c r="A16" s="32">
        <v>100001.0</v>
      </c>
      <c r="B16" s="5" t="s">
        <v>33</v>
      </c>
      <c r="C16" s="5" t="s">
        <v>34</v>
      </c>
      <c r="D16" s="32" t="s">
        <v>1142</v>
      </c>
      <c r="E16" s="32" t="s">
        <v>1143</v>
      </c>
      <c r="F16" s="32" t="s">
        <v>1124</v>
      </c>
      <c r="G16" s="32" t="s">
        <v>807</v>
      </c>
      <c r="H16" s="40" t="s">
        <v>1144</v>
      </c>
      <c r="I16" s="40" t="s">
        <v>1145</v>
      </c>
      <c r="J16" s="32" t="s">
        <v>1128</v>
      </c>
      <c r="K16" s="32" t="s">
        <v>1146</v>
      </c>
      <c r="M16" s="40">
        <v>1.0</v>
      </c>
      <c r="N16" s="40" t="s">
        <v>1147</v>
      </c>
      <c r="O16" s="40"/>
      <c r="P16" s="33"/>
      <c r="Q16" s="40">
        <v>4.0</v>
      </c>
      <c r="R16" s="40" t="s">
        <v>1148</v>
      </c>
      <c r="S16" s="40" t="s">
        <v>1129</v>
      </c>
      <c r="T16" s="40" t="s">
        <v>42</v>
      </c>
      <c r="U16" s="33"/>
      <c r="V16" s="33"/>
      <c r="W16" s="40" t="s">
        <v>1130</v>
      </c>
      <c r="X16" s="41">
        <v>91.0</v>
      </c>
      <c r="Y16" s="40" t="s">
        <v>61</v>
      </c>
      <c r="Z16" s="34"/>
      <c r="AA16" s="33"/>
      <c r="AH16" s="43" t="str">
        <f>IFERROR(__xludf.DUMMYFUNCTION("AI(""Completa un valor adecuado para esta celda en función del contexto de la tabla"")"),"Este piso de madera maciza de Lapacho de Primera calidad, originario de Paraguay, ofrece una estética clásica, cálida y de gran distinción, con tonalidades que van desde el marrón amarillento al rojizo y vetas poco marcadas. Con un espesor de 1 pulgada y "&amp;"un ancho de 4 pulgadas, presenta un formato de entablonado de largos variados en su estado natural (sin terminar), ideal para ser pulido y terminado en obra. El lapacho es una de las maderas más duras, pesadas y resistentes del mundo, garantizando una exc"&amp;"elente estabilidad ante el alto tránsito y una durabilidad excepcional para ambientes interiores.")</f>
        <v>Este piso de madera maciza de Lapacho de Primera calidad, originario de Paraguay, ofrece una estética clásica, cálida y de gran distinción, con tonalidades que van desde el marrón amarillento al rojizo y vetas poco marcadas. Con un espesor de 1 pulgada y un ancho de 4 pulgadas, presenta un formato de entablonado de largos variados en su estado natural (sin terminar), ideal para ser pulido y terminado en obra. El lapacho es una de las maderas más duras, pesadas y resistentes del mundo, garantizando una excelente estabilidad ante el alto tránsito y una durabilidad excepcional para ambientes interiores.</v>
      </c>
    </row>
    <row r="17">
      <c r="A17" s="32">
        <v>100002.0</v>
      </c>
      <c r="B17" s="5" t="s">
        <v>33</v>
      </c>
      <c r="C17" s="5" t="s">
        <v>34</v>
      </c>
      <c r="D17" s="32" t="s">
        <v>1142</v>
      </c>
      <c r="E17" s="32" t="s">
        <v>1143</v>
      </c>
      <c r="F17" s="32" t="s">
        <v>1124</v>
      </c>
      <c r="G17" s="32" t="s">
        <v>807</v>
      </c>
      <c r="H17" s="40" t="s">
        <v>1144</v>
      </c>
      <c r="I17" s="40" t="s">
        <v>1145</v>
      </c>
      <c r="J17" s="32" t="s">
        <v>1128</v>
      </c>
      <c r="K17" s="32" t="s">
        <v>1146</v>
      </c>
      <c r="M17" s="40">
        <v>1.0</v>
      </c>
      <c r="N17" s="40" t="s">
        <v>1147</v>
      </c>
      <c r="O17" s="33"/>
      <c r="P17" s="33"/>
      <c r="Q17" s="40">
        <v>5.0</v>
      </c>
      <c r="R17" s="40" t="s">
        <v>1148</v>
      </c>
      <c r="S17" s="40" t="s">
        <v>1129</v>
      </c>
      <c r="T17" s="40" t="s">
        <v>42</v>
      </c>
      <c r="U17" s="33"/>
      <c r="V17" s="33"/>
      <c r="W17" s="40" t="s">
        <v>1130</v>
      </c>
      <c r="X17" s="41">
        <v>101.0</v>
      </c>
      <c r="Y17" s="40" t="s">
        <v>61</v>
      </c>
      <c r="Z17" s="34"/>
      <c r="AA17" s="33"/>
      <c r="AH17" s="43" t="str">
        <f>IFERROR(__xludf.DUMMYFUNCTION("AI(""Completa un valor adecuado para esta celda en función del contexto de la tabla"")"),"Este piso de madera maciza de Lapacho, fabricado en Paraguay con calidad de Primera, ofrece una excepcional resistencia y durabilidad natural ante el desgaste. Con un espesor de 1 pulgada, un ancho de 5 pulgadas y formato de entablonado en largos variados"&amp;", presenta un acabado natural que resalta la elegancia y calidez de sus vetas, siendo una opción robusta e ideal para brindar distinción a ambientes interiores de alto tráfico.")</f>
        <v>Este piso de madera maciza de Lapacho, fabricado en Paraguay con calidad de Primera, ofrece una excepcional resistencia y durabilidad natural ante el desgaste. Con un espesor de 1 pulgada, un ancho de 5 pulgadas y formato de entablonado en largos variados, presenta un acabado natural que resalta la elegancia y calidez de sus vetas, siendo una opción robusta e ideal para brindar distinción a ambientes interiores de alto tráfico.</v>
      </c>
    </row>
    <row r="18">
      <c r="A18" s="32">
        <v>100003.0</v>
      </c>
      <c r="B18" s="5" t="s">
        <v>33</v>
      </c>
      <c r="C18" s="5" t="s">
        <v>34</v>
      </c>
      <c r="D18" s="32" t="s">
        <v>1142</v>
      </c>
      <c r="E18" s="32" t="s">
        <v>1143</v>
      </c>
      <c r="F18" s="32" t="s">
        <v>1124</v>
      </c>
      <c r="G18" s="32" t="s">
        <v>807</v>
      </c>
      <c r="H18" s="40" t="s">
        <v>1144</v>
      </c>
      <c r="I18" s="40" t="s">
        <v>1145</v>
      </c>
      <c r="J18" s="32" t="s">
        <v>1128</v>
      </c>
      <c r="K18" s="32" t="s">
        <v>1146</v>
      </c>
      <c r="M18" s="67">
        <v>46115.0</v>
      </c>
      <c r="N18" s="40" t="s">
        <v>1147</v>
      </c>
      <c r="O18" s="33"/>
      <c r="P18" s="33"/>
      <c r="Q18" s="40">
        <v>3.0</v>
      </c>
      <c r="R18" s="40" t="s">
        <v>1148</v>
      </c>
      <c r="S18" s="40" t="s">
        <v>1129</v>
      </c>
      <c r="T18" s="40" t="s">
        <v>42</v>
      </c>
      <c r="U18" s="33"/>
      <c r="V18" s="33"/>
      <c r="W18" s="40" t="s">
        <v>1130</v>
      </c>
      <c r="X18" s="41">
        <v>50.0</v>
      </c>
      <c r="Y18" s="40" t="s">
        <v>61</v>
      </c>
      <c r="Z18" s="34"/>
      <c r="AA18" s="33"/>
      <c r="AH18" s="43" t="str">
        <f>IFERROR(__xludf.DUMMYFUNCTION("AI(""Completa un valor adecuado para esta celda en función del contexto de la tabla"")"),"Este piso de madera maciza de Lapacho de primera calidad, proveniente de Paraguay, ofrece una estética natural y atemporal, ideal para aportar calidez y robustez a cualquier ambiente interior. Con un espesor de 3/4 de pulgada y un ancho de 3 pulgadas, se "&amp;"presenta en formato entablonado de largos variados y sin bisel. Al ser un producto sin terminar (unfinished), permite realizar el pulido y acabado final en obra, garantizando una superficie extremadamente resistente, duradera y con el carácter auténtico d"&amp;"e la madera noble.")</f>
        <v>Este piso de madera maciza de Lapacho de primera calidad, proveniente de Paraguay, ofrece una estética natural y atemporal, ideal para aportar calidez y robustez a cualquier ambiente interior. Con un espesor de 3/4 de pulgada y un ancho de 3 pulgadas, se presenta en formato entablonado de largos variados y sin bisel. Al ser un producto sin terminar (unfinished), permite realizar el pulido y acabado final en obra, garantizando una superficie extremadamente resistente, duradera y con el carácter auténtico de la madera noble.</v>
      </c>
    </row>
    <row r="19">
      <c r="A19" s="32">
        <v>100004.0</v>
      </c>
      <c r="B19" s="5" t="s">
        <v>33</v>
      </c>
      <c r="C19" s="5" t="s">
        <v>34</v>
      </c>
      <c r="D19" s="32" t="s">
        <v>1142</v>
      </c>
      <c r="E19" s="32" t="s">
        <v>1143</v>
      </c>
      <c r="F19" s="32" t="s">
        <v>1124</v>
      </c>
      <c r="G19" s="32" t="s">
        <v>807</v>
      </c>
      <c r="H19" s="40" t="s">
        <v>1144</v>
      </c>
      <c r="I19" s="40" t="s">
        <v>1145</v>
      </c>
      <c r="J19" s="32" t="s">
        <v>1128</v>
      </c>
      <c r="K19" s="32" t="s">
        <v>1146</v>
      </c>
      <c r="M19" s="67">
        <v>46115.0</v>
      </c>
      <c r="N19" s="40" t="s">
        <v>1147</v>
      </c>
      <c r="O19" s="33"/>
      <c r="P19" s="33"/>
      <c r="Q19" s="40">
        <v>4.0</v>
      </c>
      <c r="R19" s="40" t="s">
        <v>1148</v>
      </c>
      <c r="S19" s="40" t="s">
        <v>1129</v>
      </c>
      <c r="T19" s="40" t="s">
        <v>42</v>
      </c>
      <c r="U19" s="33"/>
      <c r="V19" s="33"/>
      <c r="W19" s="40" t="s">
        <v>1130</v>
      </c>
      <c r="X19" s="41">
        <v>54.0</v>
      </c>
      <c r="Y19" s="40" t="s">
        <v>61</v>
      </c>
      <c r="Z19" s="34"/>
      <c r="AA19" s="33"/>
      <c r="AH19" s="43" t="str">
        <f>IFERROR(__xludf.DUMMYFUNCTION("AI(""Completa un valor adecuado para esta celda en función del contexto de la tabla"")"),"Este piso de madera maciza de Lapacho, en calidad Primera y de origen Paraguay, se presenta sin lustrar (unfinished) para permitir la aplicación del acabado deseado en obra. Con un espesor de 3/4 de pulgada y un ancho de 4 pulgadas, su formato de entablon"&amp;"ado de largos variados resalta la veta natural y la alta resistencia propia de esta especie. Es una opción sumamente duradera y elegante, ideal para aportar distinción y calidez a ambientes interiores.")</f>
        <v>Este piso de madera maciza de Lapacho, en calidad Primera y de origen Paraguay, se presenta sin lustrar (unfinished) para permitir la aplicación del acabado deseado en obra. Con un espesor de 3/4 de pulgada y un ancho de 4 pulgadas, su formato de entablonado de largos variados resalta la veta natural y la alta resistencia propia de esta especie. Es una opción sumamente duradera y elegante, ideal para aportar distinción y calidez a ambientes interiores.</v>
      </c>
    </row>
    <row r="20">
      <c r="A20" s="32">
        <v>100005.0</v>
      </c>
      <c r="B20" s="5" t="s">
        <v>33</v>
      </c>
      <c r="C20" s="5" t="s">
        <v>34</v>
      </c>
      <c r="D20" s="32" t="s">
        <v>1142</v>
      </c>
      <c r="E20" s="32" t="s">
        <v>1143</v>
      </c>
      <c r="F20" s="32" t="s">
        <v>1124</v>
      </c>
      <c r="G20" s="32" t="s">
        <v>807</v>
      </c>
      <c r="H20" s="40" t="s">
        <v>1144</v>
      </c>
      <c r="I20" s="40" t="s">
        <v>1145</v>
      </c>
      <c r="J20" s="32" t="s">
        <v>1128</v>
      </c>
      <c r="K20" s="32" t="s">
        <v>54</v>
      </c>
      <c r="M20" s="40">
        <v>1.0</v>
      </c>
      <c r="N20" s="40" t="s">
        <v>1147</v>
      </c>
      <c r="O20" s="33"/>
      <c r="P20" s="33"/>
      <c r="Q20" s="40">
        <v>3.0</v>
      </c>
      <c r="R20" s="40" t="s">
        <v>1148</v>
      </c>
      <c r="S20" s="40" t="s">
        <v>1129</v>
      </c>
      <c r="T20" s="40" t="s">
        <v>42</v>
      </c>
      <c r="U20" s="33"/>
      <c r="V20" s="33"/>
      <c r="W20" s="40" t="s">
        <v>74</v>
      </c>
      <c r="X20" s="41">
        <v>70.0</v>
      </c>
      <c r="Y20" s="40" t="s">
        <v>61</v>
      </c>
      <c r="Z20" s="34"/>
      <c r="AA20" s="33"/>
      <c r="AH20" s="43" t="str">
        <f>IFERROR(__xludf.DUMMYFUNCTION("AI(""Completa un valor adecuado para esta celda en función del contexto de la tabla"")"),"Este piso de madera maciza de Lapacho, de calidad Comercial y origen paraguayo, ofrece una estética natural con un acabado natural y terminación maciza. Con un espesor de 1 pulgada y un ancho de 3 pulgadas, se presenta en un formato de entablonado con lar"&amp;"gos variados. Su diseño incorpora bisel, aportando un toque distintivo, y es una opción de gran resistencia, durabilidad y calidez, ideal para crear ambientes interiores sofisticados.")</f>
        <v>Este piso de madera maciza de Lapacho, de calidad Comercial y origen paraguayo, ofrece una estética natural con un acabado natural y terminación maciza. Con un espesor de 1 pulgada y un ancho de 3 pulgadas, se presenta en un formato de entablonado con largos variados. Su diseño incorpora bisel, aportando un toque distintivo, y es una opción de gran resistencia, durabilidad y calidez, ideal para crear ambientes interiores sofisticados.</v>
      </c>
    </row>
    <row r="21" ht="15.75" customHeight="1">
      <c r="A21" s="32">
        <v>100006.0</v>
      </c>
      <c r="B21" s="5" t="s">
        <v>33</v>
      </c>
      <c r="C21" s="5" t="s">
        <v>34</v>
      </c>
      <c r="D21" s="32" t="s">
        <v>1142</v>
      </c>
      <c r="E21" s="32" t="s">
        <v>1143</v>
      </c>
      <c r="F21" s="32" t="s">
        <v>1124</v>
      </c>
      <c r="G21" s="32" t="s">
        <v>1149</v>
      </c>
      <c r="H21" s="40" t="s">
        <v>1144</v>
      </c>
      <c r="I21" s="40" t="s">
        <v>1145</v>
      </c>
      <c r="J21" s="32" t="s">
        <v>1150</v>
      </c>
      <c r="K21" s="32" t="s">
        <v>1146</v>
      </c>
      <c r="M21" s="40">
        <v>1.0</v>
      </c>
      <c r="N21" s="40" t="s">
        <v>1147</v>
      </c>
      <c r="O21" s="33"/>
      <c r="P21" s="33"/>
      <c r="Q21" s="40">
        <v>3.0</v>
      </c>
      <c r="R21" s="40" t="s">
        <v>1148</v>
      </c>
      <c r="S21" s="40" t="s">
        <v>1129</v>
      </c>
      <c r="T21" s="40" t="s">
        <v>42</v>
      </c>
      <c r="U21" s="33"/>
      <c r="V21" s="33"/>
      <c r="W21" s="40" t="s">
        <v>1130</v>
      </c>
      <c r="X21" s="41">
        <v>125.0</v>
      </c>
      <c r="Y21" s="40" t="s">
        <v>61</v>
      </c>
      <c r="Z21" s="34"/>
      <c r="AA21" s="33"/>
      <c r="AH21" s="43" t="str">
        <f>IFERROR(__xludf.DUMMYFUNCTION("AI(""Completa un valor adecuado para esta celda en función del contexto de la tabla"")"),"Este piso de madera maciza de Wengue presenta un color oscuro muy característico con vetas llamativas, ideal para aportar sofisticación y un toque moderno a ambientes interiores. Proveniente de Camerún, cuenta con un espesor de 1 pulgada, un ancho de 3 pu"&amp;"lgadas y un acabado natural sin terminar. Es una opción de alta calidad, gran dureza y excelente resistencia al desgaste, con un formato de entablonado de largos variados que brinda distinción y calidez a cualquier espacio.")</f>
        <v>Este piso de madera maciza de Wengue presenta un color oscuro muy característico con vetas llamativas, ideal para aportar sofisticación y un toque moderno a ambientes interiores. Proveniente de Camerún, cuenta con un espesor de 1 pulgada, un ancho de 3 pulgadas y un acabado natural sin terminar. Es una opción de alta calidad, gran dureza y excelente resistencia al desgaste, con un formato de entablonado de largos variados que brinda distinción y calidez a cualquier espacio.</v>
      </c>
    </row>
    <row r="22" ht="15.75" customHeight="1">
      <c r="A22" s="32">
        <v>100007.0</v>
      </c>
      <c r="B22" s="5" t="s">
        <v>33</v>
      </c>
      <c r="C22" s="5" t="s">
        <v>34</v>
      </c>
      <c r="D22" s="32" t="s">
        <v>1142</v>
      </c>
      <c r="E22" s="32" t="s">
        <v>1143</v>
      </c>
      <c r="F22" s="32" t="s">
        <v>1124</v>
      </c>
      <c r="G22" s="32" t="s">
        <v>1151</v>
      </c>
      <c r="H22" s="40" t="s">
        <v>1144</v>
      </c>
      <c r="I22" s="40" t="s">
        <v>1145</v>
      </c>
      <c r="J22" s="32" t="s">
        <v>1128</v>
      </c>
      <c r="K22" s="32" t="s">
        <v>1146</v>
      </c>
      <c r="M22" s="40">
        <v>1.0</v>
      </c>
      <c r="N22" s="40" t="s">
        <v>1147</v>
      </c>
      <c r="O22" s="33"/>
      <c r="P22" s="33"/>
      <c r="Q22" s="40">
        <v>4.0</v>
      </c>
      <c r="R22" s="40" t="s">
        <v>1148</v>
      </c>
      <c r="S22" s="40" t="s">
        <v>1129</v>
      </c>
      <c r="T22" s="40" t="s">
        <v>42</v>
      </c>
      <c r="U22" s="33"/>
      <c r="V22" s="33"/>
      <c r="W22" s="40" t="s">
        <v>1130</v>
      </c>
      <c r="X22" s="41">
        <v>45.0</v>
      </c>
      <c r="Y22" s="40" t="s">
        <v>61</v>
      </c>
      <c r="Z22" s="34"/>
      <c r="AA22" s="33"/>
      <c r="AH22" s="43" t="str">
        <f>IFERROR(__xludf.DUMMYFUNCTION("AI(""Completa un valor adecuado para esta celda en función del contexto de la tabla"")"),"Este piso macizo de madera de Kurupayra, de calidad Primera, destaca por su gran dureza, alta densidad y una atractiva tonalidad rojiza oscura con vetas oscuras y bien marcadas, ideales para brindar sofisticación, carácter y alta resistencia a espacios in"&amp;"teriores de tráfico intenso. Fabricado en Paraguay, se presenta en un formato de entablonado de largos variados con un espesor de 1 pulgada y un ancho de 4 pulgadas. Al ser un piso natural y sin terminar, ofrece la versatilidad de aplicar el acabado desea"&amp;"do post-instalación, garantizando una superficie sumamente estable, duradera y de gran elegancia clásica.")</f>
        <v>Este piso macizo de madera de Kurupayra, de calidad Primera, destaca por su gran dureza, alta densidad y una atractiva tonalidad rojiza oscura con vetas oscuras y bien marcadas, ideales para brindar sofisticación, carácter y alta resistencia a espacios interiores de tráfico intenso. Fabricado en Paraguay, se presenta en un formato de entablonado de largos variados con un espesor de 1 pulgada y un ancho de 4 pulgadas. Al ser un piso natural y sin terminar, ofrece la versatilidad de aplicar el acabado deseado post-instalación, garantizando una superficie sumamente estable, duradera y de gran elegancia clásica.</v>
      </c>
    </row>
    <row r="23" ht="15.75" customHeight="1">
      <c r="A23" s="32">
        <v>100008.0</v>
      </c>
      <c r="B23" s="5" t="s">
        <v>33</v>
      </c>
      <c r="C23" s="5" t="s">
        <v>34</v>
      </c>
      <c r="D23" s="32" t="s">
        <v>1142</v>
      </c>
      <c r="E23" s="32" t="s">
        <v>1143</v>
      </c>
      <c r="F23" s="32" t="s">
        <v>1124</v>
      </c>
      <c r="G23" s="32" t="s">
        <v>1152</v>
      </c>
      <c r="H23" s="40" t="s">
        <v>1144</v>
      </c>
      <c r="I23" s="40" t="s">
        <v>1145</v>
      </c>
      <c r="J23" s="32" t="s">
        <v>1153</v>
      </c>
      <c r="K23" s="32" t="s">
        <v>1146</v>
      </c>
      <c r="M23" s="67">
        <v>46115.0</v>
      </c>
      <c r="N23" s="40" t="s">
        <v>1147</v>
      </c>
      <c r="O23" s="33"/>
      <c r="P23" s="33"/>
      <c r="Q23" s="40">
        <v>3.0</v>
      </c>
      <c r="R23" s="40" t="s">
        <v>1148</v>
      </c>
      <c r="S23" s="40" t="s">
        <v>1129</v>
      </c>
      <c r="T23" s="40" t="s">
        <v>42</v>
      </c>
      <c r="U23" s="33"/>
      <c r="V23" s="33"/>
      <c r="W23" s="40" t="s">
        <v>74</v>
      </c>
      <c r="X23" s="41">
        <v>34.0</v>
      </c>
      <c r="Y23" s="40" t="s">
        <v>61</v>
      </c>
      <c r="Z23" s="34"/>
      <c r="AA23" s="33"/>
      <c r="AH23" s="43" t="str">
        <f>IFERROR(__xludf.DUMMYFUNCTION("AI(""Completa un valor adecuado para esta celda en función del contexto de la tabla"")"),"Este piso de madera maciza de Cumaru destaca por su resistencia y tonalidades cálidas, ideal para aportar elegancia y durabilidad a ambientes interiores [cite: 1]. De selección Primera y origen Brasil, se presenta sin terminar (unfinished) con acabado nat"&amp;"ural, lo que permite un pulido y laqueado personalizado en obra [cite: 1]. Cuenta con un espesor de 3/4 de pulgada, un ancho de 3 pulgadas y un diseño de entablonado en largos variados con bisel, brindando una apariencia auténtica, sofisticada y de gran c"&amp;"alidez estética [cite: 1].")</f>
        <v>Este piso de madera maciza de Cumaru destaca por su resistencia y tonalidades cálidas, ideal para aportar elegancia y durabilidad a ambientes interiores [cite: 1]. De selección Primera y origen Brasil, se presenta sin terminar (unfinished) con acabado natural, lo que permite un pulido y laqueado personalizado en obra [cite: 1]. Cuenta con un espesor de 3/4 de pulgada, un ancho de 3 pulgadas y un diseño de entablonado en largos variados con bisel, brindando una apariencia auténtica, sofisticada y de gran calidez estética [cite: 1].</v>
      </c>
    </row>
    <row r="24" ht="15.75" customHeight="1">
      <c r="A24" s="32">
        <v>100009.0</v>
      </c>
      <c r="B24" s="5" t="s">
        <v>33</v>
      </c>
      <c r="C24" s="5" t="s">
        <v>34</v>
      </c>
      <c r="D24" s="32" t="s">
        <v>1142</v>
      </c>
      <c r="E24" s="32" t="s">
        <v>1143</v>
      </c>
      <c r="F24" s="32" t="s">
        <v>1124</v>
      </c>
      <c r="G24" s="32" t="s">
        <v>1154</v>
      </c>
      <c r="H24" s="40" t="s">
        <v>1144</v>
      </c>
      <c r="I24" s="40" t="s">
        <v>1145</v>
      </c>
      <c r="J24" s="32" t="s">
        <v>1153</v>
      </c>
      <c r="K24" s="32" t="s">
        <v>1146</v>
      </c>
      <c r="M24" s="67">
        <v>46115.0</v>
      </c>
      <c r="N24" s="40" t="s">
        <v>1147</v>
      </c>
      <c r="O24" s="33"/>
      <c r="P24" s="33"/>
      <c r="Q24" s="40">
        <v>3.0</v>
      </c>
      <c r="R24" s="40" t="s">
        <v>1148</v>
      </c>
      <c r="S24" s="40" t="s">
        <v>1129</v>
      </c>
      <c r="T24" s="40" t="s">
        <v>42</v>
      </c>
      <c r="U24" s="33"/>
      <c r="V24" s="33"/>
      <c r="W24" s="40" t="s">
        <v>74</v>
      </c>
      <c r="X24" s="41">
        <v>39.0</v>
      </c>
      <c r="Y24" s="40" t="s">
        <v>61</v>
      </c>
      <c r="Z24" s="34"/>
      <c r="AA24" s="33"/>
      <c r="AH24" s="43" t="str">
        <f>IFERROR(__xludf.DUMMYFUNCTION("AI(""Completa un valor adecuado para esta celda en función del contexto de la tabla"")"),"Este piso de madera maciza de Murucatiara (Tigerwood), fabricado con calidad de Primera en Brasil, destaca por sus llamativos contrastes de color marrón rojizo con vetas oscuras que aportan un carácter dinámico, elegante y exclusivo a los espacios interio"&amp;"res. Presenta un espesor de 3/4 de pulgada, un ancho de 3 pulgadas y un formato de entablonado de largos variados que realza su aspecto natural. Con un acabado natural sin terminar (unfinished) y diseño con bisel, es una opción altamente resistente al imp"&amp;"acto, duradera y de gran estabilidad que añade una calidez sofisticada y única a cualquier ambiente.")</f>
        <v>Este piso de madera maciza de Murucatiara (Tigerwood), fabricado con calidad de Primera en Brasil, destaca por sus llamativos contrastes de color marrón rojizo con vetas oscuras que aportan un carácter dinámico, elegante y exclusivo a los espacios interiores. Presenta un espesor de 3/4 de pulgada, un ancho de 3 pulgadas y un formato de entablonado de largos variados que realza su aspecto natural. Con un acabado natural sin terminar (unfinished) y diseño con bisel, es una opción altamente resistente al impacto, duradera y de gran estabilidad que añade una calidez sofisticada y única a cualquier ambiente.</v>
      </c>
    </row>
    <row r="25" ht="15.75" customHeight="1">
      <c r="A25" s="32">
        <v>100010.0</v>
      </c>
      <c r="B25" s="5" t="s">
        <v>33</v>
      </c>
      <c r="C25" s="5" t="s">
        <v>34</v>
      </c>
      <c r="D25" s="32" t="s">
        <v>1142</v>
      </c>
      <c r="E25" s="32" t="s">
        <v>1143</v>
      </c>
      <c r="F25" s="32" t="s">
        <v>1124</v>
      </c>
      <c r="G25" s="32" t="s">
        <v>1155</v>
      </c>
      <c r="H25" s="40" t="s">
        <v>1144</v>
      </c>
      <c r="I25" s="40" t="s">
        <v>1145</v>
      </c>
      <c r="J25" s="32" t="s">
        <v>1153</v>
      </c>
      <c r="K25" s="32" t="s">
        <v>1146</v>
      </c>
      <c r="M25" s="67">
        <v>46115.0</v>
      </c>
      <c r="N25" s="40" t="s">
        <v>1147</v>
      </c>
      <c r="O25" s="33"/>
      <c r="P25" s="33"/>
      <c r="Q25" s="40">
        <v>3.0</v>
      </c>
      <c r="R25" s="40" t="s">
        <v>1148</v>
      </c>
      <c r="S25" s="40" t="s">
        <v>1129</v>
      </c>
      <c r="T25" s="40" t="s">
        <v>42</v>
      </c>
      <c r="U25" s="33"/>
      <c r="V25" s="33"/>
      <c r="W25" s="40" t="s">
        <v>1130</v>
      </c>
      <c r="X25" s="41">
        <v>48.0</v>
      </c>
      <c r="Y25" s="40" t="s">
        <v>61</v>
      </c>
      <c r="Z25" s="34"/>
      <c r="AA25" s="33"/>
      <c r="AH25" s="43" t="str">
        <f>IFERROR(__xludf.DUMMYFUNCTION("AI(""Completa un valor adecuado para esta celda en función del contexto de la tabla"")"),"Este piso de madera maciza de Grapia ofrece una apariencia clásica y natural con tonalidades amarillas doradas y marrones claras, ideal para brindar luminosidad y calidez a cualquier ambiente interior. Fabricado en condiciones de primera calidad en Brasil"&amp;", cuenta con un espesor de 3/4 de pulgada y un ancho de 3 pulgadas. Al presentarse en formato de entablonado unfinished de largos variados, resalta su carácter fuerte y auténtico, permitiendo realizar la terminación directamente en obra para adaptarse a l"&amp;"as necesidades estéticas de cada proyecto.")</f>
        <v>Este piso de madera maciza de Grapia ofrece una apariencia clásica y natural con tonalidades amarillas doradas y marrones claras, ideal para brindar luminosidad y calidez a cualquier ambiente interior. Fabricado en condiciones de primera calidad en Brasil, cuenta con un espesor de 3/4 de pulgada y un ancho de 3 pulgadas. Al presentarse en formato de entablonado unfinished de largos variados, resalta su carácter fuerte y auténtico, permitiendo realizar la terminación directamente en obra para adaptarse a las necesidades estéticas de cada proyecto.</v>
      </c>
    </row>
    <row r="26" ht="15.75" customHeight="1">
      <c r="A26" s="32">
        <v>100011.0</v>
      </c>
      <c r="B26" s="5" t="s">
        <v>33</v>
      </c>
      <c r="C26" s="5" t="s">
        <v>34</v>
      </c>
      <c r="D26" s="32" t="s">
        <v>1142</v>
      </c>
      <c r="E26" s="32" t="s">
        <v>1143</v>
      </c>
      <c r="F26" s="32" t="s">
        <v>1124</v>
      </c>
      <c r="G26" s="32" t="s">
        <v>1156</v>
      </c>
      <c r="H26" s="40" t="s">
        <v>1144</v>
      </c>
      <c r="I26" s="40" t="s">
        <v>1145</v>
      </c>
      <c r="J26" s="32" t="s">
        <v>1153</v>
      </c>
      <c r="K26" s="32" t="s">
        <v>1146</v>
      </c>
      <c r="M26" s="40">
        <v>1.0</v>
      </c>
      <c r="N26" s="40" t="s">
        <v>1147</v>
      </c>
      <c r="O26" s="33"/>
      <c r="P26" s="33"/>
      <c r="Q26" s="40">
        <v>3.0</v>
      </c>
      <c r="R26" s="40" t="s">
        <v>1148</v>
      </c>
      <c r="S26" s="40" t="s">
        <v>1129</v>
      </c>
      <c r="T26" s="40" t="s">
        <v>42</v>
      </c>
      <c r="U26" s="33"/>
      <c r="V26" s="33"/>
      <c r="W26" s="40" t="s">
        <v>74</v>
      </c>
      <c r="X26" s="41">
        <v>44.5</v>
      </c>
      <c r="Y26" s="40" t="s">
        <v>61</v>
      </c>
      <c r="Z26" s="34"/>
      <c r="AA26" s="33"/>
      <c r="AH26" s="43" t="str">
        <f>IFERROR(__xludf.DUMMYFUNCTION("AI(""Completa un valor adecuado para esta celda en función del contexto de la tabla"")"),"Este piso de madera de Jatoba ofrece una estética elegante y con personalidad, caracterizada por sus tonos rojizos y vetas expresivas que aportan gran calidez y distinción a cualquier ambiente interior. Fabricado en calidad de Primera en Brasil, se presen"&amp;"ta en un formato de madera maciza sin barnizar (al natural) de 1 pulgada de espesor y 3 pulgadas de ancho. Su diseño en formato entablonado de largos variados incluye biselado, lo que resalta la originalidad única de cada tabla de madera natural, garantiz"&amp;"ando una superficie de alta durabilidad y gran resistencia para usos intensivos.")</f>
        <v>Este piso de madera de Jatoba ofrece una estética elegante y con personalidad, caracterizada por sus tonos rojizos y vetas expresivas que aportan gran calidez y distinción a cualquier ambiente interior. Fabricado en calidad de Primera en Brasil, se presenta en un formato de madera maciza sin barnizar (al natural) de 1 pulgada de espesor y 3 pulgadas de ancho. Su diseño en formato entablonado de largos variados incluye biselado, lo que resalta la originalidad única de cada tabla de madera natural, garantizando una superficie de alta durabilidad y gran resistencia para usos intensivos.</v>
      </c>
    </row>
    <row r="27" ht="15.75" customHeight="1">
      <c r="A27" s="32">
        <v>100012.0</v>
      </c>
      <c r="B27" s="5" t="s">
        <v>33</v>
      </c>
      <c r="C27" s="5" t="s">
        <v>34</v>
      </c>
      <c r="D27" s="32" t="s">
        <v>1142</v>
      </c>
      <c r="E27" s="32" t="s">
        <v>1143</v>
      </c>
      <c r="F27" s="32" t="s">
        <v>1124</v>
      </c>
      <c r="G27" s="32" t="s">
        <v>1156</v>
      </c>
      <c r="H27" s="40" t="s">
        <v>1144</v>
      </c>
      <c r="I27" s="40" t="s">
        <v>1145</v>
      </c>
      <c r="J27" s="32" t="s">
        <v>1153</v>
      </c>
      <c r="K27" s="32" t="s">
        <v>1146</v>
      </c>
      <c r="M27" s="40">
        <v>1.0</v>
      </c>
      <c r="N27" s="40" t="s">
        <v>1147</v>
      </c>
      <c r="O27" s="33"/>
      <c r="P27" s="33"/>
      <c r="Q27" s="40">
        <v>6.0</v>
      </c>
      <c r="R27" s="40" t="s">
        <v>1148</v>
      </c>
      <c r="S27" s="40" t="s">
        <v>1129</v>
      </c>
      <c r="T27" s="40" t="s">
        <v>42</v>
      </c>
      <c r="U27" s="33"/>
      <c r="V27" s="33"/>
      <c r="W27" s="40" t="s">
        <v>74</v>
      </c>
      <c r="X27" s="41">
        <v>86.0</v>
      </c>
      <c r="Y27" s="40" t="s">
        <v>61</v>
      </c>
      <c r="Z27" s="34"/>
      <c r="AA27" s="33"/>
      <c r="AH27" s="43" t="str">
        <f>IFERROR(__xludf.DUMMYFUNCTION("AI(""Completa un valor adecuado para esta celda en función del contexto de la tabla"")"),"Este piso de madera de Jatoba, de calidad Primera y proveniente de Brasil, destaca por su excelente durabilidad, gran dureza y una estética distinguida de tonalidad rojiza con brillo natural. Con un espesor de 1 pulgada, un ancho de 6 pulgadas y un format"&amp;"o macizo de entablonado en largos variados, cuenta con un diseño biselado que aporta un toque moderno y sofisticado. Es una opción de alta resistencia al desgaste, ideal para crear ambientes interiores cálidos, lujosos y duraderos.")</f>
        <v>Este piso de madera de Jatoba, de calidad Primera y proveniente de Brasil, destaca por su excelente durabilidad, gran dureza y una estética distinguida de tonalidad rojiza con brillo natural. Con un espesor de 1 pulgada, un ancho de 6 pulgadas y un formato macizo de entablonado en largos variados, cuenta con un diseño biselado que aporta un toque moderno y sofisticado. Es una opción de alta resistencia al desgaste, ideal para crear ambientes interiores cálidos, lujosos y duraderos.</v>
      </c>
    </row>
    <row r="28" ht="15.75" customHeight="1">
      <c r="A28" s="32">
        <v>100013.0</v>
      </c>
      <c r="B28" s="5" t="s">
        <v>33</v>
      </c>
      <c r="C28" s="5" t="s">
        <v>34</v>
      </c>
      <c r="D28" s="32" t="s">
        <v>1142</v>
      </c>
      <c r="E28" s="32" t="s">
        <v>1143</v>
      </c>
      <c r="F28" s="32" t="s">
        <v>1124</v>
      </c>
      <c r="G28" s="32" t="s">
        <v>1155</v>
      </c>
      <c r="H28" s="40" t="s">
        <v>1144</v>
      </c>
      <c r="I28" s="40" t="s">
        <v>1145</v>
      </c>
      <c r="J28" s="32" t="s">
        <v>1153</v>
      </c>
      <c r="K28" s="32" t="s">
        <v>1146</v>
      </c>
      <c r="M28" s="40">
        <v>1.0</v>
      </c>
      <c r="N28" s="40" t="s">
        <v>1147</v>
      </c>
      <c r="O28" s="33"/>
      <c r="P28" s="33"/>
      <c r="Q28" s="40">
        <v>3.0</v>
      </c>
      <c r="R28" s="40" t="s">
        <v>1148</v>
      </c>
      <c r="S28" s="40" t="s">
        <v>1129</v>
      </c>
      <c r="T28" s="40" t="s">
        <v>42</v>
      </c>
      <c r="U28" s="33"/>
      <c r="V28" s="33"/>
      <c r="W28" s="40" t="s">
        <v>1130</v>
      </c>
      <c r="X28" s="41">
        <v>51.0</v>
      </c>
      <c r="Y28" s="40" t="s">
        <v>61</v>
      </c>
      <c r="Z28" s="34"/>
      <c r="AA28" s="33"/>
      <c r="AH28" s="43" t="str">
        <f>IFERROR(__xludf.DUMMYFUNCTION("AI(""Completa un valor adecuado para esta celda en función del contexto de la tabla"")"),"Este piso de madera maciza de Grapia destaca por su tonalidad clara y su gran resistencia natural, siendo ideal para aportar calidez y elegancia a ambientes interiores [cite: 1]. Al ser un producto unfinished (sin terminar), permite aplicar el acabado fin"&amp;"al deseado directamente en obra [cite: 1]. Proveniente de Brasil con calidad de Primera, cuenta con un espesor de 1 pulgada y un ancho de 3 pulgadas [cite: 1]. Su diseño en formato de entablonado de largos variados sin bisel asegura una superficie continu"&amp;"a, robusta y de alta durabilidad [cite: 1].")</f>
        <v>Este piso de madera maciza de Grapia destaca por su tonalidad clara y su gran resistencia natural, siendo ideal para aportar calidez y elegancia a ambientes interiores [cite: 1]. Al ser un producto unfinished (sin terminar), permite aplicar el acabado final deseado directamente en obra [cite: 1]. Proveniente de Brasil con calidad de Primera, cuenta con un espesor de 1 pulgada y un ancho de 3 pulgadas [cite: 1]. Su diseño en formato de entablonado de largos variados sin bisel asegura una superficie continua, robusta y de alta durabilidad [cite: 1].</v>
      </c>
    </row>
    <row r="29" ht="15.75" customHeight="1">
      <c r="A29" s="32">
        <v>100014.0</v>
      </c>
      <c r="B29" s="5" t="s">
        <v>33</v>
      </c>
      <c r="C29" s="5" t="s">
        <v>34</v>
      </c>
      <c r="D29" s="32" t="s">
        <v>1142</v>
      </c>
      <c r="E29" s="32" t="s">
        <v>1143</v>
      </c>
      <c r="F29" s="32" t="s">
        <v>1124</v>
      </c>
      <c r="G29" s="32" t="s">
        <v>1113</v>
      </c>
      <c r="H29" s="40" t="s">
        <v>1144</v>
      </c>
      <c r="I29" s="40" t="s">
        <v>1145</v>
      </c>
      <c r="J29" s="32" t="s">
        <v>1157</v>
      </c>
      <c r="K29" s="32" t="s">
        <v>1146</v>
      </c>
      <c r="M29" s="40">
        <v>1.0</v>
      </c>
      <c r="N29" s="40" t="s">
        <v>1147</v>
      </c>
      <c r="O29" s="33"/>
      <c r="P29" s="33"/>
      <c r="Q29" s="40">
        <v>3.0</v>
      </c>
      <c r="R29" s="40" t="s">
        <v>1148</v>
      </c>
      <c r="S29" s="40" t="s">
        <v>1129</v>
      </c>
      <c r="T29" s="40" t="s">
        <v>42</v>
      </c>
      <c r="U29" s="33"/>
      <c r="V29" s="33"/>
      <c r="W29" s="40" t="s">
        <v>1130</v>
      </c>
      <c r="X29" s="41">
        <v>198.0</v>
      </c>
      <c r="Y29" s="40" t="s">
        <v>61</v>
      </c>
      <c r="Z29" s="34"/>
      <c r="AA29" s="33"/>
      <c r="AH29" s="43" t="str">
        <f>IFERROR(__xludf.DUMMYFUNCTION("AI(""Completa un valor adecuado para esta celda en función del contexto de la tabla"")"),"Este piso de madera maciza de Roble Americano destaca por su elegancia clásica y gran estabilidad, aportando luminosidad y refinamiento a cualquier ambiente interior. Procedente de EEUU, cuenta con un espesor de 1 pulgada, un ancho de 3 pulgadas y un form"&amp;"ato de entablonado de largos variados con acabado natural. Su estructura de madera maciza ofrece una superficie altamente resistente a la abrasión y al desgaste, ideal para quienes buscan una opción duradera y sofisticada.")</f>
        <v>Este piso de madera maciza de Roble Americano destaca por su elegancia clásica y gran estabilidad, aportando luminosidad y refinamiento a cualquier ambiente interior. Procedente de EEUU, cuenta con un espesor de 1 pulgada, un ancho de 3 pulgadas y un formato de entablonado de largos variados con acabado natural. Su estructura de madera maciza ofrece una superficie altamente resistente a la abrasión y al desgaste, ideal para quienes buscan una opción duradera y sofisticada.</v>
      </c>
    </row>
    <row r="30" ht="15.75" customHeight="1">
      <c r="A30" s="32">
        <v>100015.0</v>
      </c>
      <c r="B30" s="5" t="s">
        <v>33</v>
      </c>
      <c r="C30" s="5" t="s">
        <v>34</v>
      </c>
      <c r="D30" s="32" t="s">
        <v>1142</v>
      </c>
      <c r="E30" s="32" t="s">
        <v>1143</v>
      </c>
      <c r="F30" s="32" t="s">
        <v>1124</v>
      </c>
      <c r="G30" s="32" t="s">
        <v>1113</v>
      </c>
      <c r="H30" s="40" t="s">
        <v>1144</v>
      </c>
      <c r="I30" s="40" t="s">
        <v>1145</v>
      </c>
      <c r="J30" s="32" t="s">
        <v>1157</v>
      </c>
      <c r="K30" s="32" t="s">
        <v>1146</v>
      </c>
      <c r="M30" s="40">
        <v>1.0</v>
      </c>
      <c r="N30" s="40" t="s">
        <v>1147</v>
      </c>
      <c r="O30" s="33"/>
      <c r="P30" s="33"/>
      <c r="Q30" s="40">
        <v>4.0</v>
      </c>
      <c r="R30" s="40" t="s">
        <v>1148</v>
      </c>
      <c r="S30" s="40" t="s">
        <v>1129</v>
      </c>
      <c r="T30" s="40" t="s">
        <v>42</v>
      </c>
      <c r="U30" s="33"/>
      <c r="V30" s="33"/>
      <c r="W30" s="40" t="s">
        <v>1130</v>
      </c>
      <c r="X30" s="41">
        <v>203.0</v>
      </c>
      <c r="Y30" s="40" t="s">
        <v>61</v>
      </c>
      <c r="Z30" s="34"/>
      <c r="AA30" s="33"/>
      <c r="AH30" s="43" t="str">
        <f>IFERROR(__xludf.DUMMYFUNCTION("AI(""Completa un valor adecuado para esta celda en función del contexto de la tabla"")"),"Este piso de madera maciza de Roble Americano ofrece una elegancia clásica y una extraordinaria dureza, ideal para aportar distinción y calidez a ambientes interiores. Presenta un espesor de 1 pulgada y un ancho de 4 pulgadas con formato de entablonado en"&amp;" largos variados. Con su acabado natural, destaca por sus vetas bien definidas y óptima estabilidad, garantizando una superficie altamente resistente y duradera frente al desgaste.")</f>
        <v>Este piso de madera maciza de Roble Americano ofrece una elegancia clásica y una extraordinaria dureza, ideal para aportar distinción y calidez a ambientes interiores. Presenta un espesor de 1 pulgada y un ancho de 4 pulgadas con formato de entablonado en largos variados. Con su acabado natural, destaca por sus vetas bien definidas y óptima estabilidad, garantizando una superficie altamente resistente y duradera frente al desgaste.</v>
      </c>
    </row>
    <row r="31" ht="15.75" customHeight="1">
      <c r="A31" s="32">
        <v>100016.0</v>
      </c>
      <c r="B31" s="5" t="s">
        <v>33</v>
      </c>
      <c r="C31" s="5" t="s">
        <v>34</v>
      </c>
      <c r="D31" s="32" t="s">
        <v>1142</v>
      </c>
      <c r="E31" s="32" t="s">
        <v>1143</v>
      </c>
      <c r="F31" s="32" t="s">
        <v>1124</v>
      </c>
      <c r="G31" s="32" t="s">
        <v>1113</v>
      </c>
      <c r="H31" s="40" t="s">
        <v>1144</v>
      </c>
      <c r="I31" s="40" t="s">
        <v>1145</v>
      </c>
      <c r="J31" s="32" t="s">
        <v>1157</v>
      </c>
      <c r="K31" s="32" t="s">
        <v>1146</v>
      </c>
      <c r="M31" s="40">
        <v>1.0</v>
      </c>
      <c r="N31" s="40" t="s">
        <v>1147</v>
      </c>
      <c r="O31" s="33"/>
      <c r="P31" s="33"/>
      <c r="Q31" s="40">
        <v>5.0</v>
      </c>
      <c r="R31" s="40" t="s">
        <v>1148</v>
      </c>
      <c r="S31" s="40" t="s">
        <v>1129</v>
      </c>
      <c r="T31" s="40" t="s">
        <v>42</v>
      </c>
      <c r="U31" s="33"/>
      <c r="V31" s="33"/>
      <c r="W31" s="40" t="s">
        <v>1130</v>
      </c>
      <c r="X31" s="41">
        <v>208.0</v>
      </c>
      <c r="Y31" s="40" t="s">
        <v>61</v>
      </c>
      <c r="Z31" s="34"/>
      <c r="AA31" s="33"/>
      <c r="AH31" s="43" t="str">
        <f>IFERROR(__xludf.DUMMYFUNCTION("AI(""Completa un valor adecuado para esta celda en función del contexto de la tabla"")"),"Este piso de madera maciza de Roble Americano destaca por su elegancia clásica, vetas marcadas y una excepcional durabilidad y dureza. Proveniente de EEUU, se presenta sin terminar (unfinished) en un formato entablonado de largos variados, con un espesor "&amp;"de 1 pulgada y un ancho de 5 pulgadas. Es una opción de alta calidad ideal para aportar calidez, distinción y un carácter único a cualquier ambiente interior.")</f>
        <v>Este piso de madera maciza de Roble Americano destaca por su elegancia clásica, vetas marcadas y una excepcional durabilidad y dureza. Proveniente de EEUU, se presenta sin terminar (unfinished) en un formato entablonado de largos variados, con un espesor de 1 pulgada y un ancho de 5 pulgadas. Es una opción de alta calidad ideal para aportar calidez, distinción y un carácter único a cualquier ambiente interior.</v>
      </c>
    </row>
    <row r="32" ht="15.75" customHeight="1">
      <c r="A32" s="32">
        <v>100017.0</v>
      </c>
      <c r="B32" s="5" t="s">
        <v>33</v>
      </c>
      <c r="C32" s="5" t="s">
        <v>34</v>
      </c>
      <c r="D32" s="32" t="s">
        <v>1142</v>
      </c>
      <c r="E32" s="32" t="s">
        <v>1143</v>
      </c>
      <c r="F32" s="32" t="s">
        <v>1124</v>
      </c>
      <c r="G32" s="32" t="s">
        <v>1113</v>
      </c>
      <c r="H32" s="40" t="s">
        <v>1144</v>
      </c>
      <c r="I32" s="40" t="s">
        <v>1145</v>
      </c>
      <c r="J32" s="32" t="s">
        <v>1157</v>
      </c>
      <c r="K32" s="32" t="s">
        <v>1146</v>
      </c>
      <c r="M32" s="40">
        <v>1.0</v>
      </c>
      <c r="N32" s="40" t="s">
        <v>1147</v>
      </c>
      <c r="O32" s="33"/>
      <c r="P32" s="33"/>
      <c r="Q32" s="40">
        <v>6.0</v>
      </c>
      <c r="R32" s="40" t="s">
        <v>1148</v>
      </c>
      <c r="S32" s="40" t="s">
        <v>1129</v>
      </c>
      <c r="T32" s="40" t="s">
        <v>42</v>
      </c>
      <c r="U32" s="33"/>
      <c r="V32" s="33"/>
      <c r="W32" s="40" t="s">
        <v>1130</v>
      </c>
      <c r="X32" s="41">
        <v>226.0</v>
      </c>
      <c r="Y32" s="40" t="s">
        <v>61</v>
      </c>
      <c r="Z32" s="34"/>
      <c r="AA32" s="33"/>
      <c r="AH32" s="43" t="str">
        <f>IFERROR(__xludf.DUMMYFUNCTION("AI(""Completa un valor adecuado para esta celda en función del contexto de la tabla"")"),"Este piso de madera de Roble Americano destaca por su gran dureza, estabilidad y resistencia a la abrasión, aportando una estética clásica y atemporal a ambientes interiores. Fabricado en Argentina bajo la marca Primera, presenta un formato de entablonado"&amp;" macizo e unfinished con un espesor de 1 pulgada, un ancho de 6 pulgadas y largos variados que realzan sus vetas marcadas y su calidez natural. Es una opción duradera de alta calidad, ideal tanto para uso residencial como comercial.")</f>
        <v>Este piso de madera de Roble Americano destaca por su gran dureza, estabilidad y resistencia a la abrasión, aportando una estética clásica y atemporal a ambientes interiores. Fabricado en Argentina bajo la marca Primera, presenta un formato de entablonado macizo e unfinished con un espesor de 1 pulgada, un ancho de 6 pulgadas y largos variados que realzan sus vetas marcadas y su calidez natural. Es una opción duradera de alta calidad, ideal tanto para uso residencial como comercial.</v>
      </c>
    </row>
    <row r="33" ht="15.75" customHeight="1">
      <c r="A33" s="32">
        <v>100018.0</v>
      </c>
      <c r="B33" s="5" t="s">
        <v>33</v>
      </c>
      <c r="C33" s="5" t="s">
        <v>34</v>
      </c>
      <c r="D33" s="32" t="s">
        <v>1142</v>
      </c>
      <c r="E33" s="32" t="s">
        <v>1143</v>
      </c>
      <c r="F33" s="32" t="s">
        <v>1138</v>
      </c>
      <c r="G33" s="32" t="s">
        <v>1113</v>
      </c>
      <c r="H33" s="40" t="s">
        <v>1144</v>
      </c>
      <c r="I33" s="40" t="s">
        <v>1145</v>
      </c>
      <c r="J33" s="32" t="s">
        <v>1157</v>
      </c>
      <c r="K33" s="32" t="s">
        <v>1146</v>
      </c>
      <c r="M33" s="40">
        <v>1.0</v>
      </c>
      <c r="N33" s="40" t="s">
        <v>1147</v>
      </c>
      <c r="O33" s="33"/>
      <c r="P33" s="33"/>
      <c r="Q33" s="40">
        <v>3.0</v>
      </c>
      <c r="R33" s="40" t="s">
        <v>1148</v>
      </c>
      <c r="S33" s="40" t="s">
        <v>1158</v>
      </c>
      <c r="T33" s="40" t="s">
        <v>42</v>
      </c>
      <c r="U33" s="33"/>
      <c r="V33" s="33"/>
      <c r="W33" s="40" t="s">
        <v>1130</v>
      </c>
      <c r="X33" s="41">
        <v>228.0</v>
      </c>
      <c r="Y33" s="40" t="s">
        <v>61</v>
      </c>
      <c r="Z33" s="34"/>
      <c r="AA33" s="33"/>
      <c r="AH33" s="43" t="str">
        <f>IFERROR(__xludf.DUMMYFUNCTION("AI(""Completa un valor adecuado para esta celda en función del contexto de la tabla"")"),"Este piso de madera maciza de Roble Americano ofrece una estética elegante y atemporal con su acabado natural que resalta las vetas y características propias de la madera. Importado de EEUU y comercializado bajo la marca Primera, cuenta con un espesor de "&amp;"1 pulgada y un ancho de 3 pulgadas. Su diseño en formato Chevron de largo fijo proporciona un patrón geométrico sofisticado, aportando distinción, calidez y una alta durabilidad a cualquier ambiente interior.")</f>
        <v>Este piso de madera maciza de Roble Americano ofrece una estética elegante y atemporal con su acabado natural que resalta las vetas y características propias de la madera. Importado de EEUU y comercializado bajo la marca Primera, cuenta con un espesor de 1 pulgada y un ancho de 3 pulgadas. Su diseño en formato Chevron de largo fijo proporciona un patrón geométrico sofisticado, aportando distinción, calidez y una alta durabilidad a cualquier ambiente interior.</v>
      </c>
    </row>
    <row r="34" ht="15.75" customHeight="1">
      <c r="A34" s="32">
        <v>100019.0</v>
      </c>
      <c r="B34" s="5" t="s">
        <v>33</v>
      </c>
      <c r="C34" s="5" t="s">
        <v>34</v>
      </c>
      <c r="D34" s="32" t="s">
        <v>1142</v>
      </c>
      <c r="E34" s="32" t="s">
        <v>1143</v>
      </c>
      <c r="F34" s="32" t="s">
        <v>1138</v>
      </c>
      <c r="G34" s="32" t="s">
        <v>1113</v>
      </c>
      <c r="H34" s="40" t="s">
        <v>1144</v>
      </c>
      <c r="I34" s="40" t="s">
        <v>1145</v>
      </c>
      <c r="J34" s="32" t="s">
        <v>1157</v>
      </c>
      <c r="K34" s="32" t="s">
        <v>1146</v>
      </c>
      <c r="M34" s="40">
        <v>1.0</v>
      </c>
      <c r="N34" s="40" t="s">
        <v>1147</v>
      </c>
      <c r="O34" s="33"/>
      <c r="P34" s="33"/>
      <c r="Q34" s="40">
        <v>4.0</v>
      </c>
      <c r="R34" s="40" t="s">
        <v>1148</v>
      </c>
      <c r="S34" s="40" t="s">
        <v>1158</v>
      </c>
      <c r="T34" s="40" t="s">
        <v>42</v>
      </c>
      <c r="U34" s="33"/>
      <c r="V34" s="33"/>
      <c r="W34" s="40" t="s">
        <v>1130</v>
      </c>
      <c r="X34" s="41">
        <v>233.0</v>
      </c>
      <c r="Y34" s="40" t="s">
        <v>61</v>
      </c>
      <c r="Z34" s="34"/>
      <c r="AA34" s="33"/>
      <c r="AH34" s="43" t="str">
        <f>IFERROR(__xludf.DUMMYFUNCTION("AI(""Completa un valor adecuado para esta celda en función del contexto de la tabla"")"),"Este piso de madera maciza de Roble Americano en formato Chevron ofrece una estética clásica y sofisticada, ideal para aportar distinción y luminosidad a cualquier ambiente interior. Procedente de EEUU y seleccionado en calidad Primera, se presenta en un "&amp;"formato de largo fijo con un espesor de 1 pulgada y un ancho de 4 pulgadas, perfecto para crear un patrón geométrico dinámico y elegante. Al ser un producto sin acabar (unfinished) con acabado natural, resalta las vetas bien definidas y el grano expresivo"&amp;" característicos de la especie, garantizando una excelente estabilidad dimensional, alta resistencia al desgaste y una durabilidad excepcional.")</f>
        <v>Este piso de madera maciza de Roble Americano en formato Chevron ofrece una estética clásica y sofisticada, ideal para aportar distinción y luminosidad a cualquier ambiente interior. Procedente de EEUU y seleccionado en calidad Primera, se presenta en un formato de largo fijo con un espesor de 1 pulgada y un ancho de 4 pulgadas, perfecto para crear un patrón geométrico dinámico y elegante. Al ser un producto sin acabar (unfinished) con acabado natural, resalta las vetas bien definidas y el grano expresivo característicos de la especie, garantizando una excelente estabilidad dimensional, alta resistencia al desgaste y una durabilidad excepcional.</v>
      </c>
    </row>
    <row r="35" ht="15.75" customHeight="1">
      <c r="A35" s="32">
        <v>100020.0</v>
      </c>
      <c r="B35" s="5" t="s">
        <v>33</v>
      </c>
      <c r="C35" s="5" t="s">
        <v>34</v>
      </c>
      <c r="D35" s="32" t="s">
        <v>1142</v>
      </c>
      <c r="E35" s="32" t="s">
        <v>1143</v>
      </c>
      <c r="F35" s="32" t="s">
        <v>1138</v>
      </c>
      <c r="G35" s="32" t="s">
        <v>1113</v>
      </c>
      <c r="H35" s="40" t="s">
        <v>1144</v>
      </c>
      <c r="I35" s="40" t="s">
        <v>1145</v>
      </c>
      <c r="J35" s="32" t="s">
        <v>1157</v>
      </c>
      <c r="K35" s="32" t="s">
        <v>1146</v>
      </c>
      <c r="M35" s="40">
        <v>1.0</v>
      </c>
      <c r="N35" s="40" t="s">
        <v>1147</v>
      </c>
      <c r="O35" s="33"/>
      <c r="P35" s="33"/>
      <c r="Q35" s="40">
        <v>5.0</v>
      </c>
      <c r="R35" s="40" t="s">
        <v>1148</v>
      </c>
      <c r="S35" s="40" t="s">
        <v>1158</v>
      </c>
      <c r="T35" s="40" t="s">
        <v>42</v>
      </c>
      <c r="U35" s="33"/>
      <c r="V35" s="33"/>
      <c r="W35" s="40" t="s">
        <v>1130</v>
      </c>
      <c r="X35" s="41">
        <v>239.0</v>
      </c>
      <c r="Y35" s="40" t="s">
        <v>61</v>
      </c>
      <c r="Z35" s="34"/>
      <c r="AA35" s="33"/>
      <c r="AH35" s="43" t="str">
        <f>IFERROR(__xludf.DUMMYFUNCTION("AI(""Completa un valor adecuado para esta celda en función del contexto de la tabla"")"),"Este piso de madera maciza de Roble Americano destaca por su robustez excepcional y elegancia atemporal, ideal para jerarquizar ambientes interiores. Al ser un producto unfinished (sin terminar), se presenta en su estado natural para ser acabado en obra s"&amp;"egún la preferencia del cliente. Proveniente de EEUU en calidad Primera, posee un importante espesor de 1 pulgada, un ancho de 5 pulgadas y un diseño en formato Chevron de largo fijo que aporta un patrón geométrico sofisticado, dinámico y de gran distinci"&amp;"ón.")</f>
        <v>Este piso de madera maciza de Roble Americano destaca por su robustez excepcional y elegancia atemporal, ideal para jerarquizar ambientes interiores. Al ser un producto unfinished (sin terminar), se presenta en su estado natural para ser acabado en obra según la preferencia del cliente. Proveniente de EEUU en calidad Primera, posee un importante espesor de 1 pulgada, un ancho de 5 pulgadas y un diseño en formato Chevron de largo fijo que aporta un patrón geométrico sofisticado, dinámico y de gran distinción.</v>
      </c>
    </row>
    <row r="36" ht="15.75" customHeight="1">
      <c r="A36" s="32">
        <v>100021.0</v>
      </c>
      <c r="B36" s="5" t="s">
        <v>33</v>
      </c>
      <c r="C36" s="5" t="s">
        <v>34</v>
      </c>
      <c r="D36" s="32" t="s">
        <v>1142</v>
      </c>
      <c r="E36" s="32" t="s">
        <v>1143</v>
      </c>
      <c r="F36" s="32" t="s">
        <v>1138</v>
      </c>
      <c r="G36" s="32" t="s">
        <v>1113</v>
      </c>
      <c r="H36" s="40" t="s">
        <v>1144</v>
      </c>
      <c r="I36" s="40" t="s">
        <v>1145</v>
      </c>
      <c r="J36" s="32" t="s">
        <v>1157</v>
      </c>
      <c r="K36" s="32" t="s">
        <v>1146</v>
      </c>
      <c r="M36" s="40">
        <v>1.0</v>
      </c>
      <c r="N36" s="40" t="s">
        <v>1147</v>
      </c>
      <c r="O36" s="33"/>
      <c r="P36" s="33"/>
      <c r="Q36" s="40">
        <v>6.0</v>
      </c>
      <c r="R36" s="40" t="s">
        <v>1148</v>
      </c>
      <c r="S36" s="40" t="s">
        <v>1158</v>
      </c>
      <c r="T36" s="40" t="s">
        <v>42</v>
      </c>
      <c r="U36" s="33"/>
      <c r="V36" s="33"/>
      <c r="W36" s="40" t="s">
        <v>1130</v>
      </c>
      <c r="X36" s="41">
        <v>260.0</v>
      </c>
      <c r="Y36" s="40" t="s">
        <v>61</v>
      </c>
      <c r="Z36" s="34"/>
      <c r="AA36" s="33"/>
      <c r="AH36" s="43" t="str">
        <f>IFERROR(__xludf.DUMMYFUNCTION("AI(""Completa un valor adecuado para esta celda en función del contexto de la tabla"")"),"Este piso de madera maciza de Roble Americano destaca por su elegancia clásica, extraordinaria dureza y alta durabilidad, siendo ideal para aportar distinción y calidez a cualquier ambiente. Proveniente de EEUU, se presenta sin acabar (unfinished) con un "&amp;"espesor de 1 pulgada y un ancho de 6 pulgadas. Su diseño en patrón Chevron de largo fijo proporciona una estética geométrica sofisticada, dinámica y de gran estabilidad dimensional, convirtiéndolo en una opción exclusiva y resistente para interiores.")</f>
        <v>Este piso de madera maciza de Roble Americano destaca por su elegancia clásica, extraordinaria dureza y alta durabilidad, siendo ideal para aportar distinción y calidez a cualquier ambiente. Proveniente de EEUU, se presenta sin acabar (unfinished) con un espesor de 1 pulgada y un ancho de 6 pulgadas. Su diseño en patrón Chevron de largo fijo proporciona una estética geométrica sofisticada, dinámica y de gran estabilidad dimensional, convirtiéndolo en una opción exclusiva y resistente para interiores.</v>
      </c>
    </row>
    <row r="37" ht="15.75" customHeight="1">
      <c r="A37" s="32">
        <v>100022.0</v>
      </c>
      <c r="B37" s="5" t="s">
        <v>33</v>
      </c>
      <c r="C37" s="5" t="s">
        <v>34</v>
      </c>
      <c r="D37" s="32" t="s">
        <v>1142</v>
      </c>
      <c r="E37" s="32" t="s">
        <v>1143</v>
      </c>
      <c r="F37" s="32" t="s">
        <v>1124</v>
      </c>
      <c r="G37" s="32" t="s">
        <v>1159</v>
      </c>
      <c r="H37" s="40" t="s">
        <v>1144</v>
      </c>
      <c r="I37" s="40" t="s">
        <v>1145</v>
      </c>
      <c r="J37" s="32" t="s">
        <v>1153</v>
      </c>
      <c r="K37" s="32" t="s">
        <v>1146</v>
      </c>
      <c r="M37" s="67">
        <v>46115.0</v>
      </c>
      <c r="N37" s="40" t="s">
        <v>1147</v>
      </c>
      <c r="O37" s="33"/>
      <c r="P37" s="33"/>
      <c r="Q37" s="40">
        <v>3.0</v>
      </c>
      <c r="R37" s="40" t="s">
        <v>1148</v>
      </c>
      <c r="S37" s="40" t="s">
        <v>1129</v>
      </c>
      <c r="T37" s="40" t="s">
        <v>42</v>
      </c>
      <c r="U37" s="33"/>
      <c r="V37" s="33"/>
      <c r="W37" s="40" t="s">
        <v>1130</v>
      </c>
      <c r="X37" s="41">
        <v>60.0</v>
      </c>
      <c r="Y37" s="40" t="s">
        <v>61</v>
      </c>
      <c r="Z37" s="34"/>
      <c r="AA37" s="33"/>
      <c r="AH37" s="43" t="str">
        <f>IFERROR(__xludf.DUMMYFUNCTION("AI(""Completa un valor adecuado para esta celda en función del contexto de la tabla"")"),"Este piso macizo de Tahuari ofrece una estética atractiva con un color marrón rojizo y un hermoso grano, ideal para proyectos de construcción y decoración en ambientes interiores. Fabricado en calidad de Primera en Brasil, presenta un espesor de 3/4 de pu"&amp;"lgada y un ancho de 3 pulgadas, garantizando una alta densidad, resistencia y durabilidad. Su formato de entablonado con largos variados y acabado natural aporta un toque de distinción, elegancia y calidez sin igual a cualquier espacio.")</f>
        <v>Este piso macizo de Tahuari ofrece una estética atractiva con un color marrón rojizo y un hermoso grano, ideal para proyectos de construcción y decoración en ambientes interiores. Fabricado en calidad de Primera en Brasil, presenta un espesor de 3/4 de pulgada y un ancho de 3 pulgadas, garantizando una alta densidad, resistencia y durabilidad. Su formato de entablonado con largos variados y acabado natural aporta un toque de distinción, elegancia y calidez sin igual a cualquier espacio.</v>
      </c>
    </row>
    <row r="38" ht="15.75" customHeight="1">
      <c r="A38" s="32">
        <v>100023.0</v>
      </c>
      <c r="B38" s="5" t="s">
        <v>33</v>
      </c>
      <c r="C38" s="5" t="s">
        <v>34</v>
      </c>
      <c r="D38" s="32" t="s">
        <v>1142</v>
      </c>
      <c r="E38" s="32" t="s">
        <v>1143</v>
      </c>
      <c r="F38" s="32" t="s">
        <v>1124</v>
      </c>
      <c r="G38" s="32" t="s">
        <v>1136</v>
      </c>
      <c r="H38" s="40" t="s">
        <v>1144</v>
      </c>
      <c r="I38" s="40" t="s">
        <v>1145</v>
      </c>
      <c r="J38" s="32" t="s">
        <v>1128</v>
      </c>
      <c r="K38" s="32" t="s">
        <v>1146</v>
      </c>
      <c r="M38" s="40">
        <v>1.0</v>
      </c>
      <c r="N38" s="40" t="s">
        <v>1147</v>
      </c>
      <c r="O38" s="33"/>
      <c r="P38" s="33"/>
      <c r="Q38" s="40">
        <v>4.0</v>
      </c>
      <c r="R38" s="40" t="s">
        <v>1148</v>
      </c>
      <c r="S38" s="40" t="s">
        <v>1129</v>
      </c>
      <c r="T38" s="40" t="s">
        <v>42</v>
      </c>
      <c r="U38" s="33"/>
      <c r="V38" s="33"/>
      <c r="W38" s="40" t="s">
        <v>1130</v>
      </c>
      <c r="X38" s="41">
        <v>89.0</v>
      </c>
      <c r="Y38" s="40" t="s">
        <v>61</v>
      </c>
      <c r="Z38" s="34"/>
      <c r="AA38" s="33"/>
      <c r="AH38" s="43" t="str">
        <f>IFERROR(__xludf.DUMMYFUNCTION("AI(""Completa un valor adecuado para esta celda en función del contexto de la tabla"")"),"Este piso macizo de Viraró ofrece una estética clásica y cálida, con tonalidades rojizas y vetas marcadas que brindan carácter a cualquier ambiente interior. Fabricado en Paraguay con calidad de Primera, posee un espesor de 1 pulgada, un ancho de 4 pulgad"&amp;"as y un formato entablonado de largos variados que asegura una instalación tradicional y robusta. Es un producto natural sin terminar, reconocido por su gran dureza, estabilidad dimensional y notable resistencia al desgaste, ideal para jerarquizar espacio"&amp;"s residenciales o comerciales.")</f>
        <v>Este piso macizo de Viraró ofrece una estética clásica y cálida, con tonalidades rojizas y vetas marcadas que brindan carácter a cualquier ambiente interior. Fabricado en Paraguay con calidad de Primera, posee un espesor de 1 pulgada, un ancho de 4 pulgadas y un formato entablonado de largos variados que asegura una instalación tradicional y robusta. Es un producto natural sin terminar, reconocido por su gran dureza, estabilidad dimensional y notable resistencia al desgaste, ideal para jerarquizar espacios residenciales o comerciales.</v>
      </c>
    </row>
    <row r="39" ht="15.75" customHeight="1">
      <c r="A39" s="32">
        <v>100024.0</v>
      </c>
      <c r="B39" s="5" t="s">
        <v>33</v>
      </c>
      <c r="C39" s="5" t="s">
        <v>34</v>
      </c>
      <c r="D39" s="32" t="s">
        <v>1142</v>
      </c>
      <c r="E39" s="32" t="s">
        <v>1143</v>
      </c>
      <c r="F39" s="32" t="s">
        <v>1124</v>
      </c>
      <c r="G39" s="32" t="s">
        <v>1160</v>
      </c>
      <c r="H39" s="40" t="s">
        <v>1144</v>
      </c>
      <c r="I39" s="40" t="s">
        <v>1145</v>
      </c>
      <c r="J39" s="32" t="s">
        <v>1161</v>
      </c>
      <c r="K39" s="32" t="s">
        <v>1146</v>
      </c>
      <c r="M39" s="40">
        <v>1.0</v>
      </c>
      <c r="N39" s="40" t="s">
        <v>1147</v>
      </c>
      <c r="O39" s="33"/>
      <c r="P39" s="33"/>
      <c r="Q39" s="40">
        <v>4.0</v>
      </c>
      <c r="R39" s="40" t="s">
        <v>1148</v>
      </c>
      <c r="S39" s="40" t="s">
        <v>1129</v>
      </c>
      <c r="T39" s="40" t="s">
        <v>42</v>
      </c>
      <c r="U39" s="33"/>
      <c r="V39" s="33"/>
      <c r="W39" s="40" t="s">
        <v>1130</v>
      </c>
      <c r="X39" s="41">
        <v>47.0</v>
      </c>
      <c r="Y39" s="40" t="s">
        <v>61</v>
      </c>
      <c r="Z39" s="34"/>
      <c r="AA39" s="33"/>
      <c r="AH39" s="43" t="str">
        <f>IFERROR(__xludf.DUMMYFUNCTION("AI(""Completa un valor adecuado para esta celda en función del contexto de la tabla"")"),"Este piso de madera maciza de Guayubira destaca por su veta única y su llamativa tonalidad que combina tonos oscuros y amarillentos, aportando un gran carácter y alto impacto visual. Fabricado en Argentina con calidad de primera, se presenta en un formato"&amp;" de entablonado de largos variados con un espesor de 1 pulgada y un ancho de 4 pulgadas. Al ser una madera dura, pesada y altamente resistente al desgaste, es una opción sumamente estable y duradera ideal para proyectos sofisticados. Su acabado natural si"&amp;"n bisel resalta la pureza y nobleza de la madera maciza, requiriendo su posterior pulido y laqueado en obra.")</f>
        <v>Este piso de madera maciza de Guayubira destaca por su veta única y su llamativa tonalidad que combina tonos oscuros y amarillentos, aportando un gran carácter y alto impacto visual. Fabricado en Argentina con calidad de primera, se presenta en un formato de entablonado de largos variados con un espesor de 1 pulgada y un ancho de 4 pulgadas. Al ser una madera dura, pesada y altamente resistente al desgaste, es una opción sumamente estable y duradera ideal para proyectos sofisticados. Su acabado natural sin bisel resalta la pureza y nobleza de la madera maciza, requiriendo su posterior pulido y laqueado en obra.</v>
      </c>
    </row>
    <row r="40" ht="15.75" customHeight="1">
      <c r="A40" s="32">
        <v>100025.0</v>
      </c>
      <c r="B40" s="5" t="s">
        <v>33</v>
      </c>
      <c r="C40" s="5" t="s">
        <v>34</v>
      </c>
      <c r="D40" s="32" t="s">
        <v>1142</v>
      </c>
      <c r="E40" s="32" t="s">
        <v>1143</v>
      </c>
      <c r="F40" s="32" t="s">
        <v>1124</v>
      </c>
      <c r="G40" s="32" t="s">
        <v>1160</v>
      </c>
      <c r="H40" s="40" t="s">
        <v>1144</v>
      </c>
      <c r="I40" s="40" t="s">
        <v>1145</v>
      </c>
      <c r="J40" s="32" t="s">
        <v>1161</v>
      </c>
      <c r="K40" s="32" t="s">
        <v>1146</v>
      </c>
      <c r="M40" s="40">
        <v>1.0</v>
      </c>
      <c r="N40" s="40" t="s">
        <v>1147</v>
      </c>
      <c r="O40" s="33"/>
      <c r="P40" s="33"/>
      <c r="Q40" s="40">
        <v>6.0</v>
      </c>
      <c r="R40" s="40" t="s">
        <v>1148</v>
      </c>
      <c r="S40" s="40" t="s">
        <v>1129</v>
      </c>
      <c r="T40" s="40" t="s">
        <v>42</v>
      </c>
      <c r="U40" s="33"/>
      <c r="V40" s="33"/>
      <c r="W40" s="40" t="s">
        <v>1130</v>
      </c>
      <c r="X40" s="41">
        <v>55.0</v>
      </c>
      <c r="Y40" s="40" t="s">
        <v>61</v>
      </c>
      <c r="Z40" s="34"/>
      <c r="AA40" s="33"/>
      <c r="AH40" s="43" t="str">
        <f>IFERROR(__xludf.DUMMYFUNCTION("AI(""Completa un valor adecuado para esta celda en función del contexto de la tabla"")"),"Este piso de madera maciza de Guayubira se presenta al natural y sin terminar (unfinished), ideal para aportar la resistencia y autenticidad de la madera real a ambientes interiores. Fabricado en Argentina bajo la selección de Primera calidad, cuenta con "&amp;"un espesor de 1 pulgada y un ancho de 6 pulgadas. Su formato de entablonado con largos variados ofrece una estética robusta, tradicional y de gran calidez, siendo una opción duradera y de alta calidad para personalizar con el acabado deseado en obra.")</f>
        <v>Este piso de madera maciza de Guayubira se presenta al natural y sin terminar (unfinished), ideal para aportar la resistencia y autenticidad de la madera real a ambientes interiores. Fabricado en Argentina bajo la selección de Primera calidad, cuenta con un espesor de 1 pulgada y un ancho de 6 pulgadas. Su formato de entablonado con largos variados ofrece una estética robusta, tradicional y de gran calidez, siendo una opción duradera y de alta calidad para personalizar con el acabado deseado en obra.</v>
      </c>
    </row>
    <row r="41" ht="15.75" customHeight="1">
      <c r="A41" s="32">
        <v>100026.0</v>
      </c>
      <c r="B41" s="5" t="s">
        <v>33</v>
      </c>
      <c r="C41" s="5" t="s">
        <v>34</v>
      </c>
      <c r="D41" s="32" t="s">
        <v>1142</v>
      </c>
      <c r="E41" s="32" t="s">
        <v>1143</v>
      </c>
      <c r="F41" s="32" t="s">
        <v>1162</v>
      </c>
      <c r="G41" s="32" t="s">
        <v>1163</v>
      </c>
      <c r="H41" s="40" t="s">
        <v>1144</v>
      </c>
      <c r="I41" s="40" t="s">
        <v>1145</v>
      </c>
      <c r="J41" s="32" t="s">
        <v>1161</v>
      </c>
      <c r="K41" s="32" t="s">
        <v>1146</v>
      </c>
      <c r="M41" s="67">
        <v>46054.0</v>
      </c>
      <c r="N41" s="40" t="s">
        <v>1147</v>
      </c>
      <c r="O41" s="33"/>
      <c r="P41" s="33"/>
      <c r="Q41" s="40">
        <v>3.0</v>
      </c>
      <c r="R41" s="40" t="s">
        <v>1148</v>
      </c>
      <c r="S41" s="40">
        <v>300.0</v>
      </c>
      <c r="T41" s="40" t="s">
        <v>42</v>
      </c>
      <c r="U41" s="33"/>
      <c r="V41" s="33"/>
      <c r="W41" s="40" t="s">
        <v>1130</v>
      </c>
      <c r="X41" s="41">
        <v>35.0</v>
      </c>
      <c r="Y41" s="40" t="s">
        <v>61</v>
      </c>
      <c r="Z41" s="34"/>
      <c r="AA41" s="33"/>
      <c r="AH41" s="43" t="str">
        <f>IFERROR(__xludf.DUMMYFUNCTION("AI(""Completa un valor adecuado para esta celda en función del contexto de la tabla"")"),"Este piso de madera maciza de Incienso Pardo, en formato de parquet, destaca por su tonalidad castaña que se torna paulatinamente parda con vetas bien marcadas y una textura fina y homogénea. Fabricado en Argentina, cuenta con un espesor de 1/2 pulgada y "&amp;"un ancho de 3 pulgadas, presentándose en un formato de largo de 300 mm sin bisel. Es una opción de madera muy dura, pesada y de gran estabilidad, ideal para aportar elegancia, calidez y un agradable aroma natural a los ambientes interiores.")</f>
        <v>Este piso de madera maciza de Incienso Pardo, en formato de parquet, destaca por su tonalidad castaña que se torna paulatinamente parda con vetas bien marcadas y una textura fina y homogénea. Fabricado en Argentina, cuenta con un espesor de 1/2 pulgada y un ancho de 3 pulgadas, presentándose en un formato de largo de 300 mm sin bisel. Es una opción de madera muy dura, pesada y de gran estabilidad, ideal para aportar elegancia, calidez y un agradable aroma natural a los ambientes interiores.</v>
      </c>
    </row>
    <row r="42" ht="15.75" customHeight="1">
      <c r="A42" s="32">
        <v>100027.0</v>
      </c>
      <c r="B42" s="5" t="s">
        <v>33</v>
      </c>
      <c r="C42" s="5" t="s">
        <v>34</v>
      </c>
      <c r="D42" s="32" t="s">
        <v>1142</v>
      </c>
      <c r="E42" s="32" t="s">
        <v>1143</v>
      </c>
      <c r="F42" s="32" t="s">
        <v>1162</v>
      </c>
      <c r="G42" s="32" t="s">
        <v>1164</v>
      </c>
      <c r="H42" s="40" t="s">
        <v>1144</v>
      </c>
      <c r="I42" s="40" t="s">
        <v>1145</v>
      </c>
      <c r="J42" s="32" t="s">
        <v>1161</v>
      </c>
      <c r="K42" s="32" t="s">
        <v>1146</v>
      </c>
      <c r="M42" s="67">
        <v>46115.0</v>
      </c>
      <c r="N42" s="40" t="s">
        <v>1147</v>
      </c>
      <c r="O42" s="33"/>
      <c r="P42" s="33"/>
      <c r="Q42" s="40">
        <v>4.0</v>
      </c>
      <c r="R42" s="40" t="s">
        <v>1148</v>
      </c>
      <c r="S42" s="40">
        <v>300.0</v>
      </c>
      <c r="T42" s="40" t="s">
        <v>42</v>
      </c>
      <c r="U42" s="33"/>
      <c r="V42" s="33"/>
      <c r="W42" s="40" t="s">
        <v>1130</v>
      </c>
      <c r="X42" s="41">
        <v>19.2</v>
      </c>
      <c r="Y42" s="40" t="s">
        <v>61</v>
      </c>
      <c r="Z42" s="34"/>
      <c r="AA42" s="33"/>
      <c r="AH42" s="43" t="str">
        <f>IFERROR(__xludf.DUMMYFUNCTION("AI(""Completa un valor adecuado para esta celda en función del contexto de la tabla"")"),"I'm still learning and can't help with that. Do you need help with anything else?")</f>
        <v>I'm still learning and can't help with that. Do you need help with anything else?</v>
      </c>
    </row>
    <row r="43" ht="15.75" customHeight="1">
      <c r="A43" s="32">
        <v>100028.0</v>
      </c>
      <c r="B43" s="5" t="s">
        <v>33</v>
      </c>
      <c r="C43" s="5" t="s">
        <v>34</v>
      </c>
      <c r="D43" s="32" t="s">
        <v>1142</v>
      </c>
      <c r="E43" s="32" t="s">
        <v>1143</v>
      </c>
      <c r="F43" s="32" t="s">
        <v>1162</v>
      </c>
      <c r="G43" s="32" t="s">
        <v>1165</v>
      </c>
      <c r="H43" s="40" t="s">
        <v>1144</v>
      </c>
      <c r="I43" s="40" t="s">
        <v>1145</v>
      </c>
      <c r="J43" s="32" t="s">
        <v>1128</v>
      </c>
      <c r="K43" s="32" t="s">
        <v>1146</v>
      </c>
      <c r="M43" s="67">
        <v>46115.0</v>
      </c>
      <c r="N43" s="40" t="s">
        <v>1147</v>
      </c>
      <c r="O43" s="33"/>
      <c r="P43" s="33"/>
      <c r="Q43" s="40">
        <v>4.0</v>
      </c>
      <c r="R43" s="40" t="s">
        <v>1148</v>
      </c>
      <c r="S43" s="40">
        <v>300.0</v>
      </c>
      <c r="T43" s="40" t="s">
        <v>42</v>
      </c>
      <c r="U43" s="33"/>
      <c r="V43" s="33"/>
      <c r="W43" s="40" t="s">
        <v>1130</v>
      </c>
      <c r="X43" s="41">
        <v>19.2</v>
      </c>
      <c r="Y43" s="40" t="s">
        <v>61</v>
      </c>
      <c r="Z43" s="34"/>
      <c r="AA43" s="33"/>
      <c r="AH43" s="43" t="str">
        <f>IFERROR(__xludf.DUMMYFUNCTION("AI(""Completa un valor adecuado para esta celda en función del contexto de la tabla"")"),"Este piso de madera de Sirari aporta un toque de modernidad con su color colorado y uniforme, siendo perfecto para quienes buscan una estética contemporánea en ambientes interiores. Fabricado con calidad de Primera en Paraguay, se presenta en formato de p"&amp;"arquet macizo de 3/4 pulgadas de espesor, 4 pulgadas de ancho y un largo fijo de 300 mm. Ofrece un acabado natural, una estructura sólida sin bisel y una excelente resistencia para diversos estilos de decoración.")</f>
        <v>Este piso de madera de Sirari aporta un toque de modernidad con su color colorado y uniforme, siendo perfecto para quienes buscan una estética contemporánea en ambientes interiores. Fabricado con calidad de Primera en Paraguay, se presenta en formato de parquet macizo de 3/4 pulgadas de espesor, 4 pulgadas de ancho y un largo fijo de 300 mm. Ofrece un acabado natural, una estructura sólida sin bisel y una excelente resistencia para diversos estilos de decoración.</v>
      </c>
    </row>
    <row r="44" ht="15.75" customHeight="1">
      <c r="A44" s="32">
        <v>100029.0</v>
      </c>
      <c r="B44" s="5" t="s">
        <v>33</v>
      </c>
      <c r="C44" s="5" t="s">
        <v>34</v>
      </c>
      <c r="D44" s="32" t="s">
        <v>1142</v>
      </c>
      <c r="E44" s="32" t="s">
        <v>1143</v>
      </c>
      <c r="F44" s="32" t="s">
        <v>1162</v>
      </c>
      <c r="G44" s="32" t="s">
        <v>1165</v>
      </c>
      <c r="H44" s="40" t="s">
        <v>1144</v>
      </c>
      <c r="I44" s="40" t="s">
        <v>1145</v>
      </c>
      <c r="J44" s="32" t="s">
        <v>1128</v>
      </c>
      <c r="K44" s="32" t="s">
        <v>1146</v>
      </c>
      <c r="M44" s="67">
        <v>46115.0</v>
      </c>
      <c r="N44" s="40" t="s">
        <v>1147</v>
      </c>
      <c r="O44" s="33"/>
      <c r="P44" s="33"/>
      <c r="Q44" s="40">
        <v>3.0</v>
      </c>
      <c r="R44" s="40" t="s">
        <v>1148</v>
      </c>
      <c r="S44" s="40">
        <v>250.0</v>
      </c>
      <c r="T44" s="40" t="s">
        <v>42</v>
      </c>
      <c r="U44" s="33"/>
      <c r="V44" s="33"/>
      <c r="W44" s="40" t="s">
        <v>1130</v>
      </c>
      <c r="X44" s="41">
        <v>19.2</v>
      </c>
      <c r="Y44" s="40" t="s">
        <v>61</v>
      </c>
      <c r="Z44" s="34"/>
      <c r="AA44" s="33"/>
      <c r="AH44" s="43" t="str">
        <f>IFERROR(__xludf.DUMMYFUNCTION("AI(""Completa un valor adecuado para esta celda en función del contexto de la tabla"")"),"Este piso de madera maciza de Sirari, de calidad Primera y procedencia paraguaya, ofrece una superficie natural ideal para aportar calidez y distinción a ambientes interiores. Con un espesor de 3/4 de pulgada, un ancho de 3 pulgadas y un largo de 250 mm, "&amp;"se presenta en un formato de parquet tradicional sin bisel. Es una opción sumamente duradera, resistente y sofisticada que resalta la belleza clásica y orgánica de la madera genuina.")</f>
        <v>Este piso de madera maciza de Sirari, de calidad Primera y procedencia paraguaya, ofrece una superficie natural ideal para aportar calidez y distinción a ambientes interiores. Con un espesor de 3/4 de pulgada, un ancho de 3 pulgadas y un largo de 250 mm, se presenta en un formato de parquet tradicional sin bisel. Es una opción sumamente duradera, resistente y sofisticada que resalta la belleza clásica y orgánica de la madera genuina.</v>
      </c>
    </row>
    <row r="45" ht="15.75" customHeight="1">
      <c r="A45" s="32">
        <v>100030.0</v>
      </c>
      <c r="B45" s="5" t="s">
        <v>33</v>
      </c>
      <c r="C45" s="5" t="s">
        <v>34</v>
      </c>
      <c r="D45" s="32" t="s">
        <v>1142</v>
      </c>
      <c r="E45" s="32" t="s">
        <v>1143</v>
      </c>
      <c r="F45" s="32" t="s">
        <v>1162</v>
      </c>
      <c r="G45" s="32" t="s">
        <v>1165</v>
      </c>
      <c r="H45" s="40" t="s">
        <v>1144</v>
      </c>
      <c r="I45" s="40" t="s">
        <v>1145</v>
      </c>
      <c r="J45" s="32" t="s">
        <v>1128</v>
      </c>
      <c r="K45" s="32" t="s">
        <v>1146</v>
      </c>
      <c r="M45" s="67">
        <v>46115.0</v>
      </c>
      <c r="N45" s="40" t="s">
        <v>1147</v>
      </c>
      <c r="O45" s="33"/>
      <c r="P45" s="33"/>
      <c r="Q45" s="40">
        <v>5.0</v>
      </c>
      <c r="R45" s="40" t="s">
        <v>1148</v>
      </c>
      <c r="S45" s="40">
        <v>250.0</v>
      </c>
      <c r="T45" s="40" t="s">
        <v>42</v>
      </c>
      <c r="U45" s="33"/>
      <c r="V45" s="33"/>
      <c r="W45" s="40" t="s">
        <v>1130</v>
      </c>
      <c r="X45" s="41">
        <v>19.2</v>
      </c>
      <c r="Y45" s="40" t="s">
        <v>61</v>
      </c>
      <c r="Z45" s="34"/>
      <c r="AA45" s="33"/>
      <c r="AH45" s="43" t="str">
        <f>IFERROR(__xludf.DUMMYFUNCTION("AI(""Completa un valor adecuado para esta celda en función del contexto de la tabla"")"),"Este piso de madera de Sirari destaca por su acabado natural y estructura maciza, ideal para aportar calidez, resistencia y elegancia a cualquier ambiente interior. Fabricado bajo exigentes estándares de calidad (Primera) en Paraguay, posee un espesor de "&amp;"3/4 de pulgada y un ancho de 5 pulgadas. Su formato de Parquet con un largo de 250 mm asegura una instalación clásica, estable y duradera, resaltando la belleza orgánica y las vetas propias de la madera.")</f>
        <v>Este piso de madera de Sirari destaca por su acabado natural y estructura maciza, ideal para aportar calidez, resistencia y elegancia a cualquier ambiente interior. Fabricado bajo exigentes estándares de calidad (Primera) en Paraguay, posee un espesor de 3/4 de pulgada y un ancho de 5 pulgadas. Su formato de Parquet con un largo de 250 mm asegura una instalación clásica, estable y duradera, resaltando la belleza orgánica y las vetas propias de la madera.</v>
      </c>
    </row>
    <row r="46" ht="15.75" customHeight="1">
      <c r="H46" s="33"/>
      <c r="I46" s="33"/>
      <c r="M46" s="33"/>
      <c r="N46" s="33"/>
      <c r="O46" s="33"/>
      <c r="P46" s="33"/>
      <c r="Q46" s="33"/>
      <c r="R46" s="33"/>
      <c r="S46" s="33"/>
      <c r="T46" s="33"/>
      <c r="U46" s="33"/>
      <c r="V46" s="33"/>
      <c r="W46" s="33"/>
      <c r="X46" s="34"/>
      <c r="Y46" s="33"/>
      <c r="Z46" s="34"/>
      <c r="AA46" s="33"/>
    </row>
    <row r="47" ht="15.75" customHeight="1">
      <c r="H47" s="33"/>
      <c r="I47" s="33"/>
      <c r="M47" s="33"/>
      <c r="N47" s="33"/>
      <c r="O47" s="33"/>
      <c r="P47" s="33"/>
      <c r="Q47" s="33"/>
      <c r="R47" s="33"/>
      <c r="S47" s="33"/>
      <c r="T47" s="33"/>
      <c r="U47" s="33"/>
      <c r="V47" s="33"/>
      <c r="W47" s="33"/>
      <c r="X47" s="34"/>
      <c r="Y47" s="33"/>
      <c r="Z47" s="34"/>
      <c r="AA47" s="33"/>
    </row>
    <row r="48" ht="15.75" customHeight="1">
      <c r="H48" s="33"/>
      <c r="I48" s="33"/>
      <c r="M48" s="33"/>
      <c r="N48" s="33"/>
      <c r="O48" s="33"/>
      <c r="P48" s="33"/>
      <c r="Q48" s="33"/>
      <c r="R48" s="33"/>
      <c r="S48" s="33"/>
      <c r="T48" s="33"/>
      <c r="U48" s="33"/>
      <c r="V48" s="33"/>
      <c r="W48" s="33"/>
      <c r="X48" s="34"/>
      <c r="Y48" s="33"/>
      <c r="Z48" s="34"/>
      <c r="AA48" s="33"/>
    </row>
    <row r="49" ht="15.75" customHeight="1">
      <c r="H49" s="33"/>
      <c r="I49" s="33"/>
      <c r="M49" s="33"/>
      <c r="N49" s="33"/>
      <c r="O49" s="33"/>
      <c r="P49" s="33"/>
      <c r="Q49" s="33"/>
      <c r="R49" s="33"/>
      <c r="S49" s="33"/>
      <c r="T49" s="33"/>
      <c r="U49" s="33"/>
      <c r="V49" s="33"/>
      <c r="W49" s="33"/>
      <c r="X49" s="34"/>
      <c r="Y49" s="33"/>
      <c r="Z49" s="34"/>
      <c r="AA49" s="33"/>
    </row>
    <row r="50" ht="15.75" customHeight="1">
      <c r="H50" s="33"/>
      <c r="I50" s="33"/>
      <c r="M50" s="33"/>
      <c r="N50" s="33"/>
      <c r="O50" s="33"/>
      <c r="P50" s="33"/>
      <c r="Q50" s="33"/>
      <c r="R50" s="33"/>
      <c r="S50" s="33"/>
      <c r="T50" s="33"/>
      <c r="U50" s="33"/>
      <c r="V50" s="33"/>
      <c r="W50" s="33"/>
      <c r="X50" s="34"/>
      <c r="Y50" s="33"/>
      <c r="Z50" s="34"/>
      <c r="AA50" s="33"/>
    </row>
    <row r="51" ht="15.75" customHeight="1">
      <c r="H51" s="33"/>
      <c r="I51" s="33"/>
      <c r="M51" s="33"/>
      <c r="N51" s="33"/>
      <c r="O51" s="33"/>
      <c r="P51" s="33"/>
      <c r="Q51" s="33"/>
      <c r="R51" s="33"/>
      <c r="S51" s="33"/>
      <c r="T51" s="33"/>
      <c r="U51" s="33"/>
      <c r="V51" s="33"/>
      <c r="W51" s="33"/>
      <c r="X51" s="34"/>
      <c r="Y51" s="33"/>
      <c r="Z51" s="34"/>
      <c r="AA51" s="33"/>
    </row>
    <row r="52" ht="15.75" customHeight="1">
      <c r="H52" s="33"/>
      <c r="I52" s="33"/>
      <c r="M52" s="33"/>
      <c r="N52" s="33"/>
      <c r="O52" s="33"/>
      <c r="P52" s="33"/>
      <c r="Q52" s="33"/>
      <c r="R52" s="33"/>
      <c r="S52" s="33"/>
      <c r="T52" s="33"/>
      <c r="U52" s="33"/>
      <c r="V52" s="33"/>
      <c r="W52" s="33"/>
      <c r="X52" s="34"/>
      <c r="Y52" s="33"/>
      <c r="Z52" s="34"/>
      <c r="AA52" s="33"/>
    </row>
    <row r="53" ht="15.75" customHeight="1">
      <c r="H53" s="33"/>
      <c r="I53" s="33"/>
      <c r="M53" s="33"/>
      <c r="N53" s="33"/>
      <c r="O53" s="33"/>
      <c r="P53" s="33"/>
      <c r="Q53" s="33"/>
      <c r="R53" s="33"/>
      <c r="S53" s="33"/>
      <c r="T53" s="33"/>
      <c r="U53" s="33"/>
      <c r="V53" s="33"/>
      <c r="W53" s="33"/>
      <c r="X53" s="34"/>
      <c r="Y53" s="33"/>
      <c r="Z53" s="34"/>
      <c r="AA53" s="33"/>
    </row>
    <row r="54" ht="15.75" customHeight="1">
      <c r="H54" s="33"/>
      <c r="I54" s="33"/>
      <c r="M54" s="33"/>
      <c r="N54" s="33"/>
      <c r="O54" s="33"/>
      <c r="P54" s="33"/>
      <c r="Q54" s="33"/>
      <c r="R54" s="33"/>
      <c r="S54" s="33"/>
      <c r="T54" s="33"/>
      <c r="U54" s="33"/>
      <c r="V54" s="33"/>
      <c r="W54" s="33"/>
      <c r="X54" s="34"/>
      <c r="Y54" s="33"/>
      <c r="Z54" s="34"/>
      <c r="AA54" s="33"/>
    </row>
    <row r="55" ht="15.75" customHeight="1">
      <c r="H55" s="33"/>
      <c r="I55" s="33"/>
      <c r="M55" s="33"/>
      <c r="N55" s="33"/>
      <c r="O55" s="33"/>
      <c r="P55" s="33"/>
      <c r="Q55" s="33"/>
      <c r="R55" s="33"/>
      <c r="S55" s="33"/>
      <c r="T55" s="33"/>
      <c r="U55" s="33"/>
      <c r="V55" s="33"/>
      <c r="W55" s="33"/>
      <c r="X55" s="34"/>
      <c r="Y55" s="33"/>
      <c r="Z55" s="34"/>
      <c r="AA55" s="33"/>
    </row>
    <row r="56" ht="15.75" customHeight="1">
      <c r="H56" s="33"/>
      <c r="I56" s="33"/>
      <c r="M56" s="33"/>
      <c r="N56" s="33"/>
      <c r="O56" s="33"/>
      <c r="P56" s="33"/>
      <c r="Q56" s="33"/>
      <c r="R56" s="33"/>
      <c r="S56" s="33"/>
      <c r="T56" s="33"/>
      <c r="U56" s="33"/>
      <c r="V56" s="33"/>
      <c r="W56" s="33"/>
      <c r="X56" s="34"/>
      <c r="Y56" s="33"/>
      <c r="Z56" s="34"/>
      <c r="AA56" s="33"/>
    </row>
    <row r="57" ht="15.75" customHeight="1">
      <c r="H57" s="33"/>
      <c r="I57" s="33"/>
      <c r="M57" s="33"/>
      <c r="N57" s="33"/>
      <c r="O57" s="33"/>
      <c r="P57" s="33"/>
      <c r="Q57" s="33"/>
      <c r="R57" s="33"/>
      <c r="S57" s="33"/>
      <c r="T57" s="33"/>
      <c r="U57" s="33"/>
      <c r="V57" s="33"/>
      <c r="W57" s="33"/>
      <c r="X57" s="34"/>
      <c r="Y57" s="33"/>
      <c r="Z57" s="34"/>
      <c r="AA57" s="33"/>
    </row>
    <row r="58" ht="15.75" customHeight="1">
      <c r="H58" s="33"/>
      <c r="I58" s="33"/>
      <c r="M58" s="33"/>
      <c r="N58" s="33"/>
      <c r="O58" s="33"/>
      <c r="P58" s="33"/>
      <c r="Q58" s="33"/>
      <c r="R58" s="33"/>
      <c r="S58" s="33"/>
      <c r="T58" s="33"/>
      <c r="U58" s="33"/>
      <c r="V58" s="33"/>
      <c r="W58" s="33"/>
      <c r="X58" s="34"/>
      <c r="Y58" s="33"/>
      <c r="Z58" s="34"/>
      <c r="AA58" s="33"/>
    </row>
    <row r="59" ht="15.75" customHeight="1">
      <c r="H59" s="33"/>
      <c r="I59" s="33"/>
      <c r="M59" s="33"/>
      <c r="N59" s="33"/>
      <c r="O59" s="33"/>
      <c r="P59" s="33"/>
      <c r="Q59" s="33"/>
      <c r="R59" s="33"/>
      <c r="S59" s="33"/>
      <c r="T59" s="33"/>
      <c r="U59" s="33"/>
      <c r="V59" s="33"/>
      <c r="W59" s="33"/>
      <c r="X59" s="34"/>
      <c r="Y59" s="33"/>
      <c r="Z59" s="34"/>
      <c r="AA59" s="33"/>
    </row>
    <row r="60" ht="15.75" customHeight="1">
      <c r="H60" s="33"/>
      <c r="I60" s="33"/>
      <c r="M60" s="33"/>
      <c r="N60" s="33"/>
      <c r="O60" s="33"/>
      <c r="P60" s="33"/>
      <c r="Q60" s="33"/>
      <c r="R60" s="33"/>
      <c r="S60" s="33"/>
      <c r="T60" s="33"/>
      <c r="U60" s="33"/>
      <c r="V60" s="33"/>
      <c r="W60" s="33"/>
      <c r="X60" s="34"/>
      <c r="Y60" s="33"/>
      <c r="Z60" s="34"/>
      <c r="AA60" s="33"/>
    </row>
    <row r="61" ht="15.75" customHeight="1">
      <c r="H61" s="33"/>
      <c r="I61" s="33"/>
      <c r="M61" s="33"/>
      <c r="N61" s="33"/>
      <c r="O61" s="33"/>
      <c r="P61" s="33"/>
      <c r="Q61" s="33"/>
      <c r="R61" s="33"/>
      <c r="S61" s="33"/>
      <c r="T61" s="33"/>
      <c r="U61" s="33"/>
      <c r="V61" s="33"/>
      <c r="W61" s="33"/>
      <c r="X61" s="34"/>
      <c r="Y61" s="33"/>
      <c r="Z61" s="34"/>
      <c r="AA61" s="33"/>
    </row>
    <row r="62" ht="15.75" customHeight="1">
      <c r="H62" s="33"/>
      <c r="I62" s="33"/>
      <c r="M62" s="33"/>
      <c r="N62" s="33"/>
      <c r="O62" s="33"/>
      <c r="P62" s="33"/>
      <c r="Q62" s="33"/>
      <c r="R62" s="33"/>
      <c r="S62" s="33"/>
      <c r="T62" s="33"/>
      <c r="U62" s="33"/>
      <c r="V62" s="33"/>
      <c r="W62" s="33"/>
      <c r="X62" s="34"/>
      <c r="Y62" s="33"/>
      <c r="Z62" s="34"/>
      <c r="AA62" s="33"/>
    </row>
    <row r="63" ht="15.75" customHeight="1">
      <c r="H63" s="33"/>
      <c r="I63" s="33"/>
      <c r="M63" s="33"/>
      <c r="N63" s="33"/>
      <c r="O63" s="33"/>
      <c r="P63" s="33"/>
      <c r="Q63" s="33"/>
      <c r="R63" s="33"/>
      <c r="S63" s="33"/>
      <c r="T63" s="33"/>
      <c r="U63" s="33"/>
      <c r="V63" s="33"/>
      <c r="W63" s="33"/>
      <c r="X63" s="34"/>
      <c r="Y63" s="33"/>
      <c r="Z63" s="34"/>
      <c r="AA63" s="33"/>
    </row>
    <row r="64" ht="15.75" customHeight="1">
      <c r="H64" s="33"/>
      <c r="I64" s="33"/>
      <c r="M64" s="33"/>
      <c r="N64" s="33"/>
      <c r="O64" s="33"/>
      <c r="P64" s="33"/>
      <c r="Q64" s="33"/>
      <c r="R64" s="33"/>
      <c r="S64" s="33"/>
      <c r="T64" s="33"/>
      <c r="U64" s="33"/>
      <c r="V64" s="33"/>
      <c r="W64" s="33"/>
      <c r="X64" s="34"/>
      <c r="Y64" s="33"/>
      <c r="Z64" s="34"/>
      <c r="AA64" s="33"/>
    </row>
    <row r="65" ht="15.75" customHeight="1">
      <c r="H65" s="33"/>
      <c r="I65" s="33"/>
      <c r="M65" s="33"/>
      <c r="N65" s="33"/>
      <c r="O65" s="33"/>
      <c r="P65" s="33"/>
      <c r="Q65" s="33"/>
      <c r="R65" s="33"/>
      <c r="S65" s="33"/>
      <c r="T65" s="33"/>
      <c r="U65" s="33"/>
      <c r="V65" s="33"/>
      <c r="W65" s="33"/>
      <c r="X65" s="34"/>
      <c r="Y65" s="33"/>
      <c r="Z65" s="34"/>
      <c r="AA65" s="33"/>
    </row>
    <row r="66" ht="15.75" customHeight="1">
      <c r="H66" s="33"/>
      <c r="I66" s="33"/>
      <c r="M66" s="33"/>
      <c r="N66" s="33"/>
      <c r="O66" s="33"/>
      <c r="P66" s="33"/>
      <c r="Q66" s="33"/>
      <c r="R66" s="33"/>
      <c r="S66" s="33"/>
      <c r="T66" s="33"/>
      <c r="U66" s="33"/>
      <c r="V66" s="33"/>
      <c r="W66" s="33"/>
      <c r="X66" s="34"/>
      <c r="Y66" s="33"/>
      <c r="Z66" s="34"/>
      <c r="AA66" s="33"/>
    </row>
    <row r="67" ht="15.75" customHeight="1">
      <c r="H67" s="33"/>
      <c r="I67" s="33"/>
      <c r="M67" s="33"/>
      <c r="N67" s="33"/>
      <c r="O67" s="33"/>
      <c r="P67" s="33"/>
      <c r="Q67" s="33"/>
      <c r="R67" s="33"/>
      <c r="S67" s="33"/>
      <c r="T67" s="33"/>
      <c r="U67" s="33"/>
      <c r="V67" s="33"/>
      <c r="W67" s="33"/>
      <c r="X67" s="34"/>
      <c r="Y67" s="33"/>
      <c r="Z67" s="34"/>
      <c r="AA67" s="33"/>
    </row>
    <row r="68" ht="15.75" customHeight="1">
      <c r="H68" s="33"/>
      <c r="I68" s="33"/>
      <c r="M68" s="33"/>
      <c r="N68" s="33"/>
      <c r="O68" s="33"/>
      <c r="P68" s="33"/>
      <c r="Q68" s="33"/>
      <c r="R68" s="33"/>
      <c r="S68" s="33"/>
      <c r="T68" s="33"/>
      <c r="U68" s="33"/>
      <c r="V68" s="33"/>
      <c r="W68" s="33"/>
      <c r="X68" s="34"/>
      <c r="Y68" s="33"/>
      <c r="Z68" s="34"/>
      <c r="AA68" s="33"/>
    </row>
    <row r="69" ht="15.75" customHeight="1">
      <c r="H69" s="33"/>
      <c r="I69" s="33"/>
      <c r="M69" s="33"/>
      <c r="N69" s="33"/>
      <c r="O69" s="33"/>
      <c r="P69" s="33"/>
      <c r="Q69" s="33"/>
      <c r="R69" s="33"/>
      <c r="S69" s="33"/>
      <c r="T69" s="33"/>
      <c r="U69" s="33"/>
      <c r="V69" s="33"/>
      <c r="W69" s="33"/>
      <c r="X69" s="34"/>
      <c r="Y69" s="33"/>
      <c r="Z69" s="34"/>
      <c r="AA69" s="33"/>
    </row>
    <row r="70" ht="15.75" customHeight="1">
      <c r="H70" s="33"/>
      <c r="I70" s="33"/>
      <c r="M70" s="33"/>
      <c r="N70" s="33"/>
      <c r="O70" s="33"/>
      <c r="P70" s="33"/>
      <c r="Q70" s="33"/>
      <c r="R70" s="33"/>
      <c r="S70" s="33"/>
      <c r="T70" s="33"/>
      <c r="U70" s="33"/>
      <c r="V70" s="33"/>
      <c r="W70" s="33"/>
      <c r="X70" s="34"/>
      <c r="Y70" s="33"/>
      <c r="Z70" s="34"/>
      <c r="AA70" s="33"/>
    </row>
    <row r="71" ht="15.75" customHeight="1">
      <c r="H71" s="33"/>
      <c r="I71" s="33"/>
      <c r="M71" s="33"/>
      <c r="N71" s="33"/>
      <c r="O71" s="33"/>
      <c r="P71" s="33"/>
      <c r="Q71" s="33"/>
      <c r="R71" s="33"/>
      <c r="S71" s="33"/>
      <c r="T71" s="33"/>
      <c r="U71" s="33"/>
      <c r="V71" s="33"/>
      <c r="W71" s="33"/>
      <c r="X71" s="34"/>
      <c r="Y71" s="33"/>
      <c r="Z71" s="34"/>
      <c r="AA71" s="33"/>
    </row>
    <row r="72" ht="15.75" customHeight="1">
      <c r="H72" s="33"/>
      <c r="I72" s="33"/>
      <c r="M72" s="33"/>
      <c r="N72" s="33"/>
      <c r="O72" s="33"/>
      <c r="P72" s="33"/>
      <c r="Q72" s="33"/>
      <c r="R72" s="33"/>
      <c r="S72" s="33"/>
      <c r="T72" s="33"/>
      <c r="U72" s="33"/>
      <c r="V72" s="33"/>
      <c r="W72" s="33"/>
      <c r="X72" s="34"/>
      <c r="Y72" s="33"/>
      <c r="Z72" s="34"/>
      <c r="AA72" s="33"/>
    </row>
    <row r="73" ht="15.75" customHeight="1">
      <c r="H73" s="33"/>
      <c r="I73" s="33"/>
      <c r="M73" s="33"/>
      <c r="N73" s="33"/>
      <c r="O73" s="33"/>
      <c r="P73" s="33"/>
      <c r="Q73" s="33"/>
      <c r="R73" s="33"/>
      <c r="S73" s="33"/>
      <c r="T73" s="33"/>
      <c r="U73" s="33"/>
      <c r="V73" s="33"/>
      <c r="W73" s="33"/>
      <c r="X73" s="34"/>
      <c r="Y73" s="33"/>
      <c r="Z73" s="34"/>
      <c r="AA73" s="33"/>
    </row>
    <row r="74" ht="15.75" customHeight="1">
      <c r="H74" s="33"/>
      <c r="I74" s="33"/>
      <c r="M74" s="33"/>
      <c r="N74" s="33"/>
      <c r="O74" s="33"/>
      <c r="P74" s="33"/>
      <c r="Q74" s="33"/>
      <c r="R74" s="33"/>
      <c r="S74" s="33"/>
      <c r="T74" s="33"/>
      <c r="U74" s="33"/>
      <c r="V74" s="33"/>
      <c r="W74" s="33"/>
      <c r="X74" s="34"/>
      <c r="Y74" s="33"/>
      <c r="Z74" s="34"/>
      <c r="AA74" s="33"/>
    </row>
    <row r="75" ht="15.75" customHeight="1">
      <c r="H75" s="33"/>
      <c r="I75" s="33"/>
      <c r="M75" s="33"/>
      <c r="N75" s="33"/>
      <c r="O75" s="33"/>
      <c r="P75" s="33"/>
      <c r="Q75" s="33"/>
      <c r="R75" s="33"/>
      <c r="S75" s="33"/>
      <c r="T75" s="33"/>
      <c r="U75" s="33"/>
      <c r="V75" s="33"/>
      <c r="W75" s="33"/>
      <c r="X75" s="34"/>
      <c r="Y75" s="33"/>
      <c r="Z75" s="34"/>
      <c r="AA75" s="33"/>
    </row>
    <row r="76" ht="15.75" customHeight="1">
      <c r="H76" s="33"/>
      <c r="I76" s="33"/>
      <c r="M76" s="33"/>
      <c r="N76" s="33"/>
      <c r="O76" s="33"/>
      <c r="P76" s="33"/>
      <c r="Q76" s="33"/>
      <c r="R76" s="33"/>
      <c r="S76" s="33"/>
      <c r="T76" s="33"/>
      <c r="U76" s="33"/>
      <c r="V76" s="33"/>
      <c r="W76" s="33"/>
      <c r="X76" s="34"/>
      <c r="Y76" s="33"/>
      <c r="Z76" s="34"/>
      <c r="AA76" s="33"/>
    </row>
    <row r="77" ht="15.75" customHeight="1">
      <c r="H77" s="33"/>
      <c r="I77" s="33"/>
      <c r="M77" s="33"/>
      <c r="N77" s="33"/>
      <c r="O77" s="33"/>
      <c r="P77" s="33"/>
      <c r="Q77" s="33"/>
      <c r="R77" s="33"/>
      <c r="S77" s="33"/>
      <c r="T77" s="33"/>
      <c r="U77" s="33"/>
      <c r="V77" s="33"/>
      <c r="W77" s="33"/>
      <c r="X77" s="34"/>
      <c r="Y77" s="33"/>
      <c r="Z77" s="34"/>
      <c r="AA77" s="33"/>
    </row>
    <row r="78" ht="15.75" customHeight="1">
      <c r="H78" s="33"/>
      <c r="I78" s="33"/>
      <c r="M78" s="33"/>
      <c r="N78" s="33"/>
      <c r="O78" s="33"/>
      <c r="P78" s="33"/>
      <c r="Q78" s="33"/>
      <c r="R78" s="33"/>
      <c r="S78" s="33"/>
      <c r="T78" s="33"/>
      <c r="U78" s="33"/>
      <c r="V78" s="33"/>
      <c r="W78" s="33"/>
      <c r="X78" s="34"/>
      <c r="Y78" s="33"/>
      <c r="Z78" s="34"/>
      <c r="AA78" s="33"/>
    </row>
    <row r="79" ht="15.75" customHeight="1">
      <c r="H79" s="33"/>
      <c r="I79" s="33"/>
      <c r="M79" s="33"/>
      <c r="N79" s="33"/>
      <c r="O79" s="33"/>
      <c r="P79" s="33"/>
      <c r="Q79" s="33"/>
      <c r="R79" s="33"/>
      <c r="S79" s="33"/>
      <c r="T79" s="33"/>
      <c r="U79" s="33"/>
      <c r="V79" s="33"/>
      <c r="W79" s="33"/>
      <c r="X79" s="34"/>
      <c r="Y79" s="33"/>
      <c r="Z79" s="34"/>
      <c r="AA79" s="33"/>
    </row>
    <row r="80" ht="15.75" customHeight="1">
      <c r="H80" s="33"/>
      <c r="I80" s="33"/>
      <c r="M80" s="33"/>
      <c r="N80" s="33"/>
      <c r="O80" s="33"/>
      <c r="P80" s="33"/>
      <c r="Q80" s="33"/>
      <c r="R80" s="33"/>
      <c r="S80" s="33"/>
      <c r="T80" s="33"/>
      <c r="U80" s="33"/>
      <c r="V80" s="33"/>
      <c r="W80" s="33"/>
      <c r="X80" s="34"/>
      <c r="Y80" s="33"/>
      <c r="Z80" s="34"/>
      <c r="AA80" s="33"/>
    </row>
    <row r="81" ht="15.75" customHeight="1">
      <c r="H81" s="33"/>
      <c r="I81" s="33"/>
      <c r="M81" s="33"/>
      <c r="N81" s="33"/>
      <c r="O81" s="33"/>
      <c r="P81" s="33"/>
      <c r="Q81" s="33"/>
      <c r="R81" s="33"/>
      <c r="S81" s="33"/>
      <c r="T81" s="33"/>
      <c r="U81" s="33"/>
      <c r="V81" s="33"/>
      <c r="W81" s="33"/>
      <c r="X81" s="34"/>
      <c r="Y81" s="33"/>
      <c r="Z81" s="34"/>
      <c r="AA81" s="33"/>
    </row>
    <row r="82" ht="15.75" customHeight="1">
      <c r="H82" s="33"/>
      <c r="I82" s="33"/>
      <c r="M82" s="33"/>
      <c r="N82" s="33"/>
      <c r="O82" s="33"/>
      <c r="P82" s="33"/>
      <c r="Q82" s="33"/>
      <c r="R82" s="33"/>
      <c r="S82" s="33"/>
      <c r="T82" s="33"/>
      <c r="U82" s="33"/>
      <c r="V82" s="33"/>
      <c r="W82" s="33"/>
      <c r="X82" s="34"/>
      <c r="Y82" s="33"/>
      <c r="Z82" s="34"/>
      <c r="AA82" s="33"/>
    </row>
    <row r="83" ht="15.75" customHeight="1">
      <c r="H83" s="33"/>
      <c r="I83" s="33"/>
      <c r="M83" s="33"/>
      <c r="N83" s="33"/>
      <c r="O83" s="33"/>
      <c r="P83" s="33"/>
      <c r="Q83" s="33"/>
      <c r="R83" s="33"/>
      <c r="S83" s="33"/>
      <c r="T83" s="33"/>
      <c r="U83" s="33"/>
      <c r="V83" s="33"/>
      <c r="W83" s="33"/>
      <c r="X83" s="34"/>
      <c r="Y83" s="33"/>
      <c r="Z83" s="34"/>
      <c r="AA83" s="33"/>
    </row>
    <row r="84" ht="15.75" customHeight="1">
      <c r="H84" s="33"/>
      <c r="I84" s="33"/>
      <c r="M84" s="33"/>
      <c r="N84" s="33"/>
      <c r="O84" s="33"/>
      <c r="P84" s="33"/>
      <c r="Q84" s="33"/>
      <c r="R84" s="33"/>
      <c r="S84" s="33"/>
      <c r="T84" s="33"/>
      <c r="U84" s="33"/>
      <c r="V84" s="33"/>
      <c r="W84" s="33"/>
      <c r="X84" s="34"/>
      <c r="Y84" s="33"/>
      <c r="Z84" s="34"/>
      <c r="AA84" s="33"/>
    </row>
    <row r="85" ht="15.75" customHeight="1">
      <c r="H85" s="33"/>
      <c r="I85" s="33"/>
      <c r="M85" s="33"/>
      <c r="N85" s="33"/>
      <c r="O85" s="33"/>
      <c r="P85" s="33"/>
      <c r="Q85" s="33"/>
      <c r="R85" s="33"/>
      <c r="S85" s="33"/>
      <c r="T85" s="33"/>
      <c r="U85" s="33"/>
      <c r="V85" s="33"/>
      <c r="W85" s="33"/>
      <c r="X85" s="34"/>
      <c r="Y85" s="33"/>
      <c r="Z85" s="34"/>
      <c r="AA85" s="33"/>
    </row>
    <row r="86" ht="15.75" customHeight="1">
      <c r="H86" s="33"/>
      <c r="I86" s="33"/>
      <c r="M86" s="33"/>
      <c r="N86" s="33"/>
      <c r="O86" s="33"/>
      <c r="P86" s="33"/>
      <c r="Q86" s="33"/>
      <c r="R86" s="33"/>
      <c r="S86" s="33"/>
      <c r="T86" s="33"/>
      <c r="U86" s="33"/>
      <c r="V86" s="33"/>
      <c r="W86" s="33"/>
      <c r="X86" s="34"/>
      <c r="Y86" s="33"/>
      <c r="Z86" s="34"/>
      <c r="AA86" s="33"/>
    </row>
    <row r="87" ht="15.75" customHeight="1">
      <c r="H87" s="33"/>
      <c r="I87" s="33"/>
      <c r="M87" s="33"/>
      <c r="N87" s="33"/>
      <c r="O87" s="33"/>
      <c r="P87" s="33"/>
      <c r="Q87" s="33"/>
      <c r="R87" s="33"/>
      <c r="S87" s="33"/>
      <c r="T87" s="33"/>
      <c r="U87" s="33"/>
      <c r="V87" s="33"/>
      <c r="W87" s="33"/>
      <c r="X87" s="34"/>
      <c r="Y87" s="33"/>
      <c r="Z87" s="34"/>
      <c r="AA87" s="33"/>
    </row>
    <row r="88" ht="15.75" customHeight="1">
      <c r="H88" s="33"/>
      <c r="I88" s="33"/>
      <c r="M88" s="33"/>
      <c r="N88" s="33"/>
      <c r="O88" s="33"/>
      <c r="P88" s="33"/>
      <c r="Q88" s="33"/>
      <c r="R88" s="33"/>
      <c r="S88" s="33"/>
      <c r="T88" s="33"/>
      <c r="U88" s="33"/>
      <c r="V88" s="33"/>
      <c r="W88" s="33"/>
      <c r="X88" s="34"/>
      <c r="Y88" s="33"/>
      <c r="Z88" s="34"/>
      <c r="AA88" s="33"/>
    </row>
    <row r="89" ht="15.75" customHeight="1">
      <c r="H89" s="33"/>
      <c r="I89" s="33"/>
      <c r="M89" s="33"/>
      <c r="N89" s="33"/>
      <c r="O89" s="33"/>
      <c r="P89" s="33"/>
      <c r="Q89" s="33"/>
      <c r="R89" s="33"/>
      <c r="S89" s="33"/>
      <c r="T89" s="33"/>
      <c r="U89" s="33"/>
      <c r="V89" s="33"/>
      <c r="W89" s="33"/>
      <c r="X89" s="34"/>
      <c r="Y89" s="33"/>
      <c r="Z89" s="34"/>
      <c r="AA89" s="33"/>
    </row>
    <row r="90" ht="15.75" customHeight="1">
      <c r="H90" s="33"/>
      <c r="I90" s="33"/>
      <c r="M90" s="33"/>
      <c r="N90" s="33"/>
      <c r="O90" s="33"/>
      <c r="P90" s="33"/>
      <c r="Q90" s="33"/>
      <c r="R90" s="33"/>
      <c r="S90" s="33"/>
      <c r="T90" s="33"/>
      <c r="U90" s="33"/>
      <c r="V90" s="33"/>
      <c r="W90" s="33"/>
      <c r="X90" s="34"/>
      <c r="Y90" s="33"/>
      <c r="Z90" s="34"/>
      <c r="AA90" s="33"/>
    </row>
    <row r="91" ht="15.75" customHeight="1">
      <c r="H91" s="33"/>
      <c r="I91" s="33"/>
      <c r="M91" s="33"/>
      <c r="N91" s="33"/>
      <c r="O91" s="33"/>
      <c r="P91" s="33"/>
      <c r="Q91" s="33"/>
      <c r="R91" s="33"/>
      <c r="S91" s="33"/>
      <c r="T91" s="33"/>
      <c r="U91" s="33"/>
      <c r="V91" s="33"/>
      <c r="W91" s="33"/>
      <c r="X91" s="34"/>
      <c r="Y91" s="33"/>
      <c r="Z91" s="34"/>
      <c r="AA91" s="33"/>
    </row>
    <row r="92" ht="15.75" customHeight="1">
      <c r="H92" s="33"/>
      <c r="I92" s="33"/>
      <c r="M92" s="33"/>
      <c r="N92" s="33"/>
      <c r="O92" s="33"/>
      <c r="P92" s="33"/>
      <c r="Q92" s="33"/>
      <c r="R92" s="33"/>
      <c r="S92" s="33"/>
      <c r="T92" s="33"/>
      <c r="U92" s="33"/>
      <c r="V92" s="33"/>
      <c r="W92" s="33"/>
      <c r="X92" s="34"/>
      <c r="Y92" s="33"/>
      <c r="Z92" s="34"/>
      <c r="AA92" s="33"/>
    </row>
    <row r="93" ht="15.75" customHeight="1">
      <c r="H93" s="33"/>
      <c r="I93" s="33"/>
      <c r="M93" s="33"/>
      <c r="N93" s="33"/>
      <c r="O93" s="33"/>
      <c r="P93" s="33"/>
      <c r="Q93" s="33"/>
      <c r="R93" s="33"/>
      <c r="S93" s="33"/>
      <c r="T93" s="33"/>
      <c r="U93" s="33"/>
      <c r="V93" s="33"/>
      <c r="W93" s="33"/>
      <c r="X93" s="34"/>
      <c r="Y93" s="33"/>
      <c r="Z93" s="34"/>
      <c r="AA93" s="33"/>
    </row>
    <row r="94" ht="15.75" customHeight="1">
      <c r="H94" s="33"/>
      <c r="I94" s="33"/>
      <c r="M94" s="33"/>
      <c r="N94" s="33"/>
      <c r="O94" s="33"/>
      <c r="P94" s="33"/>
      <c r="Q94" s="33"/>
      <c r="R94" s="33"/>
      <c r="S94" s="33"/>
      <c r="T94" s="33"/>
      <c r="U94" s="33"/>
      <c r="V94" s="33"/>
      <c r="W94" s="33"/>
      <c r="X94" s="34"/>
      <c r="Y94" s="33"/>
      <c r="Z94" s="34"/>
      <c r="AA94" s="33"/>
    </row>
    <row r="95" ht="15.75" customHeight="1">
      <c r="H95" s="33"/>
      <c r="I95" s="33"/>
      <c r="M95" s="33"/>
      <c r="N95" s="33"/>
      <c r="O95" s="33"/>
      <c r="P95" s="33"/>
      <c r="Q95" s="33"/>
      <c r="R95" s="33"/>
      <c r="S95" s="33"/>
      <c r="T95" s="33"/>
      <c r="U95" s="33"/>
      <c r="V95" s="33"/>
      <c r="W95" s="33"/>
      <c r="X95" s="34"/>
      <c r="Y95" s="33"/>
      <c r="Z95" s="34"/>
      <c r="AA95" s="33"/>
    </row>
    <row r="96" ht="15.75" customHeight="1">
      <c r="H96" s="33"/>
      <c r="I96" s="33"/>
      <c r="M96" s="33"/>
      <c r="N96" s="33"/>
      <c r="O96" s="33"/>
      <c r="P96" s="33"/>
      <c r="Q96" s="33"/>
      <c r="R96" s="33"/>
      <c r="S96" s="33"/>
      <c r="T96" s="33"/>
      <c r="U96" s="33"/>
      <c r="V96" s="33"/>
      <c r="W96" s="33"/>
      <c r="X96" s="34"/>
      <c r="Y96" s="33"/>
      <c r="Z96" s="34"/>
      <c r="AA96" s="33"/>
    </row>
    <row r="97" ht="15.75" customHeight="1">
      <c r="H97" s="33"/>
      <c r="I97" s="33"/>
      <c r="M97" s="33"/>
      <c r="N97" s="33"/>
      <c r="O97" s="33"/>
      <c r="P97" s="33"/>
      <c r="Q97" s="33"/>
      <c r="R97" s="33"/>
      <c r="S97" s="33"/>
      <c r="T97" s="33"/>
      <c r="U97" s="33"/>
      <c r="V97" s="33"/>
      <c r="W97" s="33"/>
      <c r="X97" s="34"/>
      <c r="Y97" s="33"/>
      <c r="Z97" s="34"/>
      <c r="AA97" s="33"/>
    </row>
    <row r="98" ht="15.75" customHeight="1">
      <c r="H98" s="33"/>
      <c r="I98" s="33"/>
      <c r="M98" s="33"/>
      <c r="N98" s="33"/>
      <c r="O98" s="33"/>
      <c r="P98" s="33"/>
      <c r="Q98" s="33"/>
      <c r="R98" s="33"/>
      <c r="S98" s="33"/>
      <c r="T98" s="33"/>
      <c r="U98" s="33"/>
      <c r="V98" s="33"/>
      <c r="W98" s="33"/>
      <c r="X98" s="34"/>
      <c r="Y98" s="33"/>
      <c r="Z98" s="34"/>
      <c r="AA98" s="33"/>
    </row>
    <row r="99" ht="15.75" customHeight="1">
      <c r="H99" s="33"/>
      <c r="I99" s="33"/>
      <c r="M99" s="33"/>
      <c r="N99" s="33"/>
      <c r="O99" s="33"/>
      <c r="P99" s="33"/>
      <c r="Q99" s="33"/>
      <c r="R99" s="33"/>
      <c r="S99" s="33"/>
      <c r="T99" s="33"/>
      <c r="U99" s="33"/>
      <c r="V99" s="33"/>
      <c r="W99" s="33"/>
      <c r="X99" s="34"/>
      <c r="Y99" s="33"/>
      <c r="Z99" s="34"/>
      <c r="AA99" s="33"/>
    </row>
    <row r="100" ht="15.75" customHeight="1">
      <c r="H100" s="33"/>
      <c r="I100" s="33"/>
      <c r="M100" s="33"/>
      <c r="N100" s="33"/>
      <c r="O100" s="33"/>
      <c r="P100" s="33"/>
      <c r="Q100" s="33"/>
      <c r="R100" s="33"/>
      <c r="S100" s="33"/>
      <c r="T100" s="33"/>
      <c r="U100" s="33"/>
      <c r="V100" s="33"/>
      <c r="W100" s="33"/>
      <c r="X100" s="34"/>
      <c r="Y100" s="33"/>
      <c r="Z100" s="34"/>
      <c r="AA100" s="33"/>
    </row>
    <row r="101" ht="15.75" customHeight="1">
      <c r="H101" s="33"/>
      <c r="I101" s="33"/>
      <c r="M101" s="33"/>
      <c r="N101" s="33"/>
      <c r="O101" s="33"/>
      <c r="P101" s="33"/>
      <c r="Q101" s="33"/>
      <c r="R101" s="33"/>
      <c r="S101" s="33"/>
      <c r="T101" s="33"/>
      <c r="U101" s="33"/>
      <c r="V101" s="33"/>
      <c r="W101" s="33"/>
      <c r="X101" s="34"/>
      <c r="Y101" s="33"/>
      <c r="Z101" s="34"/>
      <c r="AA101" s="33"/>
    </row>
    <row r="102" ht="15.75" customHeight="1">
      <c r="H102" s="33"/>
      <c r="I102" s="33"/>
      <c r="M102" s="33"/>
      <c r="N102" s="33"/>
      <c r="O102" s="33"/>
      <c r="P102" s="33"/>
      <c r="Q102" s="33"/>
      <c r="R102" s="33"/>
      <c r="S102" s="33"/>
      <c r="T102" s="33"/>
      <c r="U102" s="33"/>
      <c r="V102" s="33"/>
      <c r="W102" s="33"/>
      <c r="X102" s="34"/>
      <c r="Y102" s="33"/>
      <c r="Z102" s="34"/>
      <c r="AA102" s="33"/>
    </row>
    <row r="103" ht="15.75" customHeight="1">
      <c r="H103" s="33"/>
      <c r="I103" s="33"/>
      <c r="M103" s="33"/>
      <c r="N103" s="33"/>
      <c r="O103" s="33"/>
      <c r="P103" s="33"/>
      <c r="Q103" s="33"/>
      <c r="R103" s="33"/>
      <c r="S103" s="33"/>
      <c r="T103" s="33"/>
      <c r="U103" s="33"/>
      <c r="V103" s="33"/>
      <c r="W103" s="33"/>
      <c r="X103" s="34"/>
      <c r="Y103" s="33"/>
      <c r="Z103" s="34"/>
      <c r="AA103" s="33"/>
    </row>
    <row r="104" ht="15.75" customHeight="1">
      <c r="H104" s="33"/>
      <c r="I104" s="33"/>
      <c r="M104" s="33"/>
      <c r="N104" s="33"/>
      <c r="O104" s="33"/>
      <c r="P104" s="33"/>
      <c r="Q104" s="33"/>
      <c r="R104" s="33"/>
      <c r="S104" s="33"/>
      <c r="T104" s="33"/>
      <c r="U104" s="33"/>
      <c r="V104" s="33"/>
      <c r="W104" s="33"/>
      <c r="X104" s="34"/>
      <c r="Y104" s="33"/>
      <c r="Z104" s="34"/>
      <c r="AA104" s="33"/>
    </row>
    <row r="105" ht="15.75" customHeight="1">
      <c r="H105" s="33"/>
      <c r="I105" s="33"/>
      <c r="M105" s="33"/>
      <c r="N105" s="33"/>
      <c r="O105" s="33"/>
      <c r="P105" s="33"/>
      <c r="Q105" s="33"/>
      <c r="R105" s="33"/>
      <c r="S105" s="33"/>
      <c r="T105" s="33"/>
      <c r="U105" s="33"/>
      <c r="V105" s="33"/>
      <c r="W105" s="33"/>
      <c r="X105" s="34"/>
      <c r="Y105" s="33"/>
      <c r="Z105" s="34"/>
      <c r="AA105" s="33"/>
    </row>
    <row r="106" ht="15.75" customHeight="1">
      <c r="H106" s="33"/>
      <c r="I106" s="33"/>
      <c r="M106" s="33"/>
      <c r="N106" s="33"/>
      <c r="O106" s="33"/>
      <c r="P106" s="33"/>
      <c r="Q106" s="33"/>
      <c r="R106" s="33"/>
      <c r="S106" s="33"/>
      <c r="T106" s="33"/>
      <c r="U106" s="33"/>
      <c r="V106" s="33"/>
      <c r="W106" s="33"/>
      <c r="X106" s="34"/>
      <c r="Y106" s="33"/>
      <c r="Z106" s="34"/>
      <c r="AA106" s="33"/>
    </row>
    <row r="107" ht="15.75" customHeight="1">
      <c r="H107" s="33"/>
      <c r="I107" s="33"/>
      <c r="M107" s="33"/>
      <c r="N107" s="33"/>
      <c r="O107" s="33"/>
      <c r="P107" s="33"/>
      <c r="Q107" s="33"/>
      <c r="R107" s="33"/>
      <c r="S107" s="33"/>
      <c r="T107" s="33"/>
      <c r="U107" s="33"/>
      <c r="V107" s="33"/>
      <c r="W107" s="33"/>
      <c r="X107" s="34"/>
      <c r="Y107" s="33"/>
      <c r="Z107" s="34"/>
      <c r="AA107" s="33"/>
    </row>
    <row r="108" ht="15.75" customHeight="1">
      <c r="H108" s="33"/>
      <c r="I108" s="33"/>
      <c r="M108" s="33"/>
      <c r="N108" s="33"/>
      <c r="O108" s="33"/>
      <c r="P108" s="33"/>
      <c r="Q108" s="33"/>
      <c r="R108" s="33"/>
      <c r="S108" s="33"/>
      <c r="T108" s="33"/>
      <c r="U108" s="33"/>
      <c r="V108" s="33"/>
      <c r="W108" s="33"/>
      <c r="X108" s="34"/>
      <c r="Y108" s="33"/>
      <c r="Z108" s="34"/>
      <c r="AA108" s="33"/>
    </row>
    <row r="109" ht="15.75" customHeight="1">
      <c r="H109" s="33"/>
      <c r="I109" s="33"/>
      <c r="M109" s="33"/>
      <c r="N109" s="33"/>
      <c r="O109" s="33"/>
      <c r="P109" s="33"/>
      <c r="Q109" s="33"/>
      <c r="R109" s="33"/>
      <c r="S109" s="33"/>
      <c r="T109" s="33"/>
      <c r="U109" s="33"/>
      <c r="V109" s="33"/>
      <c r="W109" s="33"/>
      <c r="X109" s="34"/>
      <c r="Y109" s="33"/>
      <c r="Z109" s="34"/>
      <c r="AA109" s="33"/>
    </row>
    <row r="110" ht="15.75" customHeight="1">
      <c r="H110" s="33"/>
      <c r="I110" s="33"/>
      <c r="M110" s="33"/>
      <c r="N110" s="33"/>
      <c r="O110" s="33"/>
      <c r="P110" s="33"/>
      <c r="Q110" s="33"/>
      <c r="R110" s="33"/>
      <c r="S110" s="33"/>
      <c r="T110" s="33"/>
      <c r="U110" s="33"/>
      <c r="V110" s="33"/>
      <c r="W110" s="33"/>
      <c r="X110" s="34"/>
      <c r="Y110" s="33"/>
      <c r="Z110" s="34"/>
      <c r="AA110" s="33"/>
    </row>
    <row r="111" ht="15.75" customHeight="1">
      <c r="H111" s="33"/>
      <c r="I111" s="33"/>
      <c r="M111" s="33"/>
      <c r="N111" s="33"/>
      <c r="O111" s="33"/>
      <c r="P111" s="33"/>
      <c r="Q111" s="33"/>
      <c r="R111" s="33"/>
      <c r="S111" s="33"/>
      <c r="T111" s="33"/>
      <c r="U111" s="33"/>
      <c r="V111" s="33"/>
      <c r="W111" s="33"/>
      <c r="X111" s="34"/>
      <c r="Y111" s="33"/>
      <c r="Z111" s="34"/>
      <c r="AA111" s="33"/>
    </row>
    <row r="112" ht="15.75" customHeight="1">
      <c r="H112" s="33"/>
      <c r="I112" s="33"/>
      <c r="M112" s="33"/>
      <c r="N112" s="33"/>
      <c r="O112" s="33"/>
      <c r="P112" s="33"/>
      <c r="Q112" s="33"/>
      <c r="R112" s="33"/>
      <c r="S112" s="33"/>
      <c r="T112" s="33"/>
      <c r="U112" s="33"/>
      <c r="V112" s="33"/>
      <c r="W112" s="33"/>
      <c r="X112" s="34"/>
      <c r="Y112" s="33"/>
      <c r="Z112" s="34"/>
      <c r="AA112" s="33"/>
    </row>
    <row r="113" ht="15.75" customHeight="1">
      <c r="H113" s="33"/>
      <c r="I113" s="33"/>
      <c r="M113" s="33"/>
      <c r="N113" s="33"/>
      <c r="O113" s="33"/>
      <c r="P113" s="33"/>
      <c r="Q113" s="33"/>
      <c r="R113" s="33"/>
      <c r="S113" s="33"/>
      <c r="T113" s="33"/>
      <c r="U113" s="33"/>
      <c r="V113" s="33"/>
      <c r="W113" s="33"/>
      <c r="X113" s="34"/>
      <c r="Y113" s="33"/>
      <c r="Z113" s="34"/>
      <c r="AA113" s="33"/>
    </row>
    <row r="114" ht="15.75" customHeight="1">
      <c r="H114" s="33"/>
      <c r="I114" s="33"/>
      <c r="M114" s="33"/>
      <c r="N114" s="33"/>
      <c r="O114" s="33"/>
      <c r="P114" s="33"/>
      <c r="Q114" s="33"/>
      <c r="R114" s="33"/>
      <c r="S114" s="33"/>
      <c r="T114" s="33"/>
      <c r="U114" s="33"/>
      <c r="V114" s="33"/>
      <c r="W114" s="33"/>
      <c r="X114" s="34"/>
      <c r="Y114" s="33"/>
      <c r="Z114" s="34"/>
      <c r="AA114" s="33"/>
    </row>
    <row r="115" ht="15.75" customHeight="1">
      <c r="H115" s="33"/>
      <c r="I115" s="33"/>
      <c r="M115" s="33"/>
      <c r="N115" s="33"/>
      <c r="O115" s="33"/>
      <c r="P115" s="33"/>
      <c r="Q115" s="33"/>
      <c r="R115" s="33"/>
      <c r="S115" s="33"/>
      <c r="T115" s="33"/>
      <c r="U115" s="33"/>
      <c r="V115" s="33"/>
      <c r="W115" s="33"/>
      <c r="X115" s="34"/>
      <c r="Y115" s="33"/>
      <c r="Z115" s="34"/>
      <c r="AA115" s="33"/>
    </row>
    <row r="116" ht="15.75" customHeight="1">
      <c r="H116" s="33"/>
      <c r="I116" s="33"/>
      <c r="M116" s="33"/>
      <c r="N116" s="33"/>
      <c r="O116" s="33"/>
      <c r="P116" s="33"/>
      <c r="Q116" s="33"/>
      <c r="R116" s="33"/>
      <c r="S116" s="33"/>
      <c r="T116" s="33"/>
      <c r="U116" s="33"/>
      <c r="V116" s="33"/>
      <c r="W116" s="33"/>
      <c r="X116" s="34"/>
      <c r="Y116" s="33"/>
      <c r="Z116" s="34"/>
      <c r="AA116" s="33"/>
    </row>
    <row r="117" ht="15.75" customHeight="1">
      <c r="H117" s="33"/>
      <c r="I117" s="33"/>
      <c r="M117" s="33"/>
      <c r="N117" s="33"/>
      <c r="O117" s="33"/>
      <c r="P117" s="33"/>
      <c r="Q117" s="33"/>
      <c r="R117" s="33"/>
      <c r="S117" s="33"/>
      <c r="T117" s="33"/>
      <c r="U117" s="33"/>
      <c r="V117" s="33"/>
      <c r="W117" s="33"/>
      <c r="X117" s="34"/>
      <c r="Y117" s="33"/>
      <c r="Z117" s="34"/>
      <c r="AA117" s="33"/>
    </row>
    <row r="118" ht="15.75" customHeight="1">
      <c r="H118" s="33"/>
      <c r="I118" s="33"/>
      <c r="M118" s="33"/>
      <c r="N118" s="33"/>
      <c r="O118" s="33"/>
      <c r="P118" s="33"/>
      <c r="Q118" s="33"/>
      <c r="R118" s="33"/>
      <c r="S118" s="33"/>
      <c r="T118" s="33"/>
      <c r="U118" s="33"/>
      <c r="V118" s="33"/>
      <c r="W118" s="33"/>
      <c r="X118" s="34"/>
      <c r="Y118" s="33"/>
      <c r="Z118" s="34"/>
      <c r="AA118" s="33"/>
    </row>
    <row r="119" ht="15.75" customHeight="1">
      <c r="H119" s="33"/>
      <c r="I119" s="33"/>
      <c r="M119" s="33"/>
      <c r="N119" s="33"/>
      <c r="O119" s="33"/>
      <c r="P119" s="33"/>
      <c r="Q119" s="33"/>
      <c r="R119" s="33"/>
      <c r="S119" s="33"/>
      <c r="T119" s="33"/>
      <c r="U119" s="33"/>
      <c r="V119" s="33"/>
      <c r="W119" s="33"/>
      <c r="X119" s="34"/>
      <c r="Y119" s="33"/>
      <c r="Z119" s="34"/>
      <c r="AA119" s="33"/>
    </row>
    <row r="120" ht="15.75" customHeight="1">
      <c r="H120" s="33"/>
      <c r="I120" s="33"/>
      <c r="M120" s="33"/>
      <c r="N120" s="33"/>
      <c r="O120" s="33"/>
      <c r="P120" s="33"/>
      <c r="Q120" s="33"/>
      <c r="R120" s="33"/>
      <c r="S120" s="33"/>
      <c r="T120" s="33"/>
      <c r="U120" s="33"/>
      <c r="V120" s="33"/>
      <c r="W120" s="33"/>
      <c r="X120" s="34"/>
      <c r="Y120" s="33"/>
      <c r="Z120" s="34"/>
      <c r="AA120" s="33"/>
    </row>
    <row r="121" ht="15.75" customHeight="1">
      <c r="H121" s="33"/>
      <c r="I121" s="33"/>
      <c r="M121" s="33"/>
      <c r="N121" s="33"/>
      <c r="O121" s="33"/>
      <c r="P121" s="33"/>
      <c r="Q121" s="33"/>
      <c r="R121" s="33"/>
      <c r="S121" s="33"/>
      <c r="T121" s="33"/>
      <c r="U121" s="33"/>
      <c r="V121" s="33"/>
      <c r="W121" s="33"/>
      <c r="X121" s="34"/>
      <c r="Y121" s="33"/>
      <c r="Z121" s="34"/>
      <c r="AA121" s="33"/>
    </row>
    <row r="122" ht="15.75" customHeight="1">
      <c r="H122" s="33"/>
      <c r="I122" s="33"/>
      <c r="M122" s="33"/>
      <c r="N122" s="33"/>
      <c r="O122" s="33"/>
      <c r="P122" s="33"/>
      <c r="Q122" s="33"/>
      <c r="R122" s="33"/>
      <c r="S122" s="33"/>
      <c r="T122" s="33"/>
      <c r="U122" s="33"/>
      <c r="V122" s="33"/>
      <c r="W122" s="33"/>
      <c r="X122" s="34"/>
      <c r="Y122" s="33"/>
      <c r="Z122" s="34"/>
      <c r="AA122" s="33"/>
    </row>
    <row r="123" ht="15.75" customHeight="1">
      <c r="H123" s="33"/>
      <c r="I123" s="33"/>
      <c r="M123" s="33"/>
      <c r="N123" s="33"/>
      <c r="O123" s="33"/>
      <c r="P123" s="33"/>
      <c r="Q123" s="33"/>
      <c r="R123" s="33"/>
      <c r="S123" s="33"/>
      <c r="T123" s="33"/>
      <c r="U123" s="33"/>
      <c r="V123" s="33"/>
      <c r="W123" s="33"/>
      <c r="X123" s="34"/>
      <c r="Y123" s="33"/>
      <c r="Z123" s="34"/>
      <c r="AA123" s="33"/>
    </row>
    <row r="124" ht="15.75" customHeight="1">
      <c r="H124" s="33"/>
      <c r="I124" s="33"/>
      <c r="M124" s="33"/>
      <c r="N124" s="33"/>
      <c r="O124" s="33"/>
      <c r="P124" s="33"/>
      <c r="Q124" s="33"/>
      <c r="R124" s="33"/>
      <c r="S124" s="33"/>
      <c r="T124" s="33"/>
      <c r="U124" s="33"/>
      <c r="V124" s="33"/>
      <c r="W124" s="33"/>
      <c r="X124" s="34"/>
      <c r="Y124" s="33"/>
      <c r="Z124" s="34"/>
      <c r="AA124" s="33"/>
    </row>
    <row r="125" ht="15.75" customHeight="1">
      <c r="H125" s="33"/>
      <c r="I125" s="33"/>
      <c r="M125" s="33"/>
      <c r="N125" s="33"/>
      <c r="O125" s="33"/>
      <c r="P125" s="33"/>
      <c r="Q125" s="33"/>
      <c r="R125" s="33"/>
      <c r="S125" s="33"/>
      <c r="T125" s="33"/>
      <c r="U125" s="33"/>
      <c r="V125" s="33"/>
      <c r="W125" s="33"/>
      <c r="X125" s="34"/>
      <c r="Y125" s="33"/>
      <c r="Z125" s="34"/>
      <c r="AA125" s="33"/>
    </row>
    <row r="126" ht="15.75" customHeight="1">
      <c r="H126" s="33"/>
      <c r="I126" s="33"/>
      <c r="M126" s="33"/>
      <c r="N126" s="33"/>
      <c r="O126" s="33"/>
      <c r="P126" s="33"/>
      <c r="Q126" s="33"/>
      <c r="R126" s="33"/>
      <c r="S126" s="33"/>
      <c r="T126" s="33"/>
      <c r="U126" s="33"/>
      <c r="V126" s="33"/>
      <c r="W126" s="33"/>
      <c r="X126" s="34"/>
      <c r="Y126" s="33"/>
      <c r="Z126" s="34"/>
      <c r="AA126" s="33"/>
    </row>
    <row r="127" ht="15.75" customHeight="1">
      <c r="H127" s="33"/>
      <c r="I127" s="33"/>
      <c r="M127" s="33"/>
      <c r="N127" s="33"/>
      <c r="O127" s="33"/>
      <c r="P127" s="33"/>
      <c r="Q127" s="33"/>
      <c r="R127" s="33"/>
      <c r="S127" s="33"/>
      <c r="T127" s="33"/>
      <c r="U127" s="33"/>
      <c r="V127" s="33"/>
      <c r="W127" s="33"/>
      <c r="X127" s="34"/>
      <c r="Y127" s="33"/>
      <c r="Z127" s="34"/>
      <c r="AA127" s="33"/>
    </row>
    <row r="128" ht="15.75" customHeight="1">
      <c r="H128" s="33"/>
      <c r="I128" s="33"/>
      <c r="M128" s="33"/>
      <c r="N128" s="33"/>
      <c r="O128" s="33"/>
      <c r="P128" s="33"/>
      <c r="Q128" s="33"/>
      <c r="R128" s="33"/>
      <c r="S128" s="33"/>
      <c r="T128" s="33"/>
      <c r="U128" s="33"/>
      <c r="V128" s="33"/>
      <c r="W128" s="33"/>
      <c r="X128" s="34"/>
      <c r="Y128" s="33"/>
      <c r="Z128" s="34"/>
      <c r="AA128" s="33"/>
    </row>
    <row r="129" ht="15.75" customHeight="1">
      <c r="H129" s="33"/>
      <c r="I129" s="33"/>
      <c r="M129" s="33"/>
      <c r="N129" s="33"/>
      <c r="O129" s="33"/>
      <c r="P129" s="33"/>
      <c r="Q129" s="33"/>
      <c r="R129" s="33"/>
      <c r="S129" s="33"/>
      <c r="T129" s="33"/>
      <c r="U129" s="33"/>
      <c r="V129" s="33"/>
      <c r="W129" s="33"/>
      <c r="X129" s="34"/>
      <c r="Y129" s="33"/>
      <c r="Z129" s="34"/>
      <c r="AA129" s="33"/>
    </row>
    <row r="130" ht="15.75" customHeight="1">
      <c r="H130" s="33"/>
      <c r="I130" s="33"/>
      <c r="M130" s="33"/>
      <c r="N130" s="33"/>
      <c r="O130" s="33"/>
      <c r="P130" s="33"/>
      <c r="Q130" s="33"/>
      <c r="R130" s="33"/>
      <c r="S130" s="33"/>
      <c r="T130" s="33"/>
      <c r="U130" s="33"/>
      <c r="V130" s="33"/>
      <c r="W130" s="33"/>
      <c r="X130" s="34"/>
      <c r="Y130" s="33"/>
      <c r="Z130" s="34"/>
      <c r="AA130" s="33"/>
    </row>
    <row r="131" ht="15.75" customHeight="1">
      <c r="H131" s="33"/>
      <c r="I131" s="33"/>
      <c r="M131" s="33"/>
      <c r="N131" s="33"/>
      <c r="O131" s="33"/>
      <c r="P131" s="33"/>
      <c r="Q131" s="33"/>
      <c r="R131" s="33"/>
      <c r="S131" s="33"/>
      <c r="T131" s="33"/>
      <c r="U131" s="33"/>
      <c r="V131" s="33"/>
      <c r="W131" s="33"/>
      <c r="X131" s="34"/>
      <c r="Y131" s="33"/>
      <c r="Z131" s="34"/>
      <c r="AA131" s="33"/>
    </row>
    <row r="132" ht="15.75" customHeight="1">
      <c r="H132" s="33"/>
      <c r="I132" s="33"/>
      <c r="M132" s="33"/>
      <c r="N132" s="33"/>
      <c r="O132" s="33"/>
      <c r="P132" s="33"/>
      <c r="Q132" s="33"/>
      <c r="R132" s="33"/>
      <c r="S132" s="33"/>
      <c r="T132" s="33"/>
      <c r="U132" s="33"/>
      <c r="V132" s="33"/>
      <c r="W132" s="33"/>
      <c r="X132" s="34"/>
      <c r="Y132" s="33"/>
      <c r="Z132" s="34"/>
      <c r="AA132" s="33"/>
    </row>
    <row r="133" ht="15.75" customHeight="1">
      <c r="H133" s="33"/>
      <c r="I133" s="33"/>
      <c r="M133" s="33"/>
      <c r="N133" s="33"/>
      <c r="O133" s="33"/>
      <c r="P133" s="33"/>
      <c r="Q133" s="33"/>
      <c r="R133" s="33"/>
      <c r="S133" s="33"/>
      <c r="T133" s="33"/>
      <c r="U133" s="33"/>
      <c r="V133" s="33"/>
      <c r="W133" s="33"/>
      <c r="X133" s="34"/>
      <c r="Y133" s="33"/>
      <c r="Z133" s="34"/>
      <c r="AA133" s="33"/>
    </row>
    <row r="134" ht="15.75" customHeight="1">
      <c r="H134" s="33"/>
      <c r="I134" s="33"/>
      <c r="M134" s="33"/>
      <c r="N134" s="33"/>
      <c r="O134" s="33"/>
      <c r="P134" s="33"/>
      <c r="Q134" s="33"/>
      <c r="R134" s="33"/>
      <c r="S134" s="33"/>
      <c r="T134" s="33"/>
      <c r="U134" s="33"/>
      <c r="V134" s="33"/>
      <c r="W134" s="33"/>
      <c r="X134" s="34"/>
      <c r="Y134" s="33"/>
      <c r="Z134" s="34"/>
      <c r="AA134" s="33"/>
    </row>
    <row r="135" ht="15.75" customHeight="1">
      <c r="H135" s="33"/>
      <c r="I135" s="33"/>
      <c r="M135" s="33"/>
      <c r="N135" s="33"/>
      <c r="O135" s="33"/>
      <c r="P135" s="33"/>
      <c r="Q135" s="33"/>
      <c r="R135" s="33"/>
      <c r="S135" s="33"/>
      <c r="T135" s="33"/>
      <c r="U135" s="33"/>
      <c r="V135" s="33"/>
      <c r="W135" s="33"/>
      <c r="X135" s="34"/>
      <c r="Y135" s="33"/>
      <c r="Z135" s="34"/>
      <c r="AA135" s="33"/>
    </row>
    <row r="136" ht="15.75" customHeight="1">
      <c r="H136" s="33"/>
      <c r="I136" s="33"/>
      <c r="M136" s="33"/>
      <c r="N136" s="33"/>
      <c r="O136" s="33"/>
      <c r="P136" s="33"/>
      <c r="Q136" s="33"/>
      <c r="R136" s="33"/>
      <c r="S136" s="33"/>
      <c r="T136" s="33"/>
      <c r="U136" s="33"/>
      <c r="V136" s="33"/>
      <c r="W136" s="33"/>
      <c r="X136" s="34"/>
      <c r="Y136" s="33"/>
      <c r="Z136" s="34"/>
      <c r="AA136" s="33"/>
    </row>
    <row r="137" ht="15.75" customHeight="1">
      <c r="H137" s="33"/>
      <c r="I137" s="33"/>
      <c r="M137" s="33"/>
      <c r="N137" s="33"/>
      <c r="O137" s="33"/>
      <c r="P137" s="33"/>
      <c r="Q137" s="33"/>
      <c r="R137" s="33"/>
      <c r="S137" s="33"/>
      <c r="T137" s="33"/>
      <c r="U137" s="33"/>
      <c r="V137" s="33"/>
      <c r="W137" s="33"/>
      <c r="X137" s="34"/>
      <c r="Y137" s="33"/>
      <c r="Z137" s="34"/>
      <c r="AA137" s="33"/>
    </row>
    <row r="138" ht="15.75" customHeight="1">
      <c r="H138" s="33"/>
      <c r="I138" s="33"/>
      <c r="M138" s="33"/>
      <c r="N138" s="33"/>
      <c r="O138" s="33"/>
      <c r="P138" s="33"/>
      <c r="Q138" s="33"/>
      <c r="R138" s="33"/>
      <c r="S138" s="33"/>
      <c r="T138" s="33"/>
      <c r="U138" s="33"/>
      <c r="V138" s="33"/>
      <c r="W138" s="33"/>
      <c r="X138" s="34"/>
      <c r="Y138" s="33"/>
      <c r="Z138" s="34"/>
      <c r="AA138" s="33"/>
    </row>
    <row r="139" ht="15.75" customHeight="1">
      <c r="H139" s="33"/>
      <c r="I139" s="33"/>
      <c r="M139" s="33"/>
      <c r="N139" s="33"/>
      <c r="O139" s="33"/>
      <c r="P139" s="33"/>
      <c r="Q139" s="33"/>
      <c r="R139" s="33"/>
      <c r="S139" s="33"/>
      <c r="T139" s="33"/>
      <c r="U139" s="33"/>
      <c r="V139" s="33"/>
      <c r="W139" s="33"/>
      <c r="X139" s="34"/>
      <c r="Y139" s="33"/>
      <c r="Z139" s="34"/>
      <c r="AA139" s="33"/>
    </row>
    <row r="140" ht="15.75" customHeight="1">
      <c r="H140" s="33"/>
      <c r="I140" s="33"/>
      <c r="M140" s="33"/>
      <c r="N140" s="33"/>
      <c r="O140" s="33"/>
      <c r="P140" s="33"/>
      <c r="Q140" s="33"/>
      <c r="R140" s="33"/>
      <c r="S140" s="33"/>
      <c r="T140" s="33"/>
      <c r="U140" s="33"/>
      <c r="V140" s="33"/>
      <c r="W140" s="33"/>
      <c r="X140" s="34"/>
      <c r="Y140" s="33"/>
      <c r="Z140" s="34"/>
      <c r="AA140" s="33"/>
    </row>
    <row r="141" ht="15.75" customHeight="1">
      <c r="H141" s="33"/>
      <c r="I141" s="33"/>
      <c r="M141" s="33"/>
      <c r="N141" s="33"/>
      <c r="O141" s="33"/>
      <c r="P141" s="33"/>
      <c r="Q141" s="33"/>
      <c r="R141" s="33"/>
      <c r="S141" s="33"/>
      <c r="T141" s="33"/>
      <c r="U141" s="33"/>
      <c r="V141" s="33"/>
      <c r="W141" s="33"/>
      <c r="X141" s="34"/>
      <c r="Y141" s="33"/>
      <c r="Z141" s="34"/>
      <c r="AA141" s="33"/>
    </row>
    <row r="142" ht="15.75" customHeight="1">
      <c r="H142" s="33"/>
      <c r="I142" s="33"/>
      <c r="M142" s="33"/>
      <c r="N142" s="33"/>
      <c r="O142" s="33"/>
      <c r="P142" s="33"/>
      <c r="Q142" s="33"/>
      <c r="R142" s="33"/>
      <c r="S142" s="33"/>
      <c r="T142" s="33"/>
      <c r="U142" s="33"/>
      <c r="V142" s="33"/>
      <c r="W142" s="33"/>
      <c r="X142" s="34"/>
      <c r="Y142" s="33"/>
      <c r="Z142" s="34"/>
      <c r="AA142" s="33"/>
    </row>
    <row r="143" ht="15.75" customHeight="1">
      <c r="H143" s="33"/>
      <c r="I143" s="33"/>
      <c r="M143" s="33"/>
      <c r="N143" s="33"/>
      <c r="O143" s="33"/>
      <c r="P143" s="33"/>
      <c r="Q143" s="33"/>
      <c r="R143" s="33"/>
      <c r="S143" s="33"/>
      <c r="T143" s="33"/>
      <c r="U143" s="33"/>
      <c r="V143" s="33"/>
      <c r="W143" s="33"/>
      <c r="X143" s="34"/>
      <c r="Y143" s="33"/>
      <c r="Z143" s="34"/>
      <c r="AA143" s="33"/>
    </row>
    <row r="144" ht="15.75" customHeight="1">
      <c r="H144" s="33"/>
      <c r="I144" s="33"/>
      <c r="M144" s="33"/>
      <c r="N144" s="33"/>
      <c r="O144" s="33"/>
      <c r="P144" s="33"/>
      <c r="Q144" s="33"/>
      <c r="R144" s="33"/>
      <c r="S144" s="33"/>
      <c r="T144" s="33"/>
      <c r="U144" s="33"/>
      <c r="V144" s="33"/>
      <c r="W144" s="33"/>
      <c r="X144" s="34"/>
      <c r="Y144" s="33"/>
      <c r="Z144" s="34"/>
      <c r="AA144" s="33"/>
    </row>
    <row r="145" ht="15.75" customHeight="1">
      <c r="H145" s="33"/>
      <c r="I145" s="33"/>
      <c r="M145" s="33"/>
      <c r="N145" s="33"/>
      <c r="O145" s="33"/>
      <c r="P145" s="33"/>
      <c r="Q145" s="33"/>
      <c r="R145" s="33"/>
      <c r="S145" s="33"/>
      <c r="T145" s="33"/>
      <c r="U145" s="33"/>
      <c r="V145" s="33"/>
      <c r="W145" s="33"/>
      <c r="X145" s="34"/>
      <c r="Y145" s="33"/>
      <c r="Z145" s="34"/>
      <c r="AA145" s="33"/>
    </row>
    <row r="146" ht="15.75" customHeight="1">
      <c r="H146" s="33"/>
      <c r="I146" s="33"/>
      <c r="M146" s="33"/>
      <c r="N146" s="33"/>
      <c r="O146" s="33"/>
      <c r="P146" s="33"/>
      <c r="Q146" s="33"/>
      <c r="R146" s="33"/>
      <c r="S146" s="33"/>
      <c r="T146" s="33"/>
      <c r="U146" s="33"/>
      <c r="V146" s="33"/>
      <c r="W146" s="33"/>
      <c r="X146" s="34"/>
      <c r="Y146" s="33"/>
      <c r="Z146" s="34"/>
      <c r="AA146" s="33"/>
    </row>
    <row r="147" ht="15.75" customHeight="1">
      <c r="H147" s="33"/>
      <c r="I147" s="33"/>
      <c r="M147" s="33"/>
      <c r="N147" s="33"/>
      <c r="O147" s="33"/>
      <c r="P147" s="33"/>
      <c r="Q147" s="33"/>
      <c r="R147" s="33"/>
      <c r="S147" s="33"/>
      <c r="T147" s="33"/>
      <c r="U147" s="33"/>
      <c r="V147" s="33"/>
      <c r="W147" s="33"/>
      <c r="X147" s="34"/>
      <c r="Y147" s="33"/>
      <c r="Z147" s="34"/>
      <c r="AA147" s="33"/>
    </row>
    <row r="148" ht="15.75" customHeight="1">
      <c r="H148" s="33"/>
      <c r="I148" s="33"/>
      <c r="M148" s="33"/>
      <c r="N148" s="33"/>
      <c r="O148" s="33"/>
      <c r="P148" s="33"/>
      <c r="Q148" s="33"/>
      <c r="R148" s="33"/>
      <c r="S148" s="33"/>
      <c r="T148" s="33"/>
      <c r="U148" s="33"/>
      <c r="V148" s="33"/>
      <c r="W148" s="33"/>
      <c r="X148" s="34"/>
      <c r="Y148" s="33"/>
      <c r="Z148" s="34"/>
      <c r="AA148" s="33"/>
    </row>
    <row r="149" ht="15.75" customHeight="1">
      <c r="H149" s="33"/>
      <c r="I149" s="33"/>
      <c r="M149" s="33"/>
      <c r="N149" s="33"/>
      <c r="O149" s="33"/>
      <c r="P149" s="33"/>
      <c r="Q149" s="33"/>
      <c r="R149" s="33"/>
      <c r="S149" s="33"/>
      <c r="T149" s="33"/>
      <c r="U149" s="33"/>
      <c r="V149" s="33"/>
      <c r="W149" s="33"/>
      <c r="X149" s="34"/>
      <c r="Y149" s="33"/>
      <c r="Z149" s="34"/>
      <c r="AA149" s="33"/>
    </row>
    <row r="150" ht="15.75" customHeight="1">
      <c r="H150" s="33"/>
      <c r="I150" s="33"/>
      <c r="M150" s="33"/>
      <c r="N150" s="33"/>
      <c r="O150" s="33"/>
      <c r="P150" s="33"/>
      <c r="Q150" s="33"/>
      <c r="R150" s="33"/>
      <c r="S150" s="33"/>
      <c r="T150" s="33"/>
      <c r="U150" s="33"/>
      <c r="V150" s="33"/>
      <c r="W150" s="33"/>
      <c r="X150" s="34"/>
      <c r="Y150" s="33"/>
      <c r="Z150" s="34"/>
      <c r="AA150" s="33"/>
    </row>
    <row r="151" ht="15.75" customHeight="1">
      <c r="H151" s="33"/>
      <c r="I151" s="33"/>
      <c r="M151" s="33"/>
      <c r="N151" s="33"/>
      <c r="O151" s="33"/>
      <c r="P151" s="33"/>
      <c r="Q151" s="33"/>
      <c r="R151" s="33"/>
      <c r="S151" s="33"/>
      <c r="T151" s="33"/>
      <c r="U151" s="33"/>
      <c r="V151" s="33"/>
      <c r="W151" s="33"/>
      <c r="X151" s="34"/>
      <c r="Y151" s="33"/>
      <c r="Z151" s="34"/>
      <c r="AA151" s="33"/>
    </row>
    <row r="152" ht="15.75" customHeight="1">
      <c r="H152" s="33"/>
      <c r="I152" s="33"/>
      <c r="M152" s="33"/>
      <c r="N152" s="33"/>
      <c r="O152" s="33"/>
      <c r="P152" s="33"/>
      <c r="Q152" s="33"/>
      <c r="R152" s="33"/>
      <c r="S152" s="33"/>
      <c r="T152" s="33"/>
      <c r="U152" s="33"/>
      <c r="V152" s="33"/>
      <c r="W152" s="33"/>
      <c r="X152" s="34"/>
      <c r="Y152" s="33"/>
      <c r="Z152" s="34"/>
      <c r="AA152" s="33"/>
    </row>
    <row r="153" ht="15.75" customHeight="1">
      <c r="H153" s="33"/>
      <c r="I153" s="33"/>
      <c r="M153" s="33"/>
      <c r="N153" s="33"/>
      <c r="O153" s="33"/>
      <c r="P153" s="33"/>
      <c r="Q153" s="33"/>
      <c r="R153" s="33"/>
      <c r="S153" s="33"/>
      <c r="T153" s="33"/>
      <c r="U153" s="33"/>
      <c r="V153" s="33"/>
      <c r="W153" s="33"/>
      <c r="X153" s="34"/>
      <c r="Y153" s="33"/>
      <c r="Z153" s="34"/>
      <c r="AA153" s="33"/>
    </row>
    <row r="154" ht="15.75" customHeight="1">
      <c r="H154" s="33"/>
      <c r="I154" s="33"/>
      <c r="M154" s="33"/>
      <c r="N154" s="33"/>
      <c r="O154" s="33"/>
      <c r="P154" s="33"/>
      <c r="Q154" s="33"/>
      <c r="R154" s="33"/>
      <c r="S154" s="33"/>
      <c r="T154" s="33"/>
      <c r="U154" s="33"/>
      <c r="V154" s="33"/>
      <c r="W154" s="33"/>
      <c r="X154" s="34"/>
      <c r="Y154" s="33"/>
      <c r="Z154" s="34"/>
      <c r="AA154" s="33"/>
    </row>
    <row r="155" ht="15.75" customHeight="1">
      <c r="H155" s="33"/>
      <c r="I155" s="33"/>
      <c r="M155" s="33"/>
      <c r="N155" s="33"/>
      <c r="O155" s="33"/>
      <c r="P155" s="33"/>
      <c r="Q155" s="33"/>
      <c r="R155" s="33"/>
      <c r="S155" s="33"/>
      <c r="T155" s="33"/>
      <c r="U155" s="33"/>
      <c r="V155" s="33"/>
      <c r="W155" s="33"/>
      <c r="X155" s="34"/>
      <c r="Y155" s="33"/>
      <c r="Z155" s="34"/>
      <c r="AA155" s="33"/>
    </row>
    <row r="156" ht="15.75" customHeight="1">
      <c r="H156" s="33"/>
      <c r="I156" s="33"/>
      <c r="M156" s="33"/>
      <c r="N156" s="33"/>
      <c r="O156" s="33"/>
      <c r="P156" s="33"/>
      <c r="Q156" s="33"/>
      <c r="R156" s="33"/>
      <c r="S156" s="33"/>
      <c r="T156" s="33"/>
      <c r="U156" s="33"/>
      <c r="V156" s="33"/>
      <c r="W156" s="33"/>
      <c r="X156" s="34"/>
      <c r="Y156" s="33"/>
      <c r="Z156" s="34"/>
      <c r="AA156" s="33"/>
    </row>
    <row r="157" ht="15.75" customHeight="1">
      <c r="H157" s="33"/>
      <c r="I157" s="33"/>
      <c r="M157" s="33"/>
      <c r="N157" s="33"/>
      <c r="O157" s="33"/>
      <c r="P157" s="33"/>
      <c r="Q157" s="33"/>
      <c r="R157" s="33"/>
      <c r="S157" s="33"/>
      <c r="T157" s="33"/>
      <c r="U157" s="33"/>
      <c r="V157" s="33"/>
      <c r="W157" s="33"/>
      <c r="X157" s="34"/>
      <c r="Y157" s="33"/>
      <c r="Z157" s="34"/>
      <c r="AA157" s="33"/>
    </row>
    <row r="158" ht="15.75" customHeight="1">
      <c r="H158" s="33"/>
      <c r="I158" s="33"/>
      <c r="M158" s="33"/>
      <c r="N158" s="33"/>
      <c r="O158" s="33"/>
      <c r="P158" s="33"/>
      <c r="Q158" s="33"/>
      <c r="R158" s="33"/>
      <c r="S158" s="33"/>
      <c r="T158" s="33"/>
      <c r="U158" s="33"/>
      <c r="V158" s="33"/>
      <c r="W158" s="33"/>
      <c r="X158" s="34"/>
      <c r="Y158" s="33"/>
      <c r="Z158" s="34"/>
      <c r="AA158" s="33"/>
    </row>
    <row r="159" ht="15.75" customHeight="1">
      <c r="H159" s="33"/>
      <c r="I159" s="33"/>
      <c r="M159" s="33"/>
      <c r="N159" s="33"/>
      <c r="O159" s="33"/>
      <c r="P159" s="33"/>
      <c r="Q159" s="33"/>
      <c r="R159" s="33"/>
      <c r="S159" s="33"/>
      <c r="T159" s="33"/>
      <c r="U159" s="33"/>
      <c r="V159" s="33"/>
      <c r="W159" s="33"/>
      <c r="X159" s="34"/>
      <c r="Y159" s="33"/>
      <c r="Z159" s="34"/>
      <c r="AA159" s="33"/>
    </row>
    <row r="160" ht="15.75" customHeight="1">
      <c r="H160" s="33"/>
      <c r="I160" s="33"/>
      <c r="M160" s="33"/>
      <c r="N160" s="33"/>
      <c r="O160" s="33"/>
      <c r="P160" s="33"/>
      <c r="Q160" s="33"/>
      <c r="R160" s="33"/>
      <c r="S160" s="33"/>
      <c r="T160" s="33"/>
      <c r="U160" s="33"/>
      <c r="V160" s="33"/>
      <c r="W160" s="33"/>
      <c r="X160" s="34"/>
      <c r="Y160" s="33"/>
      <c r="Z160" s="34"/>
      <c r="AA160" s="33"/>
    </row>
    <row r="161" ht="15.75" customHeight="1">
      <c r="H161" s="33"/>
      <c r="I161" s="33"/>
      <c r="M161" s="33"/>
      <c r="N161" s="33"/>
      <c r="O161" s="33"/>
      <c r="P161" s="33"/>
      <c r="Q161" s="33"/>
      <c r="R161" s="33"/>
      <c r="S161" s="33"/>
      <c r="T161" s="33"/>
      <c r="U161" s="33"/>
      <c r="V161" s="33"/>
      <c r="W161" s="33"/>
      <c r="X161" s="34"/>
      <c r="Y161" s="33"/>
      <c r="Z161" s="34"/>
      <c r="AA161" s="33"/>
    </row>
    <row r="162" ht="15.75" customHeight="1">
      <c r="H162" s="33"/>
      <c r="I162" s="33"/>
      <c r="M162" s="33"/>
      <c r="N162" s="33"/>
      <c r="O162" s="33"/>
      <c r="P162" s="33"/>
      <c r="Q162" s="33"/>
      <c r="R162" s="33"/>
      <c r="S162" s="33"/>
      <c r="T162" s="33"/>
      <c r="U162" s="33"/>
      <c r="V162" s="33"/>
      <c r="W162" s="33"/>
      <c r="X162" s="34"/>
      <c r="Y162" s="33"/>
      <c r="Z162" s="34"/>
      <c r="AA162" s="33"/>
    </row>
    <row r="163" ht="15.75" customHeight="1">
      <c r="H163" s="33"/>
      <c r="I163" s="33"/>
      <c r="M163" s="33"/>
      <c r="N163" s="33"/>
      <c r="O163" s="33"/>
      <c r="P163" s="33"/>
      <c r="Q163" s="33"/>
      <c r="R163" s="33"/>
      <c r="S163" s="33"/>
      <c r="T163" s="33"/>
      <c r="U163" s="33"/>
      <c r="V163" s="33"/>
      <c r="W163" s="33"/>
      <c r="X163" s="34"/>
      <c r="Y163" s="33"/>
      <c r="Z163" s="34"/>
      <c r="AA163" s="33"/>
    </row>
    <row r="164" ht="15.75" customHeight="1">
      <c r="H164" s="33"/>
      <c r="I164" s="33"/>
      <c r="M164" s="33"/>
      <c r="N164" s="33"/>
      <c r="O164" s="33"/>
      <c r="P164" s="33"/>
      <c r="Q164" s="33"/>
      <c r="R164" s="33"/>
      <c r="S164" s="33"/>
      <c r="T164" s="33"/>
      <c r="U164" s="33"/>
      <c r="V164" s="33"/>
      <c r="W164" s="33"/>
      <c r="X164" s="34"/>
      <c r="Y164" s="33"/>
      <c r="Z164" s="34"/>
      <c r="AA164" s="33"/>
    </row>
    <row r="165" ht="15.75" customHeight="1">
      <c r="H165" s="33"/>
      <c r="I165" s="33"/>
      <c r="M165" s="33"/>
      <c r="N165" s="33"/>
      <c r="O165" s="33"/>
      <c r="P165" s="33"/>
      <c r="Q165" s="33"/>
      <c r="R165" s="33"/>
      <c r="S165" s="33"/>
      <c r="T165" s="33"/>
      <c r="U165" s="33"/>
      <c r="V165" s="33"/>
      <c r="W165" s="33"/>
      <c r="X165" s="34"/>
      <c r="Y165" s="33"/>
      <c r="Z165" s="34"/>
      <c r="AA165" s="33"/>
    </row>
    <row r="166" ht="15.75" customHeight="1">
      <c r="H166" s="33"/>
      <c r="I166" s="33"/>
      <c r="M166" s="33"/>
      <c r="N166" s="33"/>
      <c r="O166" s="33"/>
      <c r="P166" s="33"/>
      <c r="Q166" s="33"/>
      <c r="R166" s="33"/>
      <c r="S166" s="33"/>
      <c r="T166" s="33"/>
      <c r="U166" s="33"/>
      <c r="V166" s="33"/>
      <c r="W166" s="33"/>
      <c r="X166" s="34"/>
      <c r="Y166" s="33"/>
      <c r="Z166" s="34"/>
      <c r="AA166" s="33"/>
    </row>
    <row r="167" ht="15.75" customHeight="1">
      <c r="H167" s="33"/>
      <c r="I167" s="33"/>
      <c r="M167" s="33"/>
      <c r="N167" s="33"/>
      <c r="O167" s="33"/>
      <c r="P167" s="33"/>
      <c r="Q167" s="33"/>
      <c r="R167" s="33"/>
      <c r="S167" s="33"/>
      <c r="T167" s="33"/>
      <c r="U167" s="33"/>
      <c r="V167" s="33"/>
      <c r="W167" s="33"/>
      <c r="X167" s="34"/>
      <c r="Y167" s="33"/>
      <c r="Z167" s="34"/>
      <c r="AA167" s="33"/>
    </row>
    <row r="168" ht="15.75" customHeight="1">
      <c r="H168" s="33"/>
      <c r="I168" s="33"/>
      <c r="M168" s="33"/>
      <c r="N168" s="33"/>
      <c r="O168" s="33"/>
      <c r="P168" s="33"/>
      <c r="Q168" s="33"/>
      <c r="R168" s="33"/>
      <c r="S168" s="33"/>
      <c r="T168" s="33"/>
      <c r="U168" s="33"/>
      <c r="V168" s="33"/>
      <c r="W168" s="33"/>
      <c r="X168" s="34"/>
      <c r="Y168" s="33"/>
      <c r="Z168" s="34"/>
      <c r="AA168" s="33"/>
    </row>
    <row r="169" ht="15.75" customHeight="1">
      <c r="H169" s="33"/>
      <c r="I169" s="33"/>
      <c r="M169" s="33"/>
      <c r="N169" s="33"/>
      <c r="O169" s="33"/>
      <c r="P169" s="33"/>
      <c r="Q169" s="33"/>
      <c r="R169" s="33"/>
      <c r="S169" s="33"/>
      <c r="T169" s="33"/>
      <c r="U169" s="33"/>
      <c r="V169" s="33"/>
      <c r="W169" s="33"/>
      <c r="X169" s="34"/>
      <c r="Y169" s="33"/>
      <c r="Z169" s="34"/>
      <c r="AA169" s="33"/>
    </row>
    <row r="170" ht="15.75" customHeight="1">
      <c r="H170" s="33"/>
      <c r="I170" s="33"/>
      <c r="M170" s="33"/>
      <c r="N170" s="33"/>
      <c r="O170" s="33"/>
      <c r="P170" s="33"/>
      <c r="Q170" s="33"/>
      <c r="R170" s="33"/>
      <c r="S170" s="33"/>
      <c r="T170" s="33"/>
      <c r="U170" s="33"/>
      <c r="V170" s="33"/>
      <c r="W170" s="33"/>
      <c r="X170" s="34"/>
      <c r="Y170" s="33"/>
      <c r="Z170" s="34"/>
      <c r="AA170" s="33"/>
    </row>
    <row r="171" ht="15.75" customHeight="1">
      <c r="H171" s="33"/>
      <c r="I171" s="33"/>
      <c r="M171" s="33"/>
      <c r="N171" s="33"/>
      <c r="O171" s="33"/>
      <c r="P171" s="33"/>
      <c r="Q171" s="33"/>
      <c r="R171" s="33"/>
      <c r="S171" s="33"/>
      <c r="T171" s="33"/>
      <c r="U171" s="33"/>
      <c r="V171" s="33"/>
      <c r="W171" s="33"/>
      <c r="X171" s="34"/>
      <c r="Y171" s="33"/>
      <c r="Z171" s="34"/>
      <c r="AA171" s="33"/>
    </row>
    <row r="172" ht="15.75" customHeight="1">
      <c r="H172" s="33"/>
      <c r="I172" s="33"/>
      <c r="M172" s="33"/>
      <c r="N172" s="33"/>
      <c r="O172" s="33"/>
      <c r="P172" s="33"/>
      <c r="Q172" s="33"/>
      <c r="R172" s="33"/>
      <c r="S172" s="33"/>
      <c r="T172" s="33"/>
      <c r="U172" s="33"/>
      <c r="V172" s="33"/>
      <c r="W172" s="33"/>
      <c r="X172" s="34"/>
      <c r="Y172" s="33"/>
      <c r="Z172" s="34"/>
      <c r="AA172" s="33"/>
    </row>
    <row r="173" ht="15.75" customHeight="1">
      <c r="H173" s="33"/>
      <c r="I173" s="33"/>
      <c r="M173" s="33"/>
      <c r="N173" s="33"/>
      <c r="O173" s="33"/>
      <c r="P173" s="33"/>
      <c r="Q173" s="33"/>
      <c r="R173" s="33"/>
      <c r="S173" s="33"/>
      <c r="T173" s="33"/>
      <c r="U173" s="33"/>
      <c r="V173" s="33"/>
      <c r="W173" s="33"/>
      <c r="X173" s="34"/>
      <c r="Y173" s="33"/>
      <c r="Z173" s="34"/>
      <c r="AA173" s="33"/>
    </row>
    <row r="174" ht="15.75" customHeight="1">
      <c r="H174" s="33"/>
      <c r="I174" s="33"/>
      <c r="M174" s="33"/>
      <c r="N174" s="33"/>
      <c r="O174" s="33"/>
      <c r="P174" s="33"/>
      <c r="Q174" s="33"/>
      <c r="R174" s="33"/>
      <c r="S174" s="33"/>
      <c r="T174" s="33"/>
      <c r="U174" s="33"/>
      <c r="V174" s="33"/>
      <c r="W174" s="33"/>
      <c r="X174" s="34"/>
      <c r="Y174" s="33"/>
      <c r="Z174" s="34"/>
      <c r="AA174" s="33"/>
    </row>
    <row r="175" ht="15.75" customHeight="1">
      <c r="H175" s="33"/>
      <c r="I175" s="33"/>
      <c r="M175" s="33"/>
      <c r="N175" s="33"/>
      <c r="O175" s="33"/>
      <c r="P175" s="33"/>
      <c r="Q175" s="33"/>
      <c r="R175" s="33"/>
      <c r="S175" s="33"/>
      <c r="T175" s="33"/>
      <c r="U175" s="33"/>
      <c r="V175" s="33"/>
      <c r="W175" s="33"/>
      <c r="X175" s="34"/>
      <c r="Y175" s="33"/>
      <c r="Z175" s="34"/>
      <c r="AA175" s="33"/>
    </row>
    <row r="176" ht="15.75" customHeight="1">
      <c r="H176" s="33"/>
      <c r="I176" s="33"/>
      <c r="M176" s="33"/>
      <c r="N176" s="33"/>
      <c r="O176" s="33"/>
      <c r="P176" s="33"/>
      <c r="Q176" s="33"/>
      <c r="R176" s="33"/>
      <c r="S176" s="33"/>
      <c r="T176" s="33"/>
      <c r="U176" s="33"/>
      <c r="V176" s="33"/>
      <c r="W176" s="33"/>
      <c r="X176" s="34"/>
      <c r="Y176" s="33"/>
      <c r="Z176" s="34"/>
      <c r="AA176" s="33"/>
    </row>
    <row r="177" ht="15.75" customHeight="1">
      <c r="H177" s="33"/>
      <c r="I177" s="33"/>
      <c r="M177" s="33"/>
      <c r="N177" s="33"/>
      <c r="O177" s="33"/>
      <c r="P177" s="33"/>
      <c r="Q177" s="33"/>
      <c r="R177" s="33"/>
      <c r="S177" s="33"/>
      <c r="T177" s="33"/>
      <c r="U177" s="33"/>
      <c r="V177" s="33"/>
      <c r="W177" s="33"/>
      <c r="X177" s="34"/>
      <c r="Y177" s="33"/>
      <c r="Z177" s="34"/>
      <c r="AA177" s="33"/>
    </row>
    <row r="178" ht="15.75" customHeight="1">
      <c r="H178" s="33"/>
      <c r="I178" s="33"/>
      <c r="M178" s="33"/>
      <c r="N178" s="33"/>
      <c r="O178" s="33"/>
      <c r="P178" s="33"/>
      <c r="Q178" s="33"/>
      <c r="R178" s="33"/>
      <c r="S178" s="33"/>
      <c r="T178" s="33"/>
      <c r="U178" s="33"/>
      <c r="V178" s="33"/>
      <c r="W178" s="33"/>
      <c r="X178" s="34"/>
      <c r="Y178" s="33"/>
      <c r="Z178" s="34"/>
      <c r="AA178" s="33"/>
    </row>
    <row r="179" ht="15.75" customHeight="1">
      <c r="H179" s="33"/>
      <c r="I179" s="33"/>
      <c r="M179" s="33"/>
      <c r="N179" s="33"/>
      <c r="O179" s="33"/>
      <c r="P179" s="33"/>
      <c r="Q179" s="33"/>
      <c r="R179" s="33"/>
      <c r="S179" s="33"/>
      <c r="T179" s="33"/>
      <c r="U179" s="33"/>
      <c r="V179" s="33"/>
      <c r="W179" s="33"/>
      <c r="X179" s="34"/>
      <c r="Y179" s="33"/>
      <c r="Z179" s="34"/>
      <c r="AA179" s="33"/>
    </row>
    <row r="180" ht="15.75" customHeight="1">
      <c r="H180" s="33"/>
      <c r="I180" s="33"/>
      <c r="M180" s="33"/>
      <c r="N180" s="33"/>
      <c r="O180" s="33"/>
      <c r="P180" s="33"/>
      <c r="Q180" s="33"/>
      <c r="R180" s="33"/>
      <c r="S180" s="33"/>
      <c r="T180" s="33"/>
      <c r="U180" s="33"/>
      <c r="V180" s="33"/>
      <c r="W180" s="33"/>
      <c r="X180" s="34"/>
      <c r="Y180" s="33"/>
      <c r="Z180" s="34"/>
      <c r="AA180" s="33"/>
    </row>
    <row r="181" ht="15.75" customHeight="1">
      <c r="H181" s="33"/>
      <c r="I181" s="33"/>
      <c r="M181" s="33"/>
      <c r="N181" s="33"/>
      <c r="O181" s="33"/>
      <c r="P181" s="33"/>
      <c r="Q181" s="33"/>
      <c r="R181" s="33"/>
      <c r="S181" s="33"/>
      <c r="T181" s="33"/>
      <c r="U181" s="33"/>
      <c r="V181" s="33"/>
      <c r="W181" s="33"/>
      <c r="X181" s="34"/>
      <c r="Y181" s="33"/>
      <c r="Z181" s="34"/>
      <c r="AA181" s="33"/>
    </row>
    <row r="182" ht="15.75" customHeight="1">
      <c r="H182" s="33"/>
      <c r="I182" s="33"/>
      <c r="M182" s="33"/>
      <c r="N182" s="33"/>
      <c r="O182" s="33"/>
      <c r="P182" s="33"/>
      <c r="Q182" s="33"/>
      <c r="R182" s="33"/>
      <c r="S182" s="33"/>
      <c r="T182" s="33"/>
      <c r="U182" s="33"/>
      <c r="V182" s="33"/>
      <c r="W182" s="33"/>
      <c r="X182" s="34"/>
      <c r="Y182" s="33"/>
      <c r="Z182" s="34"/>
      <c r="AA182" s="33"/>
    </row>
    <row r="183" ht="15.75" customHeight="1">
      <c r="H183" s="33"/>
      <c r="I183" s="33"/>
      <c r="M183" s="33"/>
      <c r="N183" s="33"/>
      <c r="O183" s="33"/>
      <c r="P183" s="33"/>
      <c r="Q183" s="33"/>
      <c r="R183" s="33"/>
      <c r="S183" s="33"/>
      <c r="T183" s="33"/>
      <c r="U183" s="33"/>
      <c r="V183" s="33"/>
      <c r="W183" s="33"/>
      <c r="X183" s="34"/>
      <c r="Y183" s="33"/>
      <c r="Z183" s="34"/>
      <c r="AA183" s="33"/>
    </row>
    <row r="184" ht="15.75" customHeight="1">
      <c r="H184" s="33"/>
      <c r="I184" s="33"/>
      <c r="M184" s="33"/>
      <c r="N184" s="33"/>
      <c r="O184" s="33"/>
      <c r="P184" s="33"/>
      <c r="Q184" s="33"/>
      <c r="R184" s="33"/>
      <c r="S184" s="33"/>
      <c r="T184" s="33"/>
      <c r="U184" s="33"/>
      <c r="V184" s="33"/>
      <c r="W184" s="33"/>
      <c r="X184" s="34"/>
      <c r="Y184" s="33"/>
      <c r="Z184" s="34"/>
      <c r="AA184" s="33"/>
    </row>
    <row r="185" ht="15.75" customHeight="1">
      <c r="H185" s="33"/>
      <c r="I185" s="33"/>
      <c r="M185" s="33"/>
      <c r="N185" s="33"/>
      <c r="O185" s="33"/>
      <c r="P185" s="33"/>
      <c r="Q185" s="33"/>
      <c r="R185" s="33"/>
      <c r="S185" s="33"/>
      <c r="T185" s="33"/>
      <c r="U185" s="33"/>
      <c r="V185" s="33"/>
      <c r="W185" s="33"/>
      <c r="X185" s="34"/>
      <c r="Y185" s="33"/>
      <c r="Z185" s="34"/>
      <c r="AA185" s="33"/>
    </row>
    <row r="186" ht="15.75" customHeight="1">
      <c r="H186" s="33"/>
      <c r="I186" s="33"/>
      <c r="M186" s="33"/>
      <c r="N186" s="33"/>
      <c r="O186" s="33"/>
      <c r="P186" s="33"/>
      <c r="Q186" s="33"/>
      <c r="R186" s="33"/>
      <c r="S186" s="33"/>
      <c r="T186" s="33"/>
      <c r="U186" s="33"/>
      <c r="V186" s="33"/>
      <c r="W186" s="33"/>
      <c r="X186" s="34"/>
      <c r="Y186" s="33"/>
      <c r="Z186" s="34"/>
      <c r="AA186" s="33"/>
    </row>
    <row r="187" ht="15.75" customHeight="1">
      <c r="H187" s="33"/>
      <c r="I187" s="33"/>
      <c r="M187" s="33"/>
      <c r="N187" s="33"/>
      <c r="O187" s="33"/>
      <c r="P187" s="33"/>
      <c r="Q187" s="33"/>
      <c r="R187" s="33"/>
      <c r="S187" s="33"/>
      <c r="T187" s="33"/>
      <c r="U187" s="33"/>
      <c r="V187" s="33"/>
      <c r="W187" s="33"/>
      <c r="X187" s="34"/>
      <c r="Y187" s="33"/>
      <c r="Z187" s="34"/>
      <c r="AA187" s="33"/>
    </row>
    <row r="188" ht="15.75" customHeight="1">
      <c r="H188" s="33"/>
      <c r="I188" s="33"/>
      <c r="M188" s="33"/>
      <c r="N188" s="33"/>
      <c r="O188" s="33"/>
      <c r="P188" s="33"/>
      <c r="Q188" s="33"/>
      <c r="R188" s="33"/>
      <c r="S188" s="33"/>
      <c r="T188" s="33"/>
      <c r="U188" s="33"/>
      <c r="V188" s="33"/>
      <c r="W188" s="33"/>
      <c r="X188" s="34"/>
      <c r="Y188" s="33"/>
      <c r="Z188" s="34"/>
      <c r="AA188" s="33"/>
    </row>
    <row r="189" ht="15.75" customHeight="1">
      <c r="H189" s="33"/>
      <c r="I189" s="33"/>
      <c r="M189" s="33"/>
      <c r="N189" s="33"/>
      <c r="O189" s="33"/>
      <c r="P189" s="33"/>
      <c r="Q189" s="33"/>
      <c r="R189" s="33"/>
      <c r="S189" s="33"/>
      <c r="T189" s="33"/>
      <c r="U189" s="33"/>
      <c r="V189" s="33"/>
      <c r="W189" s="33"/>
      <c r="X189" s="34"/>
      <c r="Y189" s="33"/>
      <c r="Z189" s="34"/>
      <c r="AA189" s="33"/>
    </row>
    <row r="190" ht="15.75" customHeight="1">
      <c r="H190" s="33"/>
      <c r="I190" s="33"/>
      <c r="M190" s="33"/>
      <c r="N190" s="33"/>
      <c r="O190" s="33"/>
      <c r="P190" s="33"/>
      <c r="Q190" s="33"/>
      <c r="R190" s="33"/>
      <c r="S190" s="33"/>
      <c r="T190" s="33"/>
      <c r="U190" s="33"/>
      <c r="V190" s="33"/>
      <c r="W190" s="33"/>
      <c r="X190" s="34"/>
      <c r="Y190" s="33"/>
      <c r="Z190" s="34"/>
      <c r="AA190" s="33"/>
    </row>
    <row r="191" ht="15.75" customHeight="1">
      <c r="H191" s="33"/>
      <c r="I191" s="33"/>
      <c r="M191" s="33"/>
      <c r="N191" s="33"/>
      <c r="O191" s="33"/>
      <c r="P191" s="33"/>
      <c r="Q191" s="33"/>
      <c r="R191" s="33"/>
      <c r="S191" s="33"/>
      <c r="T191" s="33"/>
      <c r="U191" s="33"/>
      <c r="V191" s="33"/>
      <c r="W191" s="33"/>
      <c r="X191" s="34"/>
      <c r="Y191" s="33"/>
      <c r="Z191" s="34"/>
      <c r="AA191" s="33"/>
    </row>
    <row r="192" ht="15.75" customHeight="1">
      <c r="H192" s="33"/>
      <c r="I192" s="33"/>
      <c r="M192" s="33"/>
      <c r="N192" s="33"/>
      <c r="O192" s="33"/>
      <c r="P192" s="33"/>
      <c r="Q192" s="33"/>
      <c r="R192" s="33"/>
      <c r="S192" s="33"/>
      <c r="T192" s="33"/>
      <c r="U192" s="33"/>
      <c r="V192" s="33"/>
      <c r="W192" s="33"/>
      <c r="X192" s="34"/>
      <c r="Y192" s="33"/>
      <c r="Z192" s="34"/>
      <c r="AA192" s="33"/>
    </row>
    <row r="193" ht="15.75" customHeight="1">
      <c r="H193" s="33"/>
      <c r="I193" s="33"/>
      <c r="M193" s="33"/>
      <c r="N193" s="33"/>
      <c r="O193" s="33"/>
      <c r="P193" s="33"/>
      <c r="Q193" s="33"/>
      <c r="R193" s="33"/>
      <c r="S193" s="33"/>
      <c r="T193" s="33"/>
      <c r="U193" s="33"/>
      <c r="V193" s="33"/>
      <c r="W193" s="33"/>
      <c r="X193" s="34"/>
      <c r="Y193" s="33"/>
      <c r="Z193" s="34"/>
      <c r="AA193" s="33"/>
    </row>
    <row r="194" ht="15.75" customHeight="1">
      <c r="H194" s="33"/>
      <c r="I194" s="33"/>
      <c r="M194" s="33"/>
      <c r="N194" s="33"/>
      <c r="O194" s="33"/>
      <c r="P194" s="33"/>
      <c r="Q194" s="33"/>
      <c r="R194" s="33"/>
      <c r="S194" s="33"/>
      <c r="T194" s="33"/>
      <c r="U194" s="33"/>
      <c r="V194" s="33"/>
      <c r="W194" s="33"/>
      <c r="X194" s="34"/>
      <c r="Y194" s="33"/>
      <c r="Z194" s="34"/>
      <c r="AA194" s="33"/>
    </row>
    <row r="195" ht="15.75" customHeight="1">
      <c r="H195" s="33"/>
      <c r="I195" s="33"/>
      <c r="M195" s="33"/>
      <c r="N195" s="33"/>
      <c r="O195" s="33"/>
      <c r="P195" s="33"/>
      <c r="Q195" s="33"/>
      <c r="R195" s="33"/>
      <c r="S195" s="33"/>
      <c r="T195" s="33"/>
      <c r="U195" s="33"/>
      <c r="V195" s="33"/>
      <c r="W195" s="33"/>
      <c r="X195" s="34"/>
      <c r="Y195" s="33"/>
      <c r="Z195" s="34"/>
      <c r="AA195" s="33"/>
    </row>
    <row r="196" ht="15.75" customHeight="1">
      <c r="H196" s="33"/>
      <c r="I196" s="33"/>
      <c r="M196" s="33"/>
      <c r="N196" s="33"/>
      <c r="O196" s="33"/>
      <c r="P196" s="33"/>
      <c r="Q196" s="33"/>
      <c r="R196" s="33"/>
      <c r="S196" s="33"/>
      <c r="T196" s="33"/>
      <c r="U196" s="33"/>
      <c r="V196" s="33"/>
      <c r="W196" s="33"/>
      <c r="X196" s="34"/>
      <c r="Y196" s="33"/>
      <c r="Z196" s="34"/>
      <c r="AA196" s="33"/>
    </row>
    <row r="197" ht="15.75" customHeight="1">
      <c r="H197" s="33"/>
      <c r="I197" s="33"/>
      <c r="M197" s="33"/>
      <c r="N197" s="33"/>
      <c r="O197" s="33"/>
      <c r="P197" s="33"/>
      <c r="Q197" s="33"/>
      <c r="R197" s="33"/>
      <c r="S197" s="33"/>
      <c r="T197" s="33"/>
      <c r="U197" s="33"/>
      <c r="V197" s="33"/>
      <c r="W197" s="33"/>
      <c r="X197" s="34"/>
      <c r="Y197" s="33"/>
      <c r="Z197" s="34"/>
      <c r="AA197" s="33"/>
    </row>
    <row r="198" ht="15.75" customHeight="1">
      <c r="H198" s="33"/>
      <c r="I198" s="33"/>
      <c r="M198" s="33"/>
      <c r="N198" s="33"/>
      <c r="O198" s="33"/>
      <c r="P198" s="33"/>
      <c r="Q198" s="33"/>
      <c r="R198" s="33"/>
      <c r="S198" s="33"/>
      <c r="T198" s="33"/>
      <c r="U198" s="33"/>
      <c r="V198" s="33"/>
      <c r="W198" s="33"/>
      <c r="X198" s="34"/>
      <c r="Y198" s="33"/>
      <c r="Z198" s="34"/>
      <c r="AA198" s="33"/>
    </row>
    <row r="199" ht="15.75" customHeight="1">
      <c r="H199" s="33"/>
      <c r="I199" s="33"/>
      <c r="M199" s="33"/>
      <c r="N199" s="33"/>
      <c r="O199" s="33"/>
      <c r="P199" s="33"/>
      <c r="Q199" s="33"/>
      <c r="R199" s="33"/>
      <c r="S199" s="33"/>
      <c r="T199" s="33"/>
      <c r="U199" s="33"/>
      <c r="V199" s="33"/>
      <c r="W199" s="33"/>
      <c r="X199" s="34"/>
      <c r="Y199" s="33"/>
      <c r="Z199" s="34"/>
      <c r="AA199" s="33"/>
    </row>
    <row r="200" ht="15.75" customHeight="1">
      <c r="H200" s="33"/>
      <c r="I200" s="33"/>
      <c r="M200" s="33"/>
      <c r="N200" s="33"/>
      <c r="O200" s="33"/>
      <c r="P200" s="33"/>
      <c r="Q200" s="33"/>
      <c r="R200" s="33"/>
      <c r="S200" s="33"/>
      <c r="T200" s="33"/>
      <c r="U200" s="33"/>
      <c r="V200" s="33"/>
      <c r="W200" s="33"/>
      <c r="X200" s="34"/>
      <c r="Y200" s="33"/>
      <c r="Z200" s="34"/>
      <c r="AA200" s="33"/>
    </row>
    <row r="201" ht="15.75" customHeight="1">
      <c r="H201" s="33"/>
      <c r="I201" s="33"/>
      <c r="M201" s="33"/>
      <c r="N201" s="33"/>
      <c r="O201" s="33"/>
      <c r="P201" s="33"/>
      <c r="Q201" s="33"/>
      <c r="R201" s="33"/>
      <c r="S201" s="33"/>
      <c r="T201" s="33"/>
      <c r="U201" s="33"/>
      <c r="V201" s="33"/>
      <c r="W201" s="33"/>
      <c r="X201" s="34"/>
      <c r="Y201" s="33"/>
      <c r="Z201" s="34"/>
      <c r="AA201" s="33"/>
    </row>
    <row r="202" ht="15.75" customHeight="1">
      <c r="H202" s="33"/>
      <c r="I202" s="33"/>
      <c r="M202" s="33"/>
      <c r="N202" s="33"/>
      <c r="O202" s="33"/>
      <c r="P202" s="33"/>
      <c r="Q202" s="33"/>
      <c r="R202" s="33"/>
      <c r="S202" s="33"/>
      <c r="T202" s="33"/>
      <c r="U202" s="33"/>
      <c r="V202" s="33"/>
      <c r="W202" s="33"/>
      <c r="X202" s="34"/>
      <c r="Y202" s="33"/>
      <c r="Z202" s="34"/>
      <c r="AA202" s="33"/>
    </row>
    <row r="203" ht="15.75" customHeight="1">
      <c r="H203" s="33"/>
      <c r="I203" s="33"/>
      <c r="M203" s="33"/>
      <c r="N203" s="33"/>
      <c r="O203" s="33"/>
      <c r="P203" s="33"/>
      <c r="Q203" s="33"/>
      <c r="R203" s="33"/>
      <c r="S203" s="33"/>
      <c r="T203" s="33"/>
      <c r="U203" s="33"/>
      <c r="V203" s="33"/>
      <c r="W203" s="33"/>
      <c r="X203" s="34"/>
      <c r="Y203" s="33"/>
      <c r="Z203" s="34"/>
      <c r="AA203" s="33"/>
    </row>
    <row r="204" ht="15.75" customHeight="1">
      <c r="H204" s="33"/>
      <c r="I204" s="33"/>
      <c r="M204" s="33"/>
      <c r="N204" s="33"/>
      <c r="O204" s="33"/>
      <c r="P204" s="33"/>
      <c r="Q204" s="33"/>
      <c r="R204" s="33"/>
      <c r="S204" s="33"/>
      <c r="T204" s="33"/>
      <c r="U204" s="33"/>
      <c r="V204" s="33"/>
      <c r="W204" s="33"/>
      <c r="X204" s="34"/>
      <c r="Y204" s="33"/>
      <c r="Z204" s="34"/>
      <c r="AA204" s="33"/>
    </row>
    <row r="205" ht="15.75" customHeight="1">
      <c r="H205" s="33"/>
      <c r="I205" s="33"/>
      <c r="M205" s="33"/>
      <c r="N205" s="33"/>
      <c r="O205" s="33"/>
      <c r="P205" s="33"/>
      <c r="Q205" s="33"/>
      <c r="R205" s="33"/>
      <c r="S205" s="33"/>
      <c r="T205" s="33"/>
      <c r="U205" s="33"/>
      <c r="V205" s="33"/>
      <c r="W205" s="33"/>
      <c r="X205" s="34"/>
      <c r="Y205" s="33"/>
      <c r="Z205" s="34"/>
      <c r="AA205" s="33"/>
    </row>
    <row r="206" ht="15.75" customHeight="1">
      <c r="H206" s="33"/>
      <c r="I206" s="33"/>
      <c r="M206" s="33"/>
      <c r="N206" s="33"/>
      <c r="O206" s="33"/>
      <c r="P206" s="33"/>
      <c r="Q206" s="33"/>
      <c r="R206" s="33"/>
      <c r="S206" s="33"/>
      <c r="T206" s="33"/>
      <c r="U206" s="33"/>
      <c r="V206" s="33"/>
      <c r="W206" s="33"/>
      <c r="X206" s="34"/>
      <c r="Y206" s="33"/>
      <c r="Z206" s="34"/>
      <c r="AA206" s="33"/>
    </row>
    <row r="207" ht="15.75" customHeight="1">
      <c r="H207" s="33"/>
      <c r="I207" s="33"/>
      <c r="M207" s="33"/>
      <c r="N207" s="33"/>
      <c r="O207" s="33"/>
      <c r="P207" s="33"/>
      <c r="Q207" s="33"/>
      <c r="R207" s="33"/>
      <c r="S207" s="33"/>
      <c r="T207" s="33"/>
      <c r="U207" s="33"/>
      <c r="V207" s="33"/>
      <c r="W207" s="33"/>
      <c r="X207" s="34"/>
      <c r="Y207" s="33"/>
      <c r="Z207" s="34"/>
      <c r="AA207" s="33"/>
    </row>
    <row r="208" ht="15.75" customHeight="1">
      <c r="H208" s="33"/>
      <c r="I208" s="33"/>
      <c r="M208" s="33"/>
      <c r="N208" s="33"/>
      <c r="O208" s="33"/>
      <c r="P208" s="33"/>
      <c r="Q208" s="33"/>
      <c r="R208" s="33"/>
      <c r="S208" s="33"/>
      <c r="T208" s="33"/>
      <c r="U208" s="33"/>
      <c r="V208" s="33"/>
      <c r="W208" s="33"/>
      <c r="X208" s="34"/>
      <c r="Y208" s="33"/>
      <c r="Z208" s="34"/>
      <c r="AA208" s="33"/>
    </row>
    <row r="209" ht="15.75" customHeight="1">
      <c r="H209" s="33"/>
      <c r="I209" s="33"/>
      <c r="M209" s="33"/>
      <c r="N209" s="33"/>
      <c r="O209" s="33"/>
      <c r="P209" s="33"/>
      <c r="Q209" s="33"/>
      <c r="R209" s="33"/>
      <c r="S209" s="33"/>
      <c r="T209" s="33"/>
      <c r="U209" s="33"/>
      <c r="V209" s="33"/>
      <c r="W209" s="33"/>
      <c r="X209" s="34"/>
      <c r="Y209" s="33"/>
      <c r="Z209" s="34"/>
      <c r="AA209" s="33"/>
    </row>
    <row r="210" ht="15.75" customHeight="1">
      <c r="H210" s="33"/>
      <c r="I210" s="33"/>
      <c r="M210" s="33"/>
      <c r="N210" s="33"/>
      <c r="O210" s="33"/>
      <c r="P210" s="33"/>
      <c r="Q210" s="33"/>
      <c r="R210" s="33"/>
      <c r="S210" s="33"/>
      <c r="T210" s="33"/>
      <c r="U210" s="33"/>
      <c r="V210" s="33"/>
      <c r="W210" s="33"/>
      <c r="X210" s="34"/>
      <c r="Y210" s="33"/>
      <c r="Z210" s="34"/>
      <c r="AA210" s="33"/>
    </row>
    <row r="211" ht="15.75" customHeight="1">
      <c r="H211" s="33"/>
      <c r="I211" s="33"/>
      <c r="M211" s="33"/>
      <c r="N211" s="33"/>
      <c r="O211" s="33"/>
      <c r="P211" s="33"/>
      <c r="Q211" s="33"/>
      <c r="R211" s="33"/>
      <c r="S211" s="33"/>
      <c r="T211" s="33"/>
      <c r="U211" s="33"/>
      <c r="V211" s="33"/>
      <c r="W211" s="33"/>
      <c r="X211" s="34"/>
      <c r="Y211" s="33"/>
      <c r="Z211" s="34"/>
      <c r="AA211" s="33"/>
    </row>
    <row r="212" ht="15.75" customHeight="1">
      <c r="H212" s="33"/>
      <c r="I212" s="33"/>
      <c r="M212" s="33"/>
      <c r="N212" s="33"/>
      <c r="O212" s="33"/>
      <c r="P212" s="33"/>
      <c r="Q212" s="33"/>
      <c r="R212" s="33"/>
      <c r="S212" s="33"/>
      <c r="T212" s="33"/>
      <c r="U212" s="33"/>
      <c r="V212" s="33"/>
      <c r="W212" s="33"/>
      <c r="X212" s="34"/>
      <c r="Y212" s="33"/>
      <c r="Z212" s="34"/>
      <c r="AA212" s="33"/>
    </row>
    <row r="213" ht="15.75" customHeight="1">
      <c r="H213" s="33"/>
      <c r="I213" s="33"/>
      <c r="M213" s="33"/>
      <c r="N213" s="33"/>
      <c r="O213" s="33"/>
      <c r="P213" s="33"/>
      <c r="Q213" s="33"/>
      <c r="R213" s="33"/>
      <c r="S213" s="33"/>
      <c r="T213" s="33"/>
      <c r="U213" s="33"/>
      <c r="V213" s="33"/>
      <c r="W213" s="33"/>
      <c r="X213" s="34"/>
      <c r="Y213" s="33"/>
      <c r="Z213" s="34"/>
      <c r="AA213" s="33"/>
    </row>
    <row r="214" ht="15.75" customHeight="1">
      <c r="H214" s="33"/>
      <c r="I214" s="33"/>
      <c r="M214" s="33"/>
      <c r="N214" s="33"/>
      <c r="O214" s="33"/>
      <c r="P214" s="33"/>
      <c r="Q214" s="33"/>
      <c r="R214" s="33"/>
      <c r="S214" s="33"/>
      <c r="T214" s="33"/>
      <c r="U214" s="33"/>
      <c r="V214" s="33"/>
      <c r="W214" s="33"/>
      <c r="X214" s="34"/>
      <c r="Y214" s="33"/>
      <c r="Z214" s="34"/>
      <c r="AA214" s="33"/>
    </row>
    <row r="215" ht="15.75" customHeight="1">
      <c r="H215" s="33"/>
      <c r="I215" s="33"/>
      <c r="M215" s="33"/>
      <c r="N215" s="33"/>
      <c r="O215" s="33"/>
      <c r="P215" s="33"/>
      <c r="Q215" s="33"/>
      <c r="R215" s="33"/>
      <c r="S215" s="33"/>
      <c r="T215" s="33"/>
      <c r="U215" s="33"/>
      <c r="V215" s="33"/>
      <c r="W215" s="33"/>
      <c r="X215" s="34"/>
      <c r="Y215" s="33"/>
      <c r="Z215" s="34"/>
      <c r="AA215" s="33"/>
    </row>
    <row r="216" ht="15.75" customHeight="1">
      <c r="H216" s="33"/>
      <c r="I216" s="33"/>
      <c r="M216" s="33"/>
      <c r="N216" s="33"/>
      <c r="O216" s="33"/>
      <c r="P216" s="33"/>
      <c r="Q216" s="33"/>
      <c r="R216" s="33"/>
      <c r="S216" s="33"/>
      <c r="T216" s="33"/>
      <c r="U216" s="33"/>
      <c r="V216" s="33"/>
      <c r="W216" s="33"/>
      <c r="X216" s="34"/>
      <c r="Y216" s="33"/>
      <c r="Z216" s="34"/>
      <c r="AA216" s="33"/>
    </row>
    <row r="217" ht="15.75" customHeight="1">
      <c r="H217" s="33"/>
      <c r="I217" s="33"/>
      <c r="M217" s="33"/>
      <c r="N217" s="33"/>
      <c r="O217" s="33"/>
      <c r="P217" s="33"/>
      <c r="Q217" s="33"/>
      <c r="R217" s="33"/>
      <c r="S217" s="33"/>
      <c r="T217" s="33"/>
      <c r="U217" s="33"/>
      <c r="V217" s="33"/>
      <c r="W217" s="33"/>
      <c r="X217" s="34"/>
      <c r="Y217" s="33"/>
      <c r="Z217" s="34"/>
      <c r="AA217" s="33"/>
    </row>
    <row r="218" ht="15.75" customHeight="1">
      <c r="H218" s="33"/>
      <c r="I218" s="33"/>
      <c r="M218" s="33"/>
      <c r="N218" s="33"/>
      <c r="O218" s="33"/>
      <c r="P218" s="33"/>
      <c r="Q218" s="33"/>
      <c r="R218" s="33"/>
      <c r="S218" s="33"/>
      <c r="T218" s="33"/>
      <c r="U218" s="33"/>
      <c r="V218" s="33"/>
      <c r="W218" s="33"/>
      <c r="X218" s="34"/>
      <c r="Y218" s="33"/>
      <c r="Z218" s="34"/>
      <c r="AA218" s="33"/>
    </row>
    <row r="219" ht="15.75" customHeight="1">
      <c r="H219" s="33"/>
      <c r="I219" s="33"/>
      <c r="M219" s="33"/>
      <c r="N219" s="33"/>
      <c r="O219" s="33"/>
      <c r="P219" s="33"/>
      <c r="Q219" s="33"/>
      <c r="R219" s="33"/>
      <c r="S219" s="33"/>
      <c r="T219" s="33"/>
      <c r="U219" s="33"/>
      <c r="V219" s="33"/>
      <c r="W219" s="33"/>
      <c r="X219" s="34"/>
      <c r="Y219" s="33"/>
      <c r="Z219" s="34"/>
      <c r="AA219" s="33"/>
    </row>
    <row r="220" ht="15.75" customHeight="1">
      <c r="H220" s="33"/>
      <c r="I220" s="33"/>
      <c r="M220" s="33"/>
      <c r="N220" s="33"/>
      <c r="O220" s="33"/>
      <c r="P220" s="33"/>
      <c r="Q220" s="33"/>
      <c r="R220" s="33"/>
      <c r="S220" s="33"/>
      <c r="T220" s="33"/>
      <c r="U220" s="33"/>
      <c r="V220" s="33"/>
      <c r="W220" s="33"/>
      <c r="X220" s="34"/>
      <c r="Y220" s="33"/>
      <c r="Z220" s="34"/>
      <c r="AA220" s="33"/>
    </row>
    <row r="221" ht="15.75" customHeight="1">
      <c r="H221" s="33"/>
      <c r="I221" s="33"/>
      <c r="M221" s="33"/>
      <c r="N221" s="33"/>
      <c r="O221" s="33"/>
      <c r="P221" s="33"/>
      <c r="Q221" s="33"/>
      <c r="R221" s="33"/>
      <c r="S221" s="33"/>
      <c r="T221" s="33"/>
      <c r="U221" s="33"/>
      <c r="V221" s="33"/>
      <c r="W221" s="33"/>
      <c r="X221" s="34"/>
      <c r="Y221" s="33"/>
      <c r="Z221" s="34"/>
      <c r="AA221" s="33"/>
    </row>
    <row r="222" ht="15.75" customHeight="1">
      <c r="H222" s="33"/>
      <c r="I222" s="33"/>
      <c r="M222" s="33"/>
      <c r="N222" s="33"/>
      <c r="O222" s="33"/>
      <c r="P222" s="33"/>
      <c r="Q222" s="33"/>
      <c r="R222" s="33"/>
      <c r="S222" s="33"/>
      <c r="T222" s="33"/>
      <c r="U222" s="33"/>
      <c r="V222" s="33"/>
      <c r="W222" s="33"/>
      <c r="X222" s="34"/>
      <c r="Y222" s="33"/>
      <c r="Z222" s="34"/>
      <c r="AA222" s="33"/>
    </row>
    <row r="223" ht="15.75" customHeight="1">
      <c r="H223" s="33"/>
      <c r="I223" s="33"/>
      <c r="M223" s="33"/>
      <c r="N223" s="33"/>
      <c r="O223" s="33"/>
      <c r="P223" s="33"/>
      <c r="Q223" s="33"/>
      <c r="R223" s="33"/>
      <c r="S223" s="33"/>
      <c r="T223" s="33"/>
      <c r="U223" s="33"/>
      <c r="V223" s="33"/>
      <c r="W223" s="33"/>
      <c r="X223" s="34"/>
      <c r="Y223" s="33"/>
      <c r="Z223" s="34"/>
      <c r="AA223" s="33"/>
    </row>
    <row r="224" ht="15.75" customHeight="1">
      <c r="H224" s="33"/>
      <c r="I224" s="33"/>
      <c r="M224" s="33"/>
      <c r="N224" s="33"/>
      <c r="O224" s="33"/>
      <c r="P224" s="33"/>
      <c r="Q224" s="33"/>
      <c r="R224" s="33"/>
      <c r="S224" s="33"/>
      <c r="T224" s="33"/>
      <c r="U224" s="33"/>
      <c r="V224" s="33"/>
      <c r="W224" s="33"/>
      <c r="X224" s="34"/>
      <c r="Y224" s="33"/>
      <c r="Z224" s="34"/>
      <c r="AA224" s="33"/>
    </row>
    <row r="225" ht="15.75" customHeight="1">
      <c r="H225" s="33"/>
      <c r="I225" s="33"/>
      <c r="M225" s="33"/>
      <c r="N225" s="33"/>
      <c r="O225" s="33"/>
      <c r="P225" s="33"/>
      <c r="Q225" s="33"/>
      <c r="R225" s="33"/>
      <c r="S225" s="33"/>
      <c r="T225" s="33"/>
      <c r="U225" s="33"/>
      <c r="V225" s="33"/>
      <c r="W225" s="33"/>
      <c r="X225" s="34"/>
      <c r="Y225" s="33"/>
      <c r="Z225" s="34"/>
      <c r="AA225" s="33"/>
    </row>
    <row r="226" ht="15.75" customHeight="1">
      <c r="H226" s="33"/>
      <c r="I226" s="33"/>
      <c r="M226" s="33"/>
      <c r="N226" s="33"/>
      <c r="O226" s="33"/>
      <c r="P226" s="33"/>
      <c r="Q226" s="33"/>
      <c r="R226" s="33"/>
      <c r="S226" s="33"/>
      <c r="T226" s="33"/>
      <c r="U226" s="33"/>
      <c r="V226" s="33"/>
      <c r="W226" s="33"/>
      <c r="X226" s="34"/>
      <c r="Y226" s="33"/>
      <c r="Z226" s="34"/>
      <c r="AA226" s="33"/>
    </row>
    <row r="227" ht="15.75" customHeight="1">
      <c r="H227" s="33"/>
      <c r="I227" s="33"/>
      <c r="M227" s="33"/>
      <c r="N227" s="33"/>
      <c r="O227" s="33"/>
      <c r="P227" s="33"/>
      <c r="Q227" s="33"/>
      <c r="R227" s="33"/>
      <c r="S227" s="33"/>
      <c r="T227" s="33"/>
      <c r="U227" s="33"/>
      <c r="V227" s="33"/>
      <c r="W227" s="33"/>
      <c r="X227" s="34"/>
      <c r="Y227" s="33"/>
      <c r="Z227" s="34"/>
      <c r="AA227" s="33"/>
    </row>
    <row r="228" ht="15.75" customHeight="1">
      <c r="H228" s="33"/>
      <c r="I228" s="33"/>
      <c r="M228" s="33"/>
      <c r="N228" s="33"/>
      <c r="O228" s="33"/>
      <c r="P228" s="33"/>
      <c r="Q228" s="33"/>
      <c r="R228" s="33"/>
      <c r="S228" s="33"/>
      <c r="T228" s="33"/>
      <c r="U228" s="33"/>
      <c r="V228" s="33"/>
      <c r="W228" s="33"/>
      <c r="X228" s="34"/>
      <c r="Y228" s="33"/>
      <c r="Z228" s="34"/>
      <c r="AA228" s="33"/>
    </row>
    <row r="229" ht="15.75" customHeight="1">
      <c r="H229" s="33"/>
      <c r="I229" s="33"/>
      <c r="M229" s="33"/>
      <c r="N229" s="33"/>
      <c r="O229" s="33"/>
      <c r="P229" s="33"/>
      <c r="Q229" s="33"/>
      <c r="R229" s="33"/>
      <c r="S229" s="33"/>
      <c r="T229" s="33"/>
      <c r="U229" s="33"/>
      <c r="V229" s="33"/>
      <c r="W229" s="33"/>
      <c r="X229" s="34"/>
      <c r="Y229" s="33"/>
      <c r="Z229" s="34"/>
      <c r="AA229" s="33"/>
    </row>
    <row r="230" ht="15.75" customHeight="1">
      <c r="H230" s="33"/>
      <c r="I230" s="33"/>
      <c r="M230" s="33"/>
      <c r="N230" s="33"/>
      <c r="O230" s="33"/>
      <c r="P230" s="33"/>
      <c r="Q230" s="33"/>
      <c r="R230" s="33"/>
      <c r="S230" s="33"/>
      <c r="T230" s="33"/>
      <c r="U230" s="33"/>
      <c r="V230" s="33"/>
      <c r="W230" s="33"/>
      <c r="X230" s="34"/>
      <c r="Y230" s="33"/>
      <c r="Z230" s="34"/>
      <c r="AA230" s="33"/>
    </row>
    <row r="231" ht="15.75" customHeight="1">
      <c r="H231" s="33"/>
      <c r="I231" s="33"/>
      <c r="M231" s="33"/>
      <c r="N231" s="33"/>
      <c r="O231" s="33"/>
      <c r="P231" s="33"/>
      <c r="Q231" s="33"/>
      <c r="R231" s="33"/>
      <c r="S231" s="33"/>
      <c r="T231" s="33"/>
      <c r="U231" s="33"/>
      <c r="V231" s="33"/>
      <c r="W231" s="33"/>
      <c r="X231" s="34"/>
      <c r="Y231" s="33"/>
      <c r="Z231" s="34"/>
      <c r="AA231" s="33"/>
    </row>
    <row r="232" ht="15.75" customHeight="1">
      <c r="H232" s="33"/>
      <c r="I232" s="33"/>
      <c r="M232" s="33"/>
      <c r="N232" s="33"/>
      <c r="O232" s="33"/>
      <c r="P232" s="33"/>
      <c r="Q232" s="33"/>
      <c r="R232" s="33"/>
      <c r="S232" s="33"/>
      <c r="T232" s="33"/>
      <c r="U232" s="33"/>
      <c r="V232" s="33"/>
      <c r="W232" s="33"/>
      <c r="X232" s="34"/>
      <c r="Y232" s="33"/>
      <c r="Z232" s="34"/>
      <c r="AA232" s="33"/>
    </row>
    <row r="233" ht="15.75" customHeight="1">
      <c r="H233" s="33"/>
      <c r="I233" s="33"/>
      <c r="M233" s="33"/>
      <c r="N233" s="33"/>
      <c r="O233" s="33"/>
      <c r="P233" s="33"/>
      <c r="Q233" s="33"/>
      <c r="R233" s="33"/>
      <c r="S233" s="33"/>
      <c r="T233" s="33"/>
      <c r="U233" s="33"/>
      <c r="V233" s="33"/>
      <c r="W233" s="33"/>
      <c r="X233" s="34"/>
      <c r="Y233" s="33"/>
      <c r="Z233" s="34"/>
      <c r="AA233" s="33"/>
    </row>
    <row r="234" ht="15.75" customHeight="1">
      <c r="H234" s="33"/>
      <c r="I234" s="33"/>
      <c r="M234" s="33"/>
      <c r="N234" s="33"/>
      <c r="O234" s="33"/>
      <c r="P234" s="33"/>
      <c r="Q234" s="33"/>
      <c r="R234" s="33"/>
      <c r="S234" s="33"/>
      <c r="T234" s="33"/>
      <c r="U234" s="33"/>
      <c r="V234" s="33"/>
      <c r="W234" s="33"/>
      <c r="X234" s="34"/>
      <c r="Y234" s="33"/>
      <c r="Z234" s="34"/>
      <c r="AA234" s="33"/>
    </row>
    <row r="235" ht="15.75" customHeight="1">
      <c r="H235" s="33"/>
      <c r="I235" s="33"/>
      <c r="M235" s="33"/>
      <c r="N235" s="33"/>
      <c r="O235" s="33"/>
      <c r="P235" s="33"/>
      <c r="Q235" s="33"/>
      <c r="R235" s="33"/>
      <c r="S235" s="33"/>
      <c r="T235" s="33"/>
      <c r="U235" s="33"/>
      <c r="V235" s="33"/>
      <c r="W235" s="33"/>
      <c r="X235" s="34"/>
      <c r="Y235" s="33"/>
      <c r="Z235" s="34"/>
      <c r="AA235" s="33"/>
    </row>
    <row r="236" ht="15.75" customHeight="1">
      <c r="H236" s="33"/>
      <c r="I236" s="33"/>
      <c r="M236" s="33"/>
      <c r="N236" s="33"/>
      <c r="O236" s="33"/>
      <c r="P236" s="33"/>
      <c r="Q236" s="33"/>
      <c r="R236" s="33"/>
      <c r="S236" s="33"/>
      <c r="T236" s="33"/>
      <c r="U236" s="33"/>
      <c r="V236" s="33"/>
      <c r="W236" s="33"/>
      <c r="X236" s="34"/>
      <c r="Y236" s="33"/>
      <c r="Z236" s="34"/>
      <c r="AA236" s="33"/>
    </row>
    <row r="237" ht="15.75" customHeight="1">
      <c r="H237" s="33"/>
      <c r="I237" s="33"/>
      <c r="M237" s="33"/>
      <c r="N237" s="33"/>
      <c r="O237" s="33"/>
      <c r="P237" s="33"/>
      <c r="Q237" s="33"/>
      <c r="R237" s="33"/>
      <c r="S237" s="33"/>
      <c r="T237" s="33"/>
      <c r="U237" s="33"/>
      <c r="V237" s="33"/>
      <c r="W237" s="33"/>
      <c r="X237" s="34"/>
      <c r="Y237" s="33"/>
      <c r="Z237" s="34"/>
      <c r="AA237" s="33"/>
    </row>
    <row r="238" ht="15.75" customHeight="1">
      <c r="H238" s="33"/>
      <c r="I238" s="33"/>
      <c r="M238" s="33"/>
      <c r="N238" s="33"/>
      <c r="O238" s="33"/>
      <c r="P238" s="33"/>
      <c r="Q238" s="33"/>
      <c r="R238" s="33"/>
      <c r="S238" s="33"/>
      <c r="T238" s="33"/>
      <c r="U238" s="33"/>
      <c r="V238" s="33"/>
      <c r="W238" s="33"/>
      <c r="X238" s="34"/>
      <c r="Y238" s="33"/>
      <c r="Z238" s="34"/>
      <c r="AA238" s="33"/>
    </row>
    <row r="239" ht="15.75" customHeight="1">
      <c r="H239" s="33"/>
      <c r="I239" s="33"/>
      <c r="M239" s="33"/>
      <c r="N239" s="33"/>
      <c r="O239" s="33"/>
      <c r="P239" s="33"/>
      <c r="Q239" s="33"/>
      <c r="R239" s="33"/>
      <c r="S239" s="33"/>
      <c r="T239" s="33"/>
      <c r="U239" s="33"/>
      <c r="V239" s="33"/>
      <c r="W239" s="33"/>
      <c r="X239" s="34"/>
      <c r="Y239" s="33"/>
      <c r="Z239" s="34"/>
      <c r="AA239" s="33"/>
    </row>
    <row r="240" ht="15.75" customHeight="1">
      <c r="H240" s="33"/>
      <c r="I240" s="33"/>
      <c r="M240" s="33"/>
      <c r="N240" s="33"/>
      <c r="O240" s="33"/>
      <c r="P240" s="33"/>
      <c r="Q240" s="33"/>
      <c r="R240" s="33"/>
      <c r="S240" s="33"/>
      <c r="T240" s="33"/>
      <c r="U240" s="33"/>
      <c r="V240" s="33"/>
      <c r="W240" s="33"/>
      <c r="X240" s="34"/>
      <c r="Y240" s="33"/>
      <c r="Z240" s="34"/>
      <c r="AA240" s="33"/>
    </row>
    <row r="241" ht="15.75" customHeight="1">
      <c r="H241" s="33"/>
      <c r="I241" s="33"/>
      <c r="M241" s="33"/>
      <c r="N241" s="33"/>
      <c r="O241" s="33"/>
      <c r="P241" s="33"/>
      <c r="Q241" s="33"/>
      <c r="R241" s="33"/>
      <c r="S241" s="33"/>
      <c r="T241" s="33"/>
      <c r="U241" s="33"/>
      <c r="V241" s="33"/>
      <c r="W241" s="33"/>
      <c r="X241" s="34"/>
      <c r="Y241" s="33"/>
      <c r="Z241" s="34"/>
      <c r="AA241" s="33"/>
    </row>
    <row r="242" ht="15.75" customHeight="1">
      <c r="H242" s="33"/>
      <c r="I242" s="33"/>
      <c r="M242" s="33"/>
      <c r="N242" s="33"/>
      <c r="O242" s="33"/>
      <c r="P242" s="33"/>
      <c r="Q242" s="33"/>
      <c r="R242" s="33"/>
      <c r="S242" s="33"/>
      <c r="T242" s="33"/>
      <c r="U242" s="33"/>
      <c r="V242" s="33"/>
      <c r="W242" s="33"/>
      <c r="X242" s="34"/>
      <c r="Y242" s="33"/>
      <c r="Z242" s="34"/>
      <c r="AA242" s="33"/>
    </row>
    <row r="243" ht="15.75" customHeight="1">
      <c r="H243" s="33"/>
      <c r="I243" s="33"/>
      <c r="M243" s="33"/>
      <c r="N243" s="33"/>
      <c r="O243" s="33"/>
      <c r="P243" s="33"/>
      <c r="Q243" s="33"/>
      <c r="R243" s="33"/>
      <c r="S243" s="33"/>
      <c r="T243" s="33"/>
      <c r="U243" s="33"/>
      <c r="V243" s="33"/>
      <c r="W243" s="33"/>
      <c r="X243" s="34"/>
      <c r="Y243" s="33"/>
      <c r="Z243" s="34"/>
      <c r="AA243" s="33"/>
    </row>
    <row r="244" ht="15.75" customHeight="1">
      <c r="H244" s="33"/>
      <c r="I244" s="33"/>
      <c r="M244" s="33"/>
      <c r="N244" s="33"/>
      <c r="O244" s="33"/>
      <c r="P244" s="33"/>
      <c r="Q244" s="33"/>
      <c r="R244" s="33"/>
      <c r="S244" s="33"/>
      <c r="T244" s="33"/>
      <c r="U244" s="33"/>
      <c r="V244" s="33"/>
      <c r="W244" s="33"/>
      <c r="X244" s="34"/>
      <c r="Y244" s="33"/>
      <c r="Z244" s="34"/>
      <c r="AA244" s="33"/>
    </row>
    <row r="245" ht="15.75" customHeight="1">
      <c r="H245" s="33"/>
      <c r="I245" s="33"/>
      <c r="M245" s="33"/>
      <c r="N245" s="33"/>
      <c r="O245" s="33"/>
      <c r="P245" s="33"/>
      <c r="Q245" s="33"/>
      <c r="R245" s="33"/>
      <c r="S245" s="33"/>
      <c r="T245" s="33"/>
      <c r="U245" s="33"/>
      <c r="V245" s="33"/>
      <c r="W245" s="33"/>
      <c r="X245" s="34"/>
      <c r="Y245" s="33"/>
      <c r="Z245" s="34"/>
      <c r="AA245" s="33"/>
    </row>
    <row r="246" ht="15.75" customHeight="1">
      <c r="H246" s="33"/>
      <c r="I246" s="33"/>
      <c r="M246" s="33"/>
      <c r="N246" s="33"/>
      <c r="O246" s="33"/>
      <c r="P246" s="33"/>
      <c r="Q246" s="33"/>
      <c r="R246" s="33"/>
      <c r="S246" s="33"/>
      <c r="T246" s="33"/>
      <c r="U246" s="33"/>
      <c r="V246" s="33"/>
      <c r="W246" s="33"/>
      <c r="X246" s="34"/>
      <c r="Y246" s="33"/>
      <c r="Z246" s="34"/>
      <c r="AA246" s="33"/>
    </row>
    <row r="247" ht="15.75" customHeight="1">
      <c r="H247" s="33"/>
      <c r="I247" s="33"/>
      <c r="M247" s="33"/>
      <c r="N247" s="33"/>
      <c r="O247" s="33"/>
      <c r="P247" s="33"/>
      <c r="Q247" s="33"/>
      <c r="R247" s="33"/>
      <c r="S247" s="33"/>
      <c r="T247" s="33"/>
      <c r="U247" s="33"/>
      <c r="V247" s="33"/>
      <c r="W247" s="33"/>
      <c r="X247" s="34"/>
      <c r="Y247" s="33"/>
      <c r="Z247" s="34"/>
      <c r="AA247" s="33"/>
    </row>
    <row r="248" ht="15.75" customHeight="1">
      <c r="H248" s="33"/>
      <c r="I248" s="33"/>
      <c r="M248" s="33"/>
      <c r="N248" s="33"/>
      <c r="O248" s="33"/>
      <c r="P248" s="33"/>
      <c r="Q248" s="33"/>
      <c r="R248" s="33"/>
      <c r="S248" s="33"/>
      <c r="T248" s="33"/>
      <c r="U248" s="33"/>
      <c r="V248" s="33"/>
      <c r="W248" s="33"/>
      <c r="X248" s="34"/>
      <c r="Y248" s="33"/>
      <c r="Z248" s="34"/>
      <c r="AA248" s="33"/>
    </row>
    <row r="249" ht="15.75" customHeight="1">
      <c r="H249" s="33"/>
      <c r="I249" s="33"/>
      <c r="M249" s="33"/>
      <c r="N249" s="33"/>
      <c r="O249" s="33"/>
      <c r="P249" s="33"/>
      <c r="Q249" s="33"/>
      <c r="R249" s="33"/>
      <c r="S249" s="33"/>
      <c r="T249" s="33"/>
      <c r="U249" s="33"/>
      <c r="V249" s="33"/>
      <c r="W249" s="33"/>
      <c r="X249" s="34"/>
      <c r="Y249" s="33"/>
      <c r="Z249" s="34"/>
      <c r="AA249" s="33"/>
    </row>
    <row r="250" ht="15.75" customHeight="1">
      <c r="H250" s="33"/>
      <c r="I250" s="33"/>
      <c r="M250" s="33"/>
      <c r="N250" s="33"/>
      <c r="O250" s="33"/>
      <c r="P250" s="33"/>
      <c r="Q250" s="33"/>
      <c r="R250" s="33"/>
      <c r="S250" s="33"/>
      <c r="T250" s="33"/>
      <c r="U250" s="33"/>
      <c r="V250" s="33"/>
      <c r="W250" s="33"/>
      <c r="X250" s="34"/>
      <c r="Y250" s="33"/>
      <c r="Z250" s="34"/>
      <c r="AA250" s="33"/>
    </row>
    <row r="251" ht="15.75" customHeight="1">
      <c r="H251" s="33"/>
      <c r="I251" s="33"/>
      <c r="M251" s="33"/>
      <c r="N251" s="33"/>
      <c r="O251" s="33"/>
      <c r="P251" s="33"/>
      <c r="Q251" s="33"/>
      <c r="R251" s="33"/>
      <c r="S251" s="33"/>
      <c r="T251" s="33"/>
      <c r="U251" s="33"/>
      <c r="V251" s="33"/>
      <c r="W251" s="33"/>
      <c r="X251" s="34"/>
      <c r="Y251" s="33"/>
      <c r="Z251" s="34"/>
      <c r="AA251" s="33"/>
    </row>
    <row r="252" ht="15.75" customHeight="1">
      <c r="H252" s="33"/>
      <c r="I252" s="33"/>
      <c r="M252" s="33"/>
      <c r="N252" s="33"/>
      <c r="O252" s="33"/>
      <c r="P252" s="33"/>
      <c r="Q252" s="33"/>
      <c r="R252" s="33"/>
      <c r="S252" s="33"/>
      <c r="T252" s="33"/>
      <c r="U252" s="33"/>
      <c r="V252" s="33"/>
      <c r="W252" s="33"/>
      <c r="X252" s="34"/>
      <c r="Y252" s="33"/>
      <c r="Z252" s="34"/>
      <c r="AA252" s="33"/>
    </row>
    <row r="253" ht="15.75" customHeight="1">
      <c r="H253" s="33"/>
      <c r="I253" s="33"/>
      <c r="M253" s="33"/>
      <c r="N253" s="33"/>
      <c r="O253" s="33"/>
      <c r="P253" s="33"/>
      <c r="Q253" s="33"/>
      <c r="R253" s="33"/>
      <c r="S253" s="33"/>
      <c r="T253" s="33"/>
      <c r="U253" s="33"/>
      <c r="V253" s="33"/>
      <c r="W253" s="33"/>
      <c r="X253" s="34"/>
      <c r="Y253" s="33"/>
      <c r="Z253" s="34"/>
      <c r="AA253" s="33"/>
    </row>
    <row r="254" ht="15.75" customHeight="1">
      <c r="H254" s="33"/>
      <c r="I254" s="33"/>
      <c r="M254" s="33"/>
      <c r="N254" s="33"/>
      <c r="O254" s="33"/>
      <c r="P254" s="33"/>
      <c r="Q254" s="33"/>
      <c r="R254" s="33"/>
      <c r="S254" s="33"/>
      <c r="T254" s="33"/>
      <c r="U254" s="33"/>
      <c r="V254" s="33"/>
      <c r="W254" s="33"/>
      <c r="X254" s="34"/>
      <c r="Y254" s="33"/>
      <c r="Z254" s="34"/>
      <c r="AA254" s="33"/>
    </row>
    <row r="255" ht="15.75" customHeight="1">
      <c r="H255" s="33"/>
      <c r="I255" s="33"/>
      <c r="M255" s="33"/>
      <c r="N255" s="33"/>
      <c r="O255" s="33"/>
      <c r="P255" s="33"/>
      <c r="Q255" s="33"/>
      <c r="R255" s="33"/>
      <c r="S255" s="33"/>
      <c r="T255" s="33"/>
      <c r="U255" s="33"/>
      <c r="V255" s="33"/>
      <c r="W255" s="33"/>
      <c r="X255" s="34"/>
      <c r="Y255" s="33"/>
      <c r="Z255" s="34"/>
      <c r="AA255" s="33"/>
    </row>
    <row r="256" ht="15.75" customHeight="1">
      <c r="H256" s="33"/>
      <c r="I256" s="33"/>
      <c r="M256" s="33"/>
      <c r="N256" s="33"/>
      <c r="O256" s="33"/>
      <c r="P256" s="33"/>
      <c r="Q256" s="33"/>
      <c r="R256" s="33"/>
      <c r="S256" s="33"/>
      <c r="T256" s="33"/>
      <c r="U256" s="33"/>
      <c r="V256" s="33"/>
      <c r="W256" s="33"/>
      <c r="X256" s="34"/>
      <c r="Y256" s="33"/>
      <c r="Z256" s="34"/>
      <c r="AA256" s="33"/>
    </row>
    <row r="257" ht="15.75" customHeight="1">
      <c r="H257" s="33"/>
      <c r="I257" s="33"/>
      <c r="M257" s="33"/>
      <c r="N257" s="33"/>
      <c r="O257" s="33"/>
      <c r="P257" s="33"/>
      <c r="Q257" s="33"/>
      <c r="R257" s="33"/>
      <c r="S257" s="33"/>
      <c r="T257" s="33"/>
      <c r="U257" s="33"/>
      <c r="V257" s="33"/>
      <c r="W257" s="33"/>
      <c r="X257" s="34"/>
      <c r="Y257" s="33"/>
      <c r="Z257" s="34"/>
      <c r="AA257" s="33"/>
    </row>
    <row r="258" ht="15.75" customHeight="1">
      <c r="H258" s="33"/>
      <c r="I258" s="33"/>
      <c r="M258" s="33"/>
      <c r="N258" s="33"/>
      <c r="O258" s="33"/>
      <c r="P258" s="33"/>
      <c r="Q258" s="33"/>
      <c r="R258" s="33"/>
      <c r="S258" s="33"/>
      <c r="T258" s="33"/>
      <c r="U258" s="33"/>
      <c r="V258" s="33"/>
      <c r="W258" s="33"/>
      <c r="X258" s="34"/>
      <c r="Y258" s="33"/>
      <c r="Z258" s="34"/>
      <c r="AA258" s="33"/>
    </row>
    <row r="259" ht="15.75" customHeight="1">
      <c r="H259" s="33"/>
      <c r="I259" s="33"/>
      <c r="M259" s="33"/>
      <c r="N259" s="33"/>
      <c r="O259" s="33"/>
      <c r="P259" s="33"/>
      <c r="Q259" s="33"/>
      <c r="R259" s="33"/>
      <c r="S259" s="33"/>
      <c r="T259" s="33"/>
      <c r="U259" s="33"/>
      <c r="V259" s="33"/>
      <c r="W259" s="33"/>
      <c r="X259" s="34"/>
      <c r="Y259" s="33"/>
      <c r="Z259" s="34"/>
      <c r="AA259" s="33"/>
    </row>
    <row r="260" ht="15.75" customHeight="1">
      <c r="H260" s="33"/>
      <c r="I260" s="33"/>
      <c r="M260" s="33"/>
      <c r="N260" s="33"/>
      <c r="O260" s="33"/>
      <c r="P260" s="33"/>
      <c r="Q260" s="33"/>
      <c r="R260" s="33"/>
      <c r="S260" s="33"/>
      <c r="T260" s="33"/>
      <c r="U260" s="33"/>
      <c r="V260" s="33"/>
      <c r="W260" s="33"/>
      <c r="X260" s="34"/>
      <c r="Y260" s="33"/>
      <c r="Z260" s="34"/>
      <c r="AA260" s="33"/>
    </row>
    <row r="261" ht="15.75" customHeight="1">
      <c r="H261" s="33"/>
      <c r="I261" s="33"/>
      <c r="M261" s="33"/>
      <c r="N261" s="33"/>
      <c r="O261" s="33"/>
      <c r="P261" s="33"/>
      <c r="Q261" s="33"/>
      <c r="R261" s="33"/>
      <c r="S261" s="33"/>
      <c r="T261" s="33"/>
      <c r="U261" s="33"/>
      <c r="V261" s="33"/>
      <c r="W261" s="33"/>
      <c r="X261" s="34"/>
      <c r="Y261" s="33"/>
      <c r="Z261" s="34"/>
      <c r="AA261" s="33"/>
    </row>
    <row r="262" ht="15.75" customHeight="1">
      <c r="H262" s="33"/>
      <c r="I262" s="33"/>
      <c r="M262" s="33"/>
      <c r="N262" s="33"/>
      <c r="O262" s="33"/>
      <c r="P262" s="33"/>
      <c r="Q262" s="33"/>
      <c r="R262" s="33"/>
      <c r="S262" s="33"/>
      <c r="T262" s="33"/>
      <c r="U262" s="33"/>
      <c r="V262" s="33"/>
      <c r="W262" s="33"/>
      <c r="X262" s="34"/>
      <c r="Y262" s="33"/>
      <c r="Z262" s="34"/>
      <c r="AA262" s="33"/>
    </row>
    <row r="263" ht="15.75" customHeight="1">
      <c r="H263" s="33"/>
      <c r="I263" s="33"/>
      <c r="M263" s="33"/>
      <c r="N263" s="33"/>
      <c r="O263" s="33"/>
      <c r="P263" s="33"/>
      <c r="Q263" s="33"/>
      <c r="R263" s="33"/>
      <c r="S263" s="33"/>
      <c r="T263" s="33"/>
      <c r="U263" s="33"/>
      <c r="V263" s="33"/>
      <c r="W263" s="33"/>
      <c r="X263" s="34"/>
      <c r="Y263" s="33"/>
      <c r="Z263" s="34"/>
      <c r="AA263" s="33"/>
    </row>
    <row r="264" ht="15.75" customHeight="1">
      <c r="H264" s="33"/>
      <c r="I264" s="33"/>
      <c r="M264" s="33"/>
      <c r="N264" s="33"/>
      <c r="O264" s="33"/>
      <c r="P264" s="33"/>
      <c r="Q264" s="33"/>
      <c r="R264" s="33"/>
      <c r="S264" s="33"/>
      <c r="T264" s="33"/>
      <c r="U264" s="33"/>
      <c r="V264" s="33"/>
      <c r="W264" s="33"/>
      <c r="X264" s="34"/>
      <c r="Y264" s="33"/>
      <c r="Z264" s="34"/>
      <c r="AA264" s="33"/>
    </row>
    <row r="265" ht="15.75" customHeight="1">
      <c r="H265" s="33"/>
      <c r="I265" s="33"/>
      <c r="M265" s="33"/>
      <c r="N265" s="33"/>
      <c r="O265" s="33"/>
      <c r="P265" s="33"/>
      <c r="Q265" s="33"/>
      <c r="R265" s="33"/>
      <c r="S265" s="33"/>
      <c r="T265" s="33"/>
      <c r="U265" s="33"/>
      <c r="V265" s="33"/>
      <c r="W265" s="33"/>
      <c r="X265" s="34"/>
      <c r="Y265" s="33"/>
      <c r="Z265" s="34"/>
      <c r="AA265" s="33"/>
    </row>
    <row r="266" ht="15.75" customHeight="1">
      <c r="H266" s="33"/>
      <c r="I266" s="33"/>
      <c r="M266" s="33"/>
      <c r="N266" s="33"/>
      <c r="O266" s="33"/>
      <c r="P266" s="33"/>
      <c r="Q266" s="33"/>
      <c r="R266" s="33"/>
      <c r="S266" s="33"/>
      <c r="T266" s="33"/>
      <c r="U266" s="33"/>
      <c r="V266" s="33"/>
      <c r="W266" s="33"/>
      <c r="X266" s="34"/>
      <c r="Y266" s="33"/>
      <c r="Z266" s="34"/>
      <c r="AA266" s="33"/>
    </row>
    <row r="267" ht="15.75" customHeight="1">
      <c r="H267" s="33"/>
      <c r="I267" s="33"/>
      <c r="M267" s="33"/>
      <c r="N267" s="33"/>
      <c r="O267" s="33"/>
      <c r="P267" s="33"/>
      <c r="Q267" s="33"/>
      <c r="R267" s="33"/>
      <c r="S267" s="33"/>
      <c r="T267" s="33"/>
      <c r="U267" s="33"/>
      <c r="V267" s="33"/>
      <c r="W267" s="33"/>
      <c r="X267" s="34"/>
      <c r="Y267" s="33"/>
      <c r="Z267" s="34"/>
      <c r="AA267" s="33"/>
    </row>
    <row r="268" ht="15.75" customHeight="1">
      <c r="H268" s="33"/>
      <c r="I268" s="33"/>
      <c r="M268" s="33"/>
      <c r="N268" s="33"/>
      <c r="O268" s="33"/>
      <c r="P268" s="33"/>
      <c r="Q268" s="33"/>
      <c r="R268" s="33"/>
      <c r="S268" s="33"/>
      <c r="T268" s="33"/>
      <c r="U268" s="33"/>
      <c r="V268" s="33"/>
      <c r="W268" s="33"/>
      <c r="X268" s="34"/>
      <c r="Y268" s="33"/>
      <c r="Z268" s="34"/>
      <c r="AA268" s="33"/>
    </row>
    <row r="269" ht="15.75" customHeight="1">
      <c r="H269" s="33"/>
      <c r="I269" s="33"/>
      <c r="M269" s="33"/>
      <c r="N269" s="33"/>
      <c r="O269" s="33"/>
      <c r="P269" s="33"/>
      <c r="Q269" s="33"/>
      <c r="R269" s="33"/>
      <c r="S269" s="33"/>
      <c r="T269" s="33"/>
      <c r="U269" s="33"/>
      <c r="V269" s="33"/>
      <c r="W269" s="33"/>
      <c r="X269" s="34"/>
      <c r="Y269" s="33"/>
      <c r="Z269" s="34"/>
      <c r="AA269" s="33"/>
    </row>
    <row r="270" ht="15.75" customHeight="1">
      <c r="H270" s="33"/>
      <c r="I270" s="33"/>
      <c r="M270" s="33"/>
      <c r="N270" s="33"/>
      <c r="O270" s="33"/>
      <c r="P270" s="33"/>
      <c r="Q270" s="33"/>
      <c r="R270" s="33"/>
      <c r="S270" s="33"/>
      <c r="T270" s="33"/>
      <c r="U270" s="33"/>
      <c r="V270" s="33"/>
      <c r="W270" s="33"/>
      <c r="X270" s="34"/>
      <c r="Y270" s="33"/>
      <c r="Z270" s="34"/>
      <c r="AA270" s="33"/>
    </row>
    <row r="271" ht="15.75" customHeight="1">
      <c r="H271" s="33"/>
      <c r="I271" s="33"/>
      <c r="M271" s="33"/>
      <c r="N271" s="33"/>
      <c r="O271" s="33"/>
      <c r="P271" s="33"/>
      <c r="Q271" s="33"/>
      <c r="R271" s="33"/>
      <c r="S271" s="33"/>
      <c r="T271" s="33"/>
      <c r="U271" s="33"/>
      <c r="V271" s="33"/>
      <c r="W271" s="33"/>
      <c r="X271" s="34"/>
      <c r="Y271" s="33"/>
      <c r="Z271" s="34"/>
      <c r="AA271" s="33"/>
    </row>
    <row r="272" ht="15.75" customHeight="1">
      <c r="H272" s="33"/>
      <c r="I272" s="33"/>
      <c r="M272" s="33"/>
      <c r="N272" s="33"/>
      <c r="O272" s="33"/>
      <c r="P272" s="33"/>
      <c r="Q272" s="33"/>
      <c r="R272" s="33"/>
      <c r="S272" s="33"/>
      <c r="T272" s="33"/>
      <c r="U272" s="33"/>
      <c r="V272" s="33"/>
      <c r="W272" s="33"/>
      <c r="X272" s="34"/>
      <c r="Y272" s="33"/>
      <c r="Z272" s="34"/>
      <c r="AA272" s="33"/>
    </row>
    <row r="273" ht="15.75" customHeight="1">
      <c r="H273" s="33"/>
      <c r="I273" s="33"/>
      <c r="M273" s="33"/>
      <c r="N273" s="33"/>
      <c r="O273" s="33"/>
      <c r="P273" s="33"/>
      <c r="Q273" s="33"/>
      <c r="R273" s="33"/>
      <c r="S273" s="33"/>
      <c r="T273" s="33"/>
      <c r="U273" s="33"/>
      <c r="V273" s="33"/>
      <c r="W273" s="33"/>
      <c r="X273" s="34"/>
      <c r="Y273" s="33"/>
      <c r="Z273" s="34"/>
      <c r="AA273" s="33"/>
    </row>
    <row r="274" ht="15.75" customHeight="1">
      <c r="H274" s="33"/>
      <c r="I274" s="33"/>
      <c r="M274" s="33"/>
      <c r="N274" s="33"/>
      <c r="O274" s="33"/>
      <c r="P274" s="33"/>
      <c r="Q274" s="33"/>
      <c r="R274" s="33"/>
      <c r="S274" s="33"/>
      <c r="T274" s="33"/>
      <c r="U274" s="33"/>
      <c r="V274" s="33"/>
      <c r="W274" s="33"/>
      <c r="X274" s="34"/>
      <c r="Y274" s="33"/>
      <c r="Z274" s="34"/>
      <c r="AA274" s="33"/>
    </row>
    <row r="275" ht="15.75" customHeight="1">
      <c r="H275" s="33"/>
      <c r="I275" s="33"/>
      <c r="M275" s="33"/>
      <c r="N275" s="33"/>
      <c r="O275" s="33"/>
      <c r="P275" s="33"/>
      <c r="Q275" s="33"/>
      <c r="R275" s="33"/>
      <c r="S275" s="33"/>
      <c r="T275" s="33"/>
      <c r="U275" s="33"/>
      <c r="V275" s="33"/>
      <c r="W275" s="33"/>
      <c r="X275" s="34"/>
      <c r="Y275" s="33"/>
      <c r="Z275" s="34"/>
      <c r="AA275" s="33"/>
    </row>
    <row r="276" ht="15.75" customHeight="1">
      <c r="H276" s="33"/>
      <c r="I276" s="33"/>
      <c r="M276" s="33"/>
      <c r="N276" s="33"/>
      <c r="O276" s="33"/>
      <c r="P276" s="33"/>
      <c r="Q276" s="33"/>
      <c r="R276" s="33"/>
      <c r="S276" s="33"/>
      <c r="T276" s="33"/>
      <c r="U276" s="33"/>
      <c r="V276" s="33"/>
      <c r="W276" s="33"/>
      <c r="X276" s="34"/>
      <c r="Y276" s="33"/>
      <c r="Z276" s="34"/>
      <c r="AA276" s="33"/>
    </row>
    <row r="277" ht="15.75" customHeight="1">
      <c r="H277" s="33"/>
      <c r="I277" s="33"/>
      <c r="M277" s="33"/>
      <c r="N277" s="33"/>
      <c r="O277" s="33"/>
      <c r="P277" s="33"/>
      <c r="Q277" s="33"/>
      <c r="R277" s="33"/>
      <c r="S277" s="33"/>
      <c r="T277" s="33"/>
      <c r="U277" s="33"/>
      <c r="V277" s="33"/>
      <c r="W277" s="33"/>
      <c r="X277" s="34"/>
      <c r="Y277" s="33"/>
      <c r="Z277" s="34"/>
      <c r="AA277" s="33"/>
    </row>
    <row r="278" ht="15.75" customHeight="1">
      <c r="H278" s="33"/>
      <c r="I278" s="33"/>
      <c r="M278" s="33"/>
      <c r="N278" s="33"/>
      <c r="O278" s="33"/>
      <c r="P278" s="33"/>
      <c r="Q278" s="33"/>
      <c r="R278" s="33"/>
      <c r="S278" s="33"/>
      <c r="T278" s="33"/>
      <c r="U278" s="33"/>
      <c r="V278" s="33"/>
      <c r="W278" s="33"/>
      <c r="X278" s="34"/>
      <c r="Y278" s="33"/>
      <c r="Z278" s="34"/>
      <c r="AA278" s="33"/>
    </row>
    <row r="279" ht="15.75" customHeight="1">
      <c r="H279" s="33"/>
      <c r="I279" s="33"/>
      <c r="M279" s="33"/>
      <c r="N279" s="33"/>
      <c r="O279" s="33"/>
      <c r="P279" s="33"/>
      <c r="Q279" s="33"/>
      <c r="R279" s="33"/>
      <c r="S279" s="33"/>
      <c r="T279" s="33"/>
      <c r="U279" s="33"/>
      <c r="V279" s="33"/>
      <c r="W279" s="33"/>
      <c r="X279" s="34"/>
      <c r="Y279" s="33"/>
      <c r="Z279" s="34"/>
      <c r="AA279" s="33"/>
    </row>
    <row r="280" ht="15.75" customHeight="1">
      <c r="H280" s="33"/>
      <c r="I280" s="33"/>
      <c r="M280" s="33"/>
      <c r="N280" s="33"/>
      <c r="O280" s="33"/>
      <c r="P280" s="33"/>
      <c r="Q280" s="33"/>
      <c r="R280" s="33"/>
      <c r="S280" s="33"/>
      <c r="T280" s="33"/>
      <c r="U280" s="33"/>
      <c r="V280" s="33"/>
      <c r="W280" s="33"/>
      <c r="X280" s="34"/>
      <c r="Y280" s="33"/>
      <c r="Z280" s="34"/>
      <c r="AA280" s="33"/>
    </row>
    <row r="281" ht="15.75" customHeight="1">
      <c r="H281" s="33"/>
      <c r="I281" s="33"/>
      <c r="M281" s="33"/>
      <c r="N281" s="33"/>
      <c r="O281" s="33"/>
      <c r="P281" s="33"/>
      <c r="Q281" s="33"/>
      <c r="R281" s="33"/>
      <c r="S281" s="33"/>
      <c r="T281" s="33"/>
      <c r="U281" s="33"/>
      <c r="V281" s="33"/>
      <c r="W281" s="33"/>
      <c r="X281" s="34"/>
      <c r="Y281" s="33"/>
      <c r="Z281" s="34"/>
      <c r="AA281" s="33"/>
    </row>
    <row r="282" ht="15.75" customHeight="1">
      <c r="H282" s="33"/>
      <c r="I282" s="33"/>
      <c r="M282" s="33"/>
      <c r="N282" s="33"/>
      <c r="O282" s="33"/>
      <c r="P282" s="33"/>
      <c r="Q282" s="33"/>
      <c r="R282" s="33"/>
      <c r="S282" s="33"/>
      <c r="T282" s="33"/>
      <c r="U282" s="33"/>
      <c r="V282" s="33"/>
      <c r="W282" s="33"/>
      <c r="X282" s="34"/>
      <c r="Y282" s="33"/>
      <c r="Z282" s="34"/>
      <c r="AA282" s="33"/>
    </row>
    <row r="283" ht="15.75" customHeight="1">
      <c r="H283" s="33"/>
      <c r="I283" s="33"/>
      <c r="M283" s="33"/>
      <c r="N283" s="33"/>
      <c r="O283" s="33"/>
      <c r="P283" s="33"/>
      <c r="Q283" s="33"/>
      <c r="R283" s="33"/>
      <c r="S283" s="33"/>
      <c r="T283" s="33"/>
      <c r="U283" s="33"/>
      <c r="V283" s="33"/>
      <c r="W283" s="33"/>
      <c r="X283" s="34"/>
      <c r="Y283" s="33"/>
      <c r="Z283" s="34"/>
      <c r="AA283" s="33"/>
    </row>
    <row r="284" ht="15.75" customHeight="1">
      <c r="H284" s="33"/>
      <c r="I284" s="33"/>
      <c r="M284" s="33"/>
      <c r="N284" s="33"/>
      <c r="O284" s="33"/>
      <c r="P284" s="33"/>
      <c r="Q284" s="33"/>
      <c r="R284" s="33"/>
      <c r="S284" s="33"/>
      <c r="T284" s="33"/>
      <c r="U284" s="33"/>
      <c r="V284" s="33"/>
      <c r="W284" s="33"/>
      <c r="X284" s="34"/>
      <c r="Y284" s="33"/>
      <c r="Z284" s="34"/>
      <c r="AA284" s="33"/>
    </row>
    <row r="285" ht="15.75" customHeight="1">
      <c r="H285" s="33"/>
      <c r="I285" s="33"/>
      <c r="M285" s="33"/>
      <c r="N285" s="33"/>
      <c r="O285" s="33"/>
      <c r="P285" s="33"/>
      <c r="Q285" s="33"/>
      <c r="R285" s="33"/>
      <c r="S285" s="33"/>
      <c r="T285" s="33"/>
      <c r="U285" s="33"/>
      <c r="V285" s="33"/>
      <c r="W285" s="33"/>
      <c r="X285" s="34"/>
      <c r="Y285" s="33"/>
      <c r="Z285" s="34"/>
      <c r="AA285" s="33"/>
    </row>
    <row r="286" ht="15.75" customHeight="1">
      <c r="H286" s="33"/>
      <c r="I286" s="33"/>
      <c r="M286" s="33"/>
      <c r="N286" s="33"/>
      <c r="O286" s="33"/>
      <c r="P286" s="33"/>
      <c r="Q286" s="33"/>
      <c r="R286" s="33"/>
      <c r="S286" s="33"/>
      <c r="T286" s="33"/>
      <c r="U286" s="33"/>
      <c r="V286" s="33"/>
      <c r="W286" s="33"/>
      <c r="X286" s="34"/>
      <c r="Y286" s="33"/>
      <c r="Z286" s="34"/>
      <c r="AA286" s="33"/>
    </row>
    <row r="287" ht="15.75" customHeight="1">
      <c r="H287" s="33"/>
      <c r="I287" s="33"/>
      <c r="M287" s="33"/>
      <c r="N287" s="33"/>
      <c r="O287" s="33"/>
      <c r="P287" s="33"/>
      <c r="Q287" s="33"/>
      <c r="R287" s="33"/>
      <c r="S287" s="33"/>
      <c r="T287" s="33"/>
      <c r="U287" s="33"/>
      <c r="V287" s="33"/>
      <c r="W287" s="33"/>
      <c r="X287" s="34"/>
      <c r="Y287" s="33"/>
      <c r="Z287" s="34"/>
      <c r="AA287" s="33"/>
    </row>
    <row r="288" ht="15.75" customHeight="1">
      <c r="H288" s="33"/>
      <c r="I288" s="33"/>
      <c r="M288" s="33"/>
      <c r="N288" s="33"/>
      <c r="O288" s="33"/>
      <c r="P288" s="33"/>
      <c r="Q288" s="33"/>
      <c r="R288" s="33"/>
      <c r="S288" s="33"/>
      <c r="T288" s="33"/>
      <c r="U288" s="33"/>
      <c r="V288" s="33"/>
      <c r="W288" s="33"/>
      <c r="X288" s="34"/>
      <c r="Y288" s="33"/>
      <c r="Z288" s="34"/>
      <c r="AA288" s="33"/>
    </row>
    <row r="289" ht="15.75" customHeight="1">
      <c r="H289" s="33"/>
      <c r="I289" s="33"/>
      <c r="M289" s="33"/>
      <c r="N289" s="33"/>
      <c r="O289" s="33"/>
      <c r="P289" s="33"/>
      <c r="Q289" s="33"/>
      <c r="R289" s="33"/>
      <c r="S289" s="33"/>
      <c r="T289" s="33"/>
      <c r="U289" s="33"/>
      <c r="V289" s="33"/>
      <c r="W289" s="33"/>
      <c r="X289" s="34"/>
      <c r="Y289" s="33"/>
      <c r="Z289" s="34"/>
      <c r="AA289" s="33"/>
    </row>
    <row r="290" ht="15.75" customHeight="1">
      <c r="H290" s="33"/>
      <c r="I290" s="33"/>
      <c r="M290" s="33"/>
      <c r="N290" s="33"/>
      <c r="O290" s="33"/>
      <c r="P290" s="33"/>
      <c r="Q290" s="33"/>
      <c r="R290" s="33"/>
      <c r="S290" s="33"/>
      <c r="T290" s="33"/>
      <c r="U290" s="33"/>
      <c r="V290" s="33"/>
      <c r="W290" s="33"/>
      <c r="X290" s="34"/>
      <c r="Y290" s="33"/>
      <c r="Z290" s="34"/>
      <c r="AA290" s="33"/>
    </row>
    <row r="291" ht="15.75" customHeight="1">
      <c r="H291" s="33"/>
      <c r="I291" s="33"/>
      <c r="M291" s="33"/>
      <c r="N291" s="33"/>
      <c r="O291" s="33"/>
      <c r="P291" s="33"/>
      <c r="Q291" s="33"/>
      <c r="R291" s="33"/>
      <c r="S291" s="33"/>
      <c r="T291" s="33"/>
      <c r="U291" s="33"/>
      <c r="V291" s="33"/>
      <c r="W291" s="33"/>
      <c r="X291" s="34"/>
      <c r="Y291" s="33"/>
      <c r="Z291" s="34"/>
      <c r="AA291" s="33"/>
    </row>
    <row r="292" ht="15.75" customHeight="1">
      <c r="H292" s="33"/>
      <c r="I292" s="33"/>
      <c r="M292" s="33"/>
      <c r="N292" s="33"/>
      <c r="O292" s="33"/>
      <c r="P292" s="33"/>
      <c r="Q292" s="33"/>
      <c r="R292" s="33"/>
      <c r="S292" s="33"/>
      <c r="T292" s="33"/>
      <c r="U292" s="33"/>
      <c r="V292" s="33"/>
      <c r="W292" s="33"/>
      <c r="X292" s="34"/>
      <c r="Y292" s="33"/>
      <c r="Z292" s="34"/>
      <c r="AA292" s="33"/>
    </row>
    <row r="293" ht="15.75" customHeight="1">
      <c r="H293" s="33"/>
      <c r="I293" s="33"/>
      <c r="M293" s="33"/>
      <c r="N293" s="33"/>
      <c r="O293" s="33"/>
      <c r="P293" s="33"/>
      <c r="Q293" s="33"/>
      <c r="R293" s="33"/>
      <c r="S293" s="33"/>
      <c r="T293" s="33"/>
      <c r="U293" s="33"/>
      <c r="V293" s="33"/>
      <c r="W293" s="33"/>
      <c r="X293" s="34"/>
      <c r="Y293" s="33"/>
      <c r="Z293" s="34"/>
      <c r="AA293" s="33"/>
    </row>
    <row r="294" ht="15.75" customHeight="1">
      <c r="H294" s="33"/>
      <c r="I294" s="33"/>
      <c r="M294" s="33"/>
      <c r="N294" s="33"/>
      <c r="O294" s="33"/>
      <c r="P294" s="33"/>
      <c r="Q294" s="33"/>
      <c r="R294" s="33"/>
      <c r="S294" s="33"/>
      <c r="T294" s="33"/>
      <c r="U294" s="33"/>
      <c r="V294" s="33"/>
      <c r="W294" s="33"/>
      <c r="X294" s="34"/>
      <c r="Y294" s="33"/>
      <c r="Z294" s="34"/>
      <c r="AA294" s="33"/>
    </row>
    <row r="295" ht="15.75" customHeight="1">
      <c r="H295" s="33"/>
      <c r="I295" s="33"/>
      <c r="M295" s="33"/>
      <c r="N295" s="33"/>
      <c r="O295" s="33"/>
      <c r="P295" s="33"/>
      <c r="Q295" s="33"/>
      <c r="R295" s="33"/>
      <c r="S295" s="33"/>
      <c r="T295" s="33"/>
      <c r="U295" s="33"/>
      <c r="V295" s="33"/>
      <c r="W295" s="33"/>
      <c r="X295" s="34"/>
      <c r="Y295" s="33"/>
      <c r="Z295" s="34"/>
      <c r="AA295" s="33"/>
    </row>
    <row r="296" ht="15.75" customHeight="1">
      <c r="H296" s="33"/>
      <c r="I296" s="33"/>
      <c r="M296" s="33"/>
      <c r="N296" s="33"/>
      <c r="O296" s="33"/>
      <c r="P296" s="33"/>
      <c r="Q296" s="33"/>
      <c r="R296" s="33"/>
      <c r="S296" s="33"/>
      <c r="T296" s="33"/>
      <c r="U296" s="33"/>
      <c r="V296" s="33"/>
      <c r="W296" s="33"/>
      <c r="X296" s="34"/>
      <c r="Y296" s="33"/>
      <c r="Z296" s="34"/>
      <c r="AA296" s="33"/>
    </row>
    <row r="297" ht="15.75" customHeight="1">
      <c r="H297" s="33"/>
      <c r="I297" s="33"/>
      <c r="M297" s="33"/>
      <c r="N297" s="33"/>
      <c r="O297" s="33"/>
      <c r="P297" s="33"/>
      <c r="Q297" s="33"/>
      <c r="R297" s="33"/>
      <c r="S297" s="33"/>
      <c r="T297" s="33"/>
      <c r="U297" s="33"/>
      <c r="V297" s="33"/>
      <c r="W297" s="33"/>
      <c r="X297" s="34"/>
      <c r="Y297" s="33"/>
      <c r="Z297" s="34"/>
      <c r="AA297" s="33"/>
    </row>
    <row r="298" ht="15.75" customHeight="1">
      <c r="H298" s="33"/>
      <c r="I298" s="33"/>
      <c r="M298" s="33"/>
      <c r="N298" s="33"/>
      <c r="O298" s="33"/>
      <c r="P298" s="33"/>
      <c r="Q298" s="33"/>
      <c r="R298" s="33"/>
      <c r="S298" s="33"/>
      <c r="T298" s="33"/>
      <c r="U298" s="33"/>
      <c r="V298" s="33"/>
      <c r="W298" s="33"/>
      <c r="X298" s="34"/>
      <c r="Y298" s="33"/>
      <c r="Z298" s="34"/>
      <c r="AA298" s="33"/>
    </row>
    <row r="299" ht="15.75" customHeight="1">
      <c r="H299" s="33"/>
      <c r="I299" s="33"/>
      <c r="M299" s="33"/>
      <c r="N299" s="33"/>
      <c r="O299" s="33"/>
      <c r="P299" s="33"/>
      <c r="Q299" s="33"/>
      <c r="R299" s="33"/>
      <c r="S299" s="33"/>
      <c r="T299" s="33"/>
      <c r="U299" s="33"/>
      <c r="V299" s="33"/>
      <c r="W299" s="33"/>
      <c r="X299" s="34"/>
      <c r="Y299" s="33"/>
      <c r="Z299" s="34"/>
      <c r="AA299" s="33"/>
    </row>
    <row r="300" ht="15.75" customHeight="1">
      <c r="H300" s="33"/>
      <c r="I300" s="33"/>
      <c r="M300" s="33"/>
      <c r="N300" s="33"/>
      <c r="O300" s="33"/>
      <c r="P300" s="33"/>
      <c r="Q300" s="33"/>
      <c r="R300" s="33"/>
      <c r="S300" s="33"/>
      <c r="T300" s="33"/>
      <c r="U300" s="33"/>
      <c r="V300" s="33"/>
      <c r="W300" s="33"/>
      <c r="X300" s="34"/>
      <c r="Y300" s="33"/>
      <c r="Z300" s="34"/>
      <c r="AA300" s="33"/>
    </row>
    <row r="301" ht="15.75" customHeight="1">
      <c r="H301" s="33"/>
      <c r="I301" s="33"/>
      <c r="M301" s="33"/>
      <c r="N301" s="33"/>
      <c r="O301" s="33"/>
      <c r="P301" s="33"/>
      <c r="Q301" s="33"/>
      <c r="R301" s="33"/>
      <c r="S301" s="33"/>
      <c r="T301" s="33"/>
      <c r="U301" s="33"/>
      <c r="V301" s="33"/>
      <c r="W301" s="33"/>
      <c r="X301" s="34"/>
      <c r="Y301" s="33"/>
      <c r="Z301" s="34"/>
      <c r="AA301" s="33"/>
    </row>
    <row r="302" ht="15.75" customHeight="1">
      <c r="H302" s="33"/>
      <c r="I302" s="33"/>
      <c r="M302" s="33"/>
      <c r="N302" s="33"/>
      <c r="O302" s="33"/>
      <c r="P302" s="33"/>
      <c r="Q302" s="33"/>
      <c r="R302" s="33"/>
      <c r="S302" s="33"/>
      <c r="T302" s="33"/>
      <c r="U302" s="33"/>
      <c r="V302" s="33"/>
      <c r="W302" s="33"/>
      <c r="X302" s="34"/>
      <c r="Y302" s="33"/>
      <c r="Z302" s="34"/>
      <c r="AA302" s="33"/>
    </row>
    <row r="303" ht="15.75" customHeight="1">
      <c r="H303" s="33"/>
      <c r="I303" s="33"/>
      <c r="M303" s="33"/>
      <c r="N303" s="33"/>
      <c r="O303" s="33"/>
      <c r="P303" s="33"/>
      <c r="Q303" s="33"/>
      <c r="R303" s="33"/>
      <c r="S303" s="33"/>
      <c r="T303" s="33"/>
      <c r="U303" s="33"/>
      <c r="V303" s="33"/>
      <c r="W303" s="33"/>
      <c r="X303" s="34"/>
      <c r="Y303" s="33"/>
      <c r="Z303" s="34"/>
      <c r="AA303" s="33"/>
    </row>
    <row r="304" ht="15.75" customHeight="1">
      <c r="H304" s="33"/>
      <c r="I304" s="33"/>
      <c r="M304" s="33"/>
      <c r="N304" s="33"/>
      <c r="O304" s="33"/>
      <c r="P304" s="33"/>
      <c r="Q304" s="33"/>
      <c r="R304" s="33"/>
      <c r="S304" s="33"/>
      <c r="T304" s="33"/>
      <c r="U304" s="33"/>
      <c r="V304" s="33"/>
      <c r="W304" s="33"/>
      <c r="X304" s="34"/>
      <c r="Y304" s="33"/>
      <c r="Z304" s="34"/>
      <c r="AA304" s="33"/>
    </row>
    <row r="305" ht="15.75" customHeight="1">
      <c r="H305" s="33"/>
      <c r="I305" s="33"/>
      <c r="M305" s="33"/>
      <c r="N305" s="33"/>
      <c r="O305" s="33"/>
      <c r="P305" s="33"/>
      <c r="Q305" s="33"/>
      <c r="R305" s="33"/>
      <c r="S305" s="33"/>
      <c r="T305" s="33"/>
      <c r="U305" s="33"/>
      <c r="V305" s="33"/>
      <c r="W305" s="33"/>
      <c r="X305" s="34"/>
      <c r="Y305" s="33"/>
      <c r="Z305" s="34"/>
      <c r="AA305" s="33"/>
    </row>
    <row r="306" ht="15.75" customHeight="1">
      <c r="H306" s="33"/>
      <c r="I306" s="33"/>
      <c r="M306" s="33"/>
      <c r="N306" s="33"/>
      <c r="O306" s="33"/>
      <c r="P306" s="33"/>
      <c r="Q306" s="33"/>
      <c r="R306" s="33"/>
      <c r="S306" s="33"/>
      <c r="T306" s="33"/>
      <c r="U306" s="33"/>
      <c r="V306" s="33"/>
      <c r="W306" s="33"/>
      <c r="X306" s="34"/>
      <c r="Y306" s="33"/>
      <c r="Z306" s="34"/>
      <c r="AA306" s="33"/>
    </row>
    <row r="307" ht="15.75" customHeight="1">
      <c r="H307" s="33"/>
      <c r="I307" s="33"/>
      <c r="M307" s="33"/>
      <c r="N307" s="33"/>
      <c r="O307" s="33"/>
      <c r="P307" s="33"/>
      <c r="Q307" s="33"/>
      <c r="R307" s="33"/>
      <c r="S307" s="33"/>
      <c r="T307" s="33"/>
      <c r="U307" s="33"/>
      <c r="V307" s="33"/>
      <c r="W307" s="33"/>
      <c r="X307" s="34"/>
      <c r="Y307" s="33"/>
      <c r="Z307" s="34"/>
      <c r="AA307" s="33"/>
    </row>
    <row r="308" ht="15.75" customHeight="1">
      <c r="H308" s="33"/>
      <c r="I308" s="33"/>
      <c r="M308" s="33"/>
      <c r="N308" s="33"/>
      <c r="O308" s="33"/>
      <c r="P308" s="33"/>
      <c r="Q308" s="33"/>
      <c r="R308" s="33"/>
      <c r="S308" s="33"/>
      <c r="T308" s="33"/>
      <c r="U308" s="33"/>
      <c r="V308" s="33"/>
      <c r="W308" s="33"/>
      <c r="X308" s="34"/>
      <c r="Y308" s="33"/>
      <c r="Z308" s="34"/>
      <c r="AA308" s="33"/>
    </row>
    <row r="309" ht="15.75" customHeight="1">
      <c r="H309" s="33"/>
      <c r="I309" s="33"/>
      <c r="M309" s="33"/>
      <c r="N309" s="33"/>
      <c r="O309" s="33"/>
      <c r="P309" s="33"/>
      <c r="Q309" s="33"/>
      <c r="R309" s="33"/>
      <c r="S309" s="33"/>
      <c r="T309" s="33"/>
      <c r="U309" s="33"/>
      <c r="V309" s="33"/>
      <c r="W309" s="33"/>
      <c r="X309" s="34"/>
      <c r="Y309" s="33"/>
      <c r="Z309" s="34"/>
      <c r="AA309" s="33"/>
    </row>
    <row r="310" ht="15.75" customHeight="1">
      <c r="H310" s="33"/>
      <c r="I310" s="33"/>
      <c r="M310" s="33"/>
      <c r="N310" s="33"/>
      <c r="O310" s="33"/>
      <c r="P310" s="33"/>
      <c r="Q310" s="33"/>
      <c r="R310" s="33"/>
      <c r="S310" s="33"/>
      <c r="T310" s="33"/>
      <c r="U310" s="33"/>
      <c r="V310" s="33"/>
      <c r="W310" s="33"/>
      <c r="X310" s="34"/>
      <c r="Y310" s="33"/>
      <c r="Z310" s="34"/>
      <c r="AA310" s="33"/>
    </row>
    <row r="311" ht="15.75" customHeight="1">
      <c r="H311" s="33"/>
      <c r="I311" s="33"/>
      <c r="M311" s="33"/>
      <c r="N311" s="33"/>
      <c r="O311" s="33"/>
      <c r="P311" s="33"/>
      <c r="Q311" s="33"/>
      <c r="R311" s="33"/>
      <c r="S311" s="33"/>
      <c r="T311" s="33"/>
      <c r="U311" s="33"/>
      <c r="V311" s="33"/>
      <c r="W311" s="33"/>
      <c r="X311" s="34"/>
      <c r="Y311" s="33"/>
      <c r="Z311" s="34"/>
      <c r="AA311" s="33"/>
    </row>
    <row r="312" ht="15.75" customHeight="1">
      <c r="H312" s="33"/>
      <c r="I312" s="33"/>
      <c r="M312" s="33"/>
      <c r="N312" s="33"/>
      <c r="O312" s="33"/>
      <c r="P312" s="33"/>
      <c r="Q312" s="33"/>
      <c r="R312" s="33"/>
      <c r="S312" s="33"/>
      <c r="T312" s="33"/>
      <c r="U312" s="33"/>
      <c r="V312" s="33"/>
      <c r="W312" s="33"/>
      <c r="X312" s="34"/>
      <c r="Y312" s="33"/>
      <c r="Z312" s="34"/>
      <c r="AA312" s="33"/>
    </row>
    <row r="313" ht="15.75" customHeight="1">
      <c r="H313" s="33"/>
      <c r="I313" s="33"/>
      <c r="M313" s="33"/>
      <c r="N313" s="33"/>
      <c r="O313" s="33"/>
      <c r="P313" s="33"/>
      <c r="Q313" s="33"/>
      <c r="R313" s="33"/>
      <c r="S313" s="33"/>
      <c r="T313" s="33"/>
      <c r="U313" s="33"/>
      <c r="V313" s="33"/>
      <c r="W313" s="33"/>
      <c r="X313" s="34"/>
      <c r="Y313" s="33"/>
      <c r="Z313" s="34"/>
      <c r="AA313" s="33"/>
    </row>
    <row r="314" ht="15.75" customHeight="1">
      <c r="H314" s="33"/>
      <c r="I314" s="33"/>
      <c r="M314" s="33"/>
      <c r="N314" s="33"/>
      <c r="O314" s="33"/>
      <c r="P314" s="33"/>
      <c r="Q314" s="33"/>
      <c r="R314" s="33"/>
      <c r="S314" s="33"/>
      <c r="T314" s="33"/>
      <c r="U314" s="33"/>
      <c r="V314" s="33"/>
      <c r="W314" s="33"/>
      <c r="X314" s="34"/>
      <c r="Y314" s="33"/>
      <c r="Z314" s="34"/>
      <c r="AA314" s="33"/>
    </row>
    <row r="315" ht="15.75" customHeight="1">
      <c r="H315" s="33"/>
      <c r="I315" s="33"/>
      <c r="M315" s="33"/>
      <c r="N315" s="33"/>
      <c r="O315" s="33"/>
      <c r="P315" s="33"/>
      <c r="Q315" s="33"/>
      <c r="R315" s="33"/>
      <c r="S315" s="33"/>
      <c r="T315" s="33"/>
      <c r="U315" s="33"/>
      <c r="V315" s="33"/>
      <c r="W315" s="33"/>
      <c r="X315" s="34"/>
      <c r="Y315" s="33"/>
      <c r="Z315" s="34"/>
      <c r="AA315" s="33"/>
    </row>
    <row r="316" ht="15.75" customHeight="1">
      <c r="H316" s="33"/>
      <c r="I316" s="33"/>
      <c r="M316" s="33"/>
      <c r="N316" s="33"/>
      <c r="O316" s="33"/>
      <c r="P316" s="33"/>
      <c r="Q316" s="33"/>
      <c r="R316" s="33"/>
      <c r="S316" s="33"/>
      <c r="T316" s="33"/>
      <c r="U316" s="33"/>
      <c r="V316" s="33"/>
      <c r="W316" s="33"/>
      <c r="X316" s="34"/>
      <c r="Y316" s="33"/>
      <c r="Z316" s="34"/>
      <c r="AA316" s="33"/>
    </row>
    <row r="317" ht="15.75" customHeight="1">
      <c r="H317" s="33"/>
      <c r="I317" s="33"/>
      <c r="M317" s="33"/>
      <c r="N317" s="33"/>
      <c r="O317" s="33"/>
      <c r="P317" s="33"/>
      <c r="Q317" s="33"/>
      <c r="R317" s="33"/>
      <c r="S317" s="33"/>
      <c r="T317" s="33"/>
      <c r="U317" s="33"/>
      <c r="V317" s="33"/>
      <c r="W317" s="33"/>
      <c r="X317" s="34"/>
      <c r="Y317" s="33"/>
      <c r="Z317" s="34"/>
      <c r="AA317" s="33"/>
    </row>
    <row r="318" ht="15.75" customHeight="1">
      <c r="H318" s="33"/>
      <c r="I318" s="33"/>
      <c r="M318" s="33"/>
      <c r="N318" s="33"/>
      <c r="O318" s="33"/>
      <c r="P318" s="33"/>
      <c r="Q318" s="33"/>
      <c r="R318" s="33"/>
      <c r="S318" s="33"/>
      <c r="T318" s="33"/>
      <c r="U318" s="33"/>
      <c r="V318" s="33"/>
      <c r="W318" s="33"/>
      <c r="X318" s="34"/>
      <c r="Y318" s="33"/>
      <c r="Z318" s="34"/>
      <c r="AA318" s="33"/>
    </row>
    <row r="319" ht="15.75" customHeight="1">
      <c r="H319" s="33"/>
      <c r="I319" s="33"/>
      <c r="M319" s="33"/>
      <c r="N319" s="33"/>
      <c r="O319" s="33"/>
      <c r="P319" s="33"/>
      <c r="Q319" s="33"/>
      <c r="R319" s="33"/>
      <c r="S319" s="33"/>
      <c r="T319" s="33"/>
      <c r="U319" s="33"/>
      <c r="V319" s="33"/>
      <c r="W319" s="33"/>
      <c r="X319" s="34"/>
      <c r="Y319" s="33"/>
      <c r="Z319" s="34"/>
      <c r="AA319" s="33"/>
    </row>
    <row r="320" ht="15.75" customHeight="1">
      <c r="H320" s="33"/>
      <c r="I320" s="33"/>
      <c r="M320" s="33"/>
      <c r="N320" s="33"/>
      <c r="O320" s="33"/>
      <c r="P320" s="33"/>
      <c r="Q320" s="33"/>
      <c r="R320" s="33"/>
      <c r="S320" s="33"/>
      <c r="T320" s="33"/>
      <c r="U320" s="33"/>
      <c r="V320" s="33"/>
      <c r="W320" s="33"/>
      <c r="X320" s="34"/>
      <c r="Y320" s="33"/>
      <c r="Z320" s="34"/>
      <c r="AA320" s="33"/>
    </row>
    <row r="321" ht="15.75" customHeight="1">
      <c r="H321" s="33"/>
      <c r="I321" s="33"/>
      <c r="M321" s="33"/>
      <c r="N321" s="33"/>
      <c r="O321" s="33"/>
      <c r="P321" s="33"/>
      <c r="Q321" s="33"/>
      <c r="R321" s="33"/>
      <c r="S321" s="33"/>
      <c r="T321" s="33"/>
      <c r="U321" s="33"/>
      <c r="V321" s="33"/>
      <c r="W321" s="33"/>
      <c r="X321" s="34"/>
      <c r="Y321" s="33"/>
      <c r="Z321" s="34"/>
      <c r="AA321" s="33"/>
    </row>
    <row r="322" ht="15.75" customHeight="1">
      <c r="H322" s="33"/>
      <c r="I322" s="33"/>
      <c r="M322" s="33"/>
      <c r="N322" s="33"/>
      <c r="O322" s="33"/>
      <c r="P322" s="33"/>
      <c r="Q322" s="33"/>
      <c r="R322" s="33"/>
      <c r="S322" s="33"/>
      <c r="T322" s="33"/>
      <c r="U322" s="33"/>
      <c r="V322" s="33"/>
      <c r="W322" s="33"/>
      <c r="X322" s="34"/>
      <c r="Y322" s="33"/>
      <c r="Z322" s="34"/>
      <c r="AA322" s="33"/>
    </row>
    <row r="323" ht="15.75" customHeight="1">
      <c r="H323" s="33"/>
      <c r="I323" s="33"/>
      <c r="M323" s="33"/>
      <c r="N323" s="33"/>
      <c r="O323" s="33"/>
      <c r="P323" s="33"/>
      <c r="Q323" s="33"/>
      <c r="R323" s="33"/>
      <c r="S323" s="33"/>
      <c r="T323" s="33"/>
      <c r="U323" s="33"/>
      <c r="V323" s="33"/>
      <c r="W323" s="33"/>
      <c r="X323" s="34"/>
      <c r="Y323" s="33"/>
      <c r="Z323" s="34"/>
      <c r="AA323" s="33"/>
    </row>
    <row r="324" ht="15.75" customHeight="1">
      <c r="H324" s="33"/>
      <c r="I324" s="33"/>
      <c r="M324" s="33"/>
      <c r="N324" s="33"/>
      <c r="O324" s="33"/>
      <c r="P324" s="33"/>
      <c r="Q324" s="33"/>
      <c r="R324" s="33"/>
      <c r="S324" s="33"/>
      <c r="T324" s="33"/>
      <c r="U324" s="33"/>
      <c r="V324" s="33"/>
      <c r="W324" s="33"/>
      <c r="X324" s="34"/>
      <c r="Y324" s="33"/>
      <c r="Z324" s="34"/>
      <c r="AA324" s="33"/>
    </row>
    <row r="325" ht="15.75" customHeight="1">
      <c r="H325" s="33"/>
      <c r="I325" s="33"/>
      <c r="M325" s="33"/>
      <c r="N325" s="33"/>
      <c r="O325" s="33"/>
      <c r="P325" s="33"/>
      <c r="Q325" s="33"/>
      <c r="R325" s="33"/>
      <c r="S325" s="33"/>
      <c r="T325" s="33"/>
      <c r="U325" s="33"/>
      <c r="V325" s="33"/>
      <c r="W325" s="33"/>
      <c r="X325" s="34"/>
      <c r="Y325" s="33"/>
      <c r="Z325" s="34"/>
      <c r="AA325" s="33"/>
    </row>
    <row r="326" ht="15.75" customHeight="1">
      <c r="H326" s="33"/>
      <c r="I326" s="33"/>
      <c r="M326" s="33"/>
      <c r="N326" s="33"/>
      <c r="O326" s="33"/>
      <c r="P326" s="33"/>
      <c r="Q326" s="33"/>
      <c r="R326" s="33"/>
      <c r="S326" s="33"/>
      <c r="T326" s="33"/>
      <c r="U326" s="33"/>
      <c r="V326" s="33"/>
      <c r="W326" s="33"/>
      <c r="X326" s="34"/>
      <c r="Y326" s="33"/>
      <c r="Z326" s="34"/>
      <c r="AA326" s="33"/>
    </row>
    <row r="327" ht="15.75" customHeight="1">
      <c r="H327" s="33"/>
      <c r="I327" s="33"/>
      <c r="M327" s="33"/>
      <c r="N327" s="33"/>
      <c r="O327" s="33"/>
      <c r="P327" s="33"/>
      <c r="Q327" s="33"/>
      <c r="R327" s="33"/>
      <c r="S327" s="33"/>
      <c r="T327" s="33"/>
      <c r="U327" s="33"/>
      <c r="V327" s="33"/>
      <c r="W327" s="33"/>
      <c r="X327" s="34"/>
      <c r="Y327" s="33"/>
      <c r="Z327" s="34"/>
      <c r="AA327" s="33"/>
    </row>
    <row r="328" ht="15.75" customHeight="1">
      <c r="H328" s="33"/>
      <c r="I328" s="33"/>
      <c r="M328" s="33"/>
      <c r="N328" s="33"/>
      <c r="O328" s="33"/>
      <c r="P328" s="33"/>
      <c r="Q328" s="33"/>
      <c r="R328" s="33"/>
      <c r="S328" s="33"/>
      <c r="T328" s="33"/>
      <c r="U328" s="33"/>
      <c r="V328" s="33"/>
      <c r="W328" s="33"/>
      <c r="X328" s="34"/>
      <c r="Y328" s="33"/>
      <c r="Z328" s="34"/>
      <c r="AA328" s="33"/>
    </row>
    <row r="329" ht="15.75" customHeight="1">
      <c r="H329" s="33"/>
      <c r="I329" s="33"/>
      <c r="M329" s="33"/>
      <c r="N329" s="33"/>
      <c r="O329" s="33"/>
      <c r="P329" s="33"/>
      <c r="Q329" s="33"/>
      <c r="R329" s="33"/>
      <c r="S329" s="33"/>
      <c r="T329" s="33"/>
      <c r="U329" s="33"/>
      <c r="V329" s="33"/>
      <c r="W329" s="33"/>
      <c r="X329" s="34"/>
      <c r="Y329" s="33"/>
      <c r="Z329" s="34"/>
      <c r="AA329" s="33"/>
    </row>
    <row r="330" ht="15.75" customHeight="1">
      <c r="H330" s="33"/>
      <c r="I330" s="33"/>
      <c r="M330" s="33"/>
      <c r="N330" s="33"/>
      <c r="O330" s="33"/>
      <c r="P330" s="33"/>
      <c r="Q330" s="33"/>
      <c r="R330" s="33"/>
      <c r="S330" s="33"/>
      <c r="T330" s="33"/>
      <c r="U330" s="33"/>
      <c r="V330" s="33"/>
      <c r="W330" s="33"/>
      <c r="X330" s="34"/>
      <c r="Y330" s="33"/>
      <c r="Z330" s="34"/>
      <c r="AA330" s="33"/>
    </row>
    <row r="331" ht="15.75" customHeight="1">
      <c r="H331" s="33"/>
      <c r="I331" s="33"/>
      <c r="M331" s="33"/>
      <c r="N331" s="33"/>
      <c r="O331" s="33"/>
      <c r="P331" s="33"/>
      <c r="Q331" s="33"/>
      <c r="R331" s="33"/>
      <c r="S331" s="33"/>
      <c r="T331" s="33"/>
      <c r="U331" s="33"/>
      <c r="V331" s="33"/>
      <c r="W331" s="33"/>
      <c r="X331" s="34"/>
      <c r="Y331" s="33"/>
      <c r="Z331" s="34"/>
      <c r="AA331" s="33"/>
    </row>
    <row r="332" ht="15.75" customHeight="1">
      <c r="H332" s="33"/>
      <c r="I332" s="33"/>
      <c r="M332" s="33"/>
      <c r="N332" s="33"/>
      <c r="O332" s="33"/>
      <c r="P332" s="33"/>
      <c r="Q332" s="33"/>
      <c r="R332" s="33"/>
      <c r="S332" s="33"/>
      <c r="T332" s="33"/>
      <c r="U332" s="33"/>
      <c r="V332" s="33"/>
      <c r="W332" s="33"/>
      <c r="X332" s="34"/>
      <c r="Y332" s="33"/>
      <c r="Z332" s="34"/>
      <c r="AA332" s="33"/>
    </row>
    <row r="333" ht="15.75" customHeight="1">
      <c r="H333" s="33"/>
      <c r="I333" s="33"/>
      <c r="M333" s="33"/>
      <c r="N333" s="33"/>
      <c r="O333" s="33"/>
      <c r="P333" s="33"/>
      <c r="Q333" s="33"/>
      <c r="R333" s="33"/>
      <c r="S333" s="33"/>
      <c r="T333" s="33"/>
      <c r="U333" s="33"/>
      <c r="V333" s="33"/>
      <c r="W333" s="33"/>
      <c r="X333" s="34"/>
      <c r="Y333" s="33"/>
      <c r="Z333" s="34"/>
      <c r="AA333" s="33"/>
    </row>
    <row r="334" ht="15.75" customHeight="1">
      <c r="H334" s="33"/>
      <c r="I334" s="33"/>
      <c r="M334" s="33"/>
      <c r="N334" s="33"/>
      <c r="O334" s="33"/>
      <c r="P334" s="33"/>
      <c r="Q334" s="33"/>
      <c r="R334" s="33"/>
      <c r="S334" s="33"/>
      <c r="T334" s="33"/>
      <c r="U334" s="33"/>
      <c r="V334" s="33"/>
      <c r="W334" s="33"/>
      <c r="X334" s="34"/>
      <c r="Y334" s="33"/>
      <c r="Z334" s="34"/>
      <c r="AA334" s="33"/>
    </row>
    <row r="335" ht="15.75" customHeight="1">
      <c r="H335" s="33"/>
      <c r="I335" s="33"/>
      <c r="M335" s="33"/>
      <c r="N335" s="33"/>
      <c r="O335" s="33"/>
      <c r="P335" s="33"/>
      <c r="Q335" s="33"/>
      <c r="R335" s="33"/>
      <c r="S335" s="33"/>
      <c r="T335" s="33"/>
      <c r="U335" s="33"/>
      <c r="V335" s="33"/>
      <c r="W335" s="33"/>
      <c r="X335" s="34"/>
      <c r="Y335" s="33"/>
      <c r="Z335" s="34"/>
      <c r="AA335" s="33"/>
    </row>
    <row r="336" ht="15.75" customHeight="1">
      <c r="H336" s="33"/>
      <c r="I336" s="33"/>
      <c r="M336" s="33"/>
      <c r="N336" s="33"/>
      <c r="O336" s="33"/>
      <c r="P336" s="33"/>
      <c r="Q336" s="33"/>
      <c r="R336" s="33"/>
      <c r="S336" s="33"/>
      <c r="T336" s="33"/>
      <c r="U336" s="33"/>
      <c r="V336" s="33"/>
      <c r="W336" s="33"/>
      <c r="X336" s="34"/>
      <c r="Y336" s="33"/>
      <c r="Z336" s="34"/>
      <c r="AA336" s="33"/>
    </row>
    <row r="337" ht="15.75" customHeight="1">
      <c r="H337" s="33"/>
      <c r="I337" s="33"/>
      <c r="M337" s="33"/>
      <c r="N337" s="33"/>
      <c r="O337" s="33"/>
      <c r="P337" s="33"/>
      <c r="Q337" s="33"/>
      <c r="R337" s="33"/>
      <c r="S337" s="33"/>
      <c r="T337" s="33"/>
      <c r="U337" s="33"/>
      <c r="V337" s="33"/>
      <c r="W337" s="33"/>
      <c r="X337" s="34"/>
      <c r="Y337" s="33"/>
      <c r="Z337" s="34"/>
      <c r="AA337" s="33"/>
    </row>
    <row r="338" ht="15.75" customHeight="1">
      <c r="H338" s="33"/>
      <c r="I338" s="33"/>
      <c r="M338" s="33"/>
      <c r="N338" s="33"/>
      <c r="O338" s="33"/>
      <c r="P338" s="33"/>
      <c r="Q338" s="33"/>
      <c r="R338" s="33"/>
      <c r="S338" s="33"/>
      <c r="T338" s="33"/>
      <c r="U338" s="33"/>
      <c r="V338" s="33"/>
      <c r="W338" s="33"/>
      <c r="X338" s="34"/>
      <c r="Y338" s="33"/>
      <c r="Z338" s="34"/>
      <c r="AA338" s="33"/>
    </row>
    <row r="339" ht="15.75" customHeight="1">
      <c r="H339" s="33"/>
      <c r="I339" s="33"/>
      <c r="M339" s="33"/>
      <c r="N339" s="33"/>
      <c r="O339" s="33"/>
      <c r="P339" s="33"/>
      <c r="Q339" s="33"/>
      <c r="R339" s="33"/>
      <c r="S339" s="33"/>
      <c r="T339" s="33"/>
      <c r="U339" s="33"/>
      <c r="V339" s="33"/>
      <c r="W339" s="33"/>
      <c r="X339" s="34"/>
      <c r="Y339" s="33"/>
      <c r="Z339" s="34"/>
      <c r="AA339" s="33"/>
    </row>
    <row r="340" ht="15.75" customHeight="1">
      <c r="H340" s="33"/>
      <c r="I340" s="33"/>
      <c r="M340" s="33"/>
      <c r="N340" s="33"/>
      <c r="O340" s="33"/>
      <c r="P340" s="33"/>
      <c r="Q340" s="33"/>
      <c r="R340" s="33"/>
      <c r="S340" s="33"/>
      <c r="T340" s="33"/>
      <c r="U340" s="33"/>
      <c r="V340" s="33"/>
      <c r="W340" s="33"/>
      <c r="X340" s="34"/>
      <c r="Y340" s="33"/>
      <c r="Z340" s="34"/>
      <c r="AA340" s="33"/>
    </row>
    <row r="341" ht="15.75" customHeight="1">
      <c r="H341" s="33"/>
      <c r="I341" s="33"/>
      <c r="M341" s="33"/>
      <c r="N341" s="33"/>
      <c r="O341" s="33"/>
      <c r="P341" s="33"/>
      <c r="Q341" s="33"/>
      <c r="R341" s="33"/>
      <c r="S341" s="33"/>
      <c r="T341" s="33"/>
      <c r="U341" s="33"/>
      <c r="V341" s="33"/>
      <c r="W341" s="33"/>
      <c r="X341" s="34"/>
      <c r="Y341" s="33"/>
      <c r="Z341" s="34"/>
      <c r="AA341" s="33"/>
    </row>
    <row r="342" ht="15.75" customHeight="1">
      <c r="H342" s="33"/>
      <c r="I342" s="33"/>
      <c r="M342" s="33"/>
      <c r="N342" s="33"/>
      <c r="O342" s="33"/>
      <c r="P342" s="33"/>
      <c r="Q342" s="33"/>
      <c r="R342" s="33"/>
      <c r="S342" s="33"/>
      <c r="T342" s="33"/>
      <c r="U342" s="33"/>
      <c r="V342" s="33"/>
      <c r="W342" s="33"/>
      <c r="X342" s="34"/>
      <c r="Y342" s="33"/>
      <c r="Z342" s="34"/>
      <c r="AA342" s="33"/>
    </row>
    <row r="343" ht="15.75" customHeight="1">
      <c r="H343" s="33"/>
      <c r="I343" s="33"/>
      <c r="M343" s="33"/>
      <c r="N343" s="33"/>
      <c r="O343" s="33"/>
      <c r="P343" s="33"/>
      <c r="Q343" s="33"/>
      <c r="R343" s="33"/>
      <c r="S343" s="33"/>
      <c r="T343" s="33"/>
      <c r="U343" s="33"/>
      <c r="V343" s="33"/>
      <c r="W343" s="33"/>
      <c r="X343" s="34"/>
      <c r="Y343" s="33"/>
      <c r="Z343" s="34"/>
      <c r="AA343" s="33"/>
    </row>
    <row r="344" ht="15.75" customHeight="1">
      <c r="H344" s="33"/>
      <c r="I344" s="33"/>
      <c r="M344" s="33"/>
      <c r="N344" s="33"/>
      <c r="O344" s="33"/>
      <c r="P344" s="33"/>
      <c r="Q344" s="33"/>
      <c r="R344" s="33"/>
      <c r="S344" s="33"/>
      <c r="T344" s="33"/>
      <c r="U344" s="33"/>
      <c r="V344" s="33"/>
      <c r="W344" s="33"/>
      <c r="X344" s="34"/>
      <c r="Y344" s="33"/>
      <c r="Z344" s="34"/>
      <c r="AA344" s="33"/>
    </row>
    <row r="345" ht="15.75" customHeight="1">
      <c r="H345" s="33"/>
      <c r="I345" s="33"/>
      <c r="M345" s="33"/>
      <c r="N345" s="33"/>
      <c r="O345" s="33"/>
      <c r="P345" s="33"/>
      <c r="Q345" s="33"/>
      <c r="R345" s="33"/>
      <c r="S345" s="33"/>
      <c r="T345" s="33"/>
      <c r="U345" s="33"/>
      <c r="V345" s="33"/>
      <c r="W345" s="33"/>
      <c r="X345" s="34"/>
      <c r="Y345" s="33"/>
      <c r="Z345" s="34"/>
      <c r="AA345" s="33"/>
    </row>
    <row r="346" ht="15.75" customHeight="1">
      <c r="H346" s="33"/>
      <c r="I346" s="33"/>
      <c r="M346" s="33"/>
      <c r="N346" s="33"/>
      <c r="O346" s="33"/>
      <c r="P346" s="33"/>
      <c r="Q346" s="33"/>
      <c r="R346" s="33"/>
      <c r="S346" s="33"/>
      <c r="T346" s="33"/>
      <c r="U346" s="33"/>
      <c r="V346" s="33"/>
      <c r="W346" s="33"/>
      <c r="X346" s="34"/>
      <c r="Y346" s="33"/>
      <c r="Z346" s="34"/>
      <c r="AA346" s="33"/>
    </row>
    <row r="347" ht="15.75" customHeight="1">
      <c r="H347" s="33"/>
      <c r="I347" s="33"/>
      <c r="M347" s="33"/>
      <c r="N347" s="33"/>
      <c r="O347" s="33"/>
      <c r="P347" s="33"/>
      <c r="Q347" s="33"/>
      <c r="R347" s="33"/>
      <c r="S347" s="33"/>
      <c r="T347" s="33"/>
      <c r="U347" s="33"/>
      <c r="V347" s="33"/>
      <c r="W347" s="33"/>
      <c r="X347" s="34"/>
      <c r="Y347" s="33"/>
      <c r="Z347" s="34"/>
      <c r="AA347" s="33"/>
    </row>
    <row r="348" ht="15.75" customHeight="1">
      <c r="H348" s="33"/>
      <c r="I348" s="33"/>
      <c r="M348" s="33"/>
      <c r="N348" s="33"/>
      <c r="O348" s="33"/>
      <c r="P348" s="33"/>
      <c r="Q348" s="33"/>
      <c r="R348" s="33"/>
      <c r="S348" s="33"/>
      <c r="T348" s="33"/>
      <c r="U348" s="33"/>
      <c r="V348" s="33"/>
      <c r="W348" s="33"/>
      <c r="X348" s="34"/>
      <c r="Y348" s="33"/>
      <c r="Z348" s="34"/>
      <c r="AA348" s="33"/>
    </row>
    <row r="349" ht="15.75" customHeight="1">
      <c r="H349" s="33"/>
      <c r="I349" s="33"/>
      <c r="M349" s="33"/>
      <c r="N349" s="33"/>
      <c r="O349" s="33"/>
      <c r="P349" s="33"/>
      <c r="Q349" s="33"/>
      <c r="R349" s="33"/>
      <c r="S349" s="33"/>
      <c r="T349" s="33"/>
      <c r="U349" s="33"/>
      <c r="V349" s="33"/>
      <c r="W349" s="33"/>
      <c r="X349" s="34"/>
      <c r="Y349" s="33"/>
      <c r="Z349" s="34"/>
      <c r="AA349" s="33"/>
    </row>
    <row r="350" ht="15.75" customHeight="1">
      <c r="H350" s="33"/>
      <c r="I350" s="33"/>
      <c r="M350" s="33"/>
      <c r="N350" s="33"/>
      <c r="O350" s="33"/>
      <c r="P350" s="33"/>
      <c r="Q350" s="33"/>
      <c r="R350" s="33"/>
      <c r="S350" s="33"/>
      <c r="T350" s="33"/>
      <c r="U350" s="33"/>
      <c r="V350" s="33"/>
      <c r="W350" s="33"/>
      <c r="X350" s="34"/>
      <c r="Y350" s="33"/>
      <c r="Z350" s="34"/>
      <c r="AA350" s="33"/>
    </row>
    <row r="351" ht="15.75" customHeight="1">
      <c r="H351" s="33"/>
      <c r="I351" s="33"/>
      <c r="M351" s="33"/>
      <c r="N351" s="33"/>
      <c r="O351" s="33"/>
      <c r="P351" s="33"/>
      <c r="Q351" s="33"/>
      <c r="R351" s="33"/>
      <c r="S351" s="33"/>
      <c r="T351" s="33"/>
      <c r="U351" s="33"/>
      <c r="V351" s="33"/>
      <c r="W351" s="33"/>
      <c r="X351" s="34"/>
      <c r="Y351" s="33"/>
      <c r="Z351" s="34"/>
      <c r="AA351" s="33"/>
    </row>
    <row r="352" ht="15.75" customHeight="1">
      <c r="H352" s="33"/>
      <c r="I352" s="33"/>
      <c r="M352" s="33"/>
      <c r="N352" s="33"/>
      <c r="O352" s="33"/>
      <c r="P352" s="33"/>
      <c r="Q352" s="33"/>
      <c r="R352" s="33"/>
      <c r="S352" s="33"/>
      <c r="T352" s="33"/>
      <c r="U352" s="33"/>
      <c r="V352" s="33"/>
      <c r="W352" s="33"/>
      <c r="X352" s="34"/>
      <c r="Y352" s="33"/>
      <c r="Z352" s="34"/>
      <c r="AA352" s="33"/>
    </row>
    <row r="353" ht="15.75" customHeight="1">
      <c r="H353" s="33"/>
      <c r="I353" s="33"/>
      <c r="M353" s="33"/>
      <c r="N353" s="33"/>
      <c r="O353" s="33"/>
      <c r="P353" s="33"/>
      <c r="Q353" s="33"/>
      <c r="R353" s="33"/>
      <c r="S353" s="33"/>
      <c r="T353" s="33"/>
      <c r="U353" s="33"/>
      <c r="V353" s="33"/>
      <c r="W353" s="33"/>
      <c r="X353" s="34"/>
      <c r="Y353" s="33"/>
      <c r="Z353" s="34"/>
      <c r="AA353" s="33"/>
    </row>
    <row r="354" ht="15.75" customHeight="1">
      <c r="H354" s="33"/>
      <c r="I354" s="33"/>
      <c r="M354" s="33"/>
      <c r="N354" s="33"/>
      <c r="O354" s="33"/>
      <c r="P354" s="33"/>
      <c r="Q354" s="33"/>
      <c r="R354" s="33"/>
      <c r="S354" s="33"/>
      <c r="T354" s="33"/>
      <c r="U354" s="33"/>
      <c r="V354" s="33"/>
      <c r="W354" s="33"/>
      <c r="X354" s="34"/>
      <c r="Y354" s="33"/>
      <c r="Z354" s="34"/>
      <c r="AA354" s="33"/>
    </row>
    <row r="355" ht="15.75" customHeight="1">
      <c r="H355" s="33"/>
      <c r="I355" s="33"/>
      <c r="M355" s="33"/>
      <c r="N355" s="33"/>
      <c r="O355" s="33"/>
      <c r="P355" s="33"/>
      <c r="Q355" s="33"/>
      <c r="R355" s="33"/>
      <c r="S355" s="33"/>
      <c r="T355" s="33"/>
      <c r="U355" s="33"/>
      <c r="V355" s="33"/>
      <c r="W355" s="33"/>
      <c r="X355" s="34"/>
      <c r="Y355" s="33"/>
      <c r="Z355" s="34"/>
      <c r="AA355" s="33"/>
    </row>
    <row r="356" ht="15.75" customHeight="1">
      <c r="H356" s="33"/>
      <c r="I356" s="33"/>
      <c r="M356" s="33"/>
      <c r="N356" s="33"/>
      <c r="O356" s="33"/>
      <c r="P356" s="33"/>
      <c r="Q356" s="33"/>
      <c r="R356" s="33"/>
      <c r="S356" s="33"/>
      <c r="T356" s="33"/>
      <c r="U356" s="33"/>
      <c r="V356" s="33"/>
      <c r="W356" s="33"/>
      <c r="X356" s="34"/>
      <c r="Y356" s="33"/>
      <c r="Z356" s="34"/>
      <c r="AA356" s="33"/>
    </row>
    <row r="357" ht="15.75" customHeight="1">
      <c r="H357" s="33"/>
      <c r="I357" s="33"/>
      <c r="M357" s="33"/>
      <c r="N357" s="33"/>
      <c r="O357" s="33"/>
      <c r="P357" s="33"/>
      <c r="Q357" s="33"/>
      <c r="R357" s="33"/>
      <c r="S357" s="33"/>
      <c r="T357" s="33"/>
      <c r="U357" s="33"/>
      <c r="V357" s="33"/>
      <c r="W357" s="33"/>
      <c r="X357" s="34"/>
      <c r="Y357" s="33"/>
      <c r="Z357" s="34"/>
      <c r="AA357" s="33"/>
    </row>
    <row r="358" ht="15.75" customHeight="1">
      <c r="H358" s="33"/>
      <c r="I358" s="33"/>
      <c r="M358" s="33"/>
      <c r="N358" s="33"/>
      <c r="O358" s="33"/>
      <c r="P358" s="33"/>
      <c r="Q358" s="33"/>
      <c r="R358" s="33"/>
      <c r="S358" s="33"/>
      <c r="T358" s="33"/>
      <c r="U358" s="33"/>
      <c r="V358" s="33"/>
      <c r="W358" s="33"/>
      <c r="X358" s="34"/>
      <c r="Y358" s="33"/>
      <c r="Z358" s="34"/>
      <c r="AA358" s="33"/>
    </row>
    <row r="359" ht="15.75" customHeight="1">
      <c r="H359" s="33"/>
      <c r="I359" s="33"/>
      <c r="M359" s="33"/>
      <c r="N359" s="33"/>
      <c r="O359" s="33"/>
      <c r="P359" s="33"/>
      <c r="Q359" s="33"/>
      <c r="R359" s="33"/>
      <c r="S359" s="33"/>
      <c r="T359" s="33"/>
      <c r="U359" s="33"/>
      <c r="V359" s="33"/>
      <c r="W359" s="33"/>
      <c r="X359" s="34"/>
      <c r="Y359" s="33"/>
      <c r="Z359" s="34"/>
      <c r="AA359" s="33"/>
    </row>
    <row r="360" ht="15.75" customHeight="1">
      <c r="H360" s="33"/>
      <c r="I360" s="33"/>
      <c r="M360" s="33"/>
      <c r="N360" s="33"/>
      <c r="O360" s="33"/>
      <c r="P360" s="33"/>
      <c r="Q360" s="33"/>
      <c r="R360" s="33"/>
      <c r="S360" s="33"/>
      <c r="T360" s="33"/>
      <c r="U360" s="33"/>
      <c r="V360" s="33"/>
      <c r="W360" s="33"/>
      <c r="X360" s="34"/>
      <c r="Y360" s="33"/>
      <c r="Z360" s="34"/>
      <c r="AA360" s="33"/>
    </row>
    <row r="361" ht="15.75" customHeight="1">
      <c r="H361" s="33"/>
      <c r="I361" s="33"/>
      <c r="M361" s="33"/>
      <c r="N361" s="33"/>
      <c r="O361" s="33"/>
      <c r="P361" s="33"/>
      <c r="Q361" s="33"/>
      <c r="R361" s="33"/>
      <c r="S361" s="33"/>
      <c r="T361" s="33"/>
      <c r="U361" s="33"/>
      <c r="V361" s="33"/>
      <c r="W361" s="33"/>
      <c r="X361" s="34"/>
      <c r="Y361" s="33"/>
      <c r="Z361" s="34"/>
      <c r="AA361" s="33"/>
    </row>
    <row r="362" ht="15.75" customHeight="1">
      <c r="H362" s="33"/>
      <c r="I362" s="33"/>
      <c r="M362" s="33"/>
      <c r="N362" s="33"/>
      <c r="O362" s="33"/>
      <c r="P362" s="33"/>
      <c r="Q362" s="33"/>
      <c r="R362" s="33"/>
      <c r="S362" s="33"/>
      <c r="T362" s="33"/>
      <c r="U362" s="33"/>
      <c r="V362" s="33"/>
      <c r="W362" s="33"/>
      <c r="X362" s="34"/>
      <c r="Y362" s="33"/>
      <c r="Z362" s="34"/>
      <c r="AA362" s="33"/>
    </row>
    <row r="363" ht="15.75" customHeight="1">
      <c r="H363" s="33"/>
      <c r="I363" s="33"/>
      <c r="M363" s="33"/>
      <c r="N363" s="33"/>
      <c r="O363" s="33"/>
      <c r="P363" s="33"/>
      <c r="Q363" s="33"/>
      <c r="R363" s="33"/>
      <c r="S363" s="33"/>
      <c r="T363" s="33"/>
      <c r="U363" s="33"/>
      <c r="V363" s="33"/>
      <c r="W363" s="33"/>
      <c r="X363" s="34"/>
      <c r="Y363" s="33"/>
      <c r="Z363" s="34"/>
      <c r="AA363" s="33"/>
    </row>
    <row r="364" ht="15.75" customHeight="1">
      <c r="H364" s="33"/>
      <c r="I364" s="33"/>
      <c r="M364" s="33"/>
      <c r="N364" s="33"/>
      <c r="O364" s="33"/>
      <c r="P364" s="33"/>
      <c r="Q364" s="33"/>
      <c r="R364" s="33"/>
      <c r="S364" s="33"/>
      <c r="T364" s="33"/>
      <c r="U364" s="33"/>
      <c r="V364" s="33"/>
      <c r="W364" s="33"/>
      <c r="X364" s="34"/>
      <c r="Y364" s="33"/>
      <c r="Z364" s="34"/>
      <c r="AA364" s="33"/>
    </row>
    <row r="365" ht="15.75" customHeight="1">
      <c r="H365" s="33"/>
      <c r="I365" s="33"/>
      <c r="M365" s="33"/>
      <c r="N365" s="33"/>
      <c r="O365" s="33"/>
      <c r="P365" s="33"/>
      <c r="Q365" s="33"/>
      <c r="R365" s="33"/>
      <c r="S365" s="33"/>
      <c r="T365" s="33"/>
      <c r="U365" s="33"/>
      <c r="V365" s="33"/>
      <c r="W365" s="33"/>
      <c r="X365" s="34"/>
      <c r="Y365" s="33"/>
      <c r="Z365" s="34"/>
      <c r="AA365" s="33"/>
    </row>
    <row r="366" ht="15.75" customHeight="1">
      <c r="H366" s="33"/>
      <c r="I366" s="33"/>
      <c r="M366" s="33"/>
      <c r="N366" s="33"/>
      <c r="O366" s="33"/>
      <c r="P366" s="33"/>
      <c r="Q366" s="33"/>
      <c r="R366" s="33"/>
      <c r="S366" s="33"/>
      <c r="T366" s="33"/>
      <c r="U366" s="33"/>
      <c r="V366" s="33"/>
      <c r="W366" s="33"/>
      <c r="X366" s="34"/>
      <c r="Y366" s="33"/>
      <c r="Z366" s="34"/>
      <c r="AA366" s="33"/>
    </row>
    <row r="367" ht="15.75" customHeight="1">
      <c r="H367" s="33"/>
      <c r="I367" s="33"/>
      <c r="M367" s="33"/>
      <c r="N367" s="33"/>
      <c r="O367" s="33"/>
      <c r="P367" s="33"/>
      <c r="Q367" s="33"/>
      <c r="R367" s="33"/>
      <c r="S367" s="33"/>
      <c r="T367" s="33"/>
      <c r="U367" s="33"/>
      <c r="V367" s="33"/>
      <c r="W367" s="33"/>
      <c r="X367" s="34"/>
      <c r="Y367" s="33"/>
      <c r="Z367" s="34"/>
      <c r="AA367" s="33"/>
    </row>
    <row r="368" ht="15.75" customHeight="1">
      <c r="H368" s="33"/>
      <c r="I368" s="33"/>
      <c r="M368" s="33"/>
      <c r="N368" s="33"/>
      <c r="O368" s="33"/>
      <c r="P368" s="33"/>
      <c r="Q368" s="33"/>
      <c r="R368" s="33"/>
      <c r="S368" s="33"/>
      <c r="T368" s="33"/>
      <c r="U368" s="33"/>
      <c r="V368" s="33"/>
      <c r="W368" s="33"/>
      <c r="X368" s="34"/>
      <c r="Y368" s="33"/>
      <c r="Z368" s="34"/>
      <c r="AA368" s="33"/>
    </row>
    <row r="369" ht="15.75" customHeight="1">
      <c r="H369" s="33"/>
      <c r="I369" s="33"/>
      <c r="M369" s="33"/>
      <c r="N369" s="33"/>
      <c r="O369" s="33"/>
      <c r="P369" s="33"/>
      <c r="Q369" s="33"/>
      <c r="R369" s="33"/>
      <c r="S369" s="33"/>
      <c r="T369" s="33"/>
      <c r="U369" s="33"/>
      <c r="V369" s="33"/>
      <c r="W369" s="33"/>
      <c r="X369" s="34"/>
      <c r="Y369" s="33"/>
      <c r="Z369" s="34"/>
      <c r="AA369" s="33"/>
    </row>
    <row r="370" ht="15.75" customHeight="1">
      <c r="H370" s="33"/>
      <c r="I370" s="33"/>
      <c r="M370" s="33"/>
      <c r="N370" s="33"/>
      <c r="O370" s="33"/>
      <c r="P370" s="33"/>
      <c r="Q370" s="33"/>
      <c r="R370" s="33"/>
      <c r="S370" s="33"/>
      <c r="T370" s="33"/>
      <c r="U370" s="33"/>
      <c r="V370" s="33"/>
      <c r="W370" s="33"/>
      <c r="X370" s="34"/>
      <c r="Y370" s="33"/>
      <c r="Z370" s="34"/>
      <c r="AA370" s="33"/>
    </row>
    <row r="371" ht="15.75" customHeight="1">
      <c r="H371" s="33"/>
      <c r="I371" s="33"/>
      <c r="M371" s="33"/>
      <c r="N371" s="33"/>
      <c r="O371" s="33"/>
      <c r="P371" s="33"/>
      <c r="Q371" s="33"/>
      <c r="R371" s="33"/>
      <c r="S371" s="33"/>
      <c r="T371" s="33"/>
      <c r="U371" s="33"/>
      <c r="V371" s="33"/>
      <c r="W371" s="33"/>
      <c r="X371" s="34"/>
      <c r="Y371" s="33"/>
      <c r="Z371" s="34"/>
      <c r="AA371" s="33"/>
    </row>
    <row r="372" ht="15.75" customHeight="1">
      <c r="H372" s="33"/>
      <c r="I372" s="33"/>
      <c r="M372" s="33"/>
      <c r="N372" s="33"/>
      <c r="O372" s="33"/>
      <c r="P372" s="33"/>
      <c r="Q372" s="33"/>
      <c r="R372" s="33"/>
      <c r="S372" s="33"/>
      <c r="T372" s="33"/>
      <c r="U372" s="33"/>
      <c r="V372" s="33"/>
      <c r="W372" s="33"/>
      <c r="X372" s="34"/>
      <c r="Y372" s="33"/>
      <c r="Z372" s="34"/>
      <c r="AA372" s="33"/>
    </row>
    <row r="373" ht="15.75" customHeight="1">
      <c r="H373" s="33"/>
      <c r="I373" s="33"/>
      <c r="M373" s="33"/>
      <c r="N373" s="33"/>
      <c r="O373" s="33"/>
      <c r="P373" s="33"/>
      <c r="Q373" s="33"/>
      <c r="R373" s="33"/>
      <c r="S373" s="33"/>
      <c r="T373" s="33"/>
      <c r="U373" s="33"/>
      <c r="V373" s="33"/>
      <c r="W373" s="33"/>
      <c r="X373" s="34"/>
      <c r="Y373" s="33"/>
      <c r="Z373" s="34"/>
      <c r="AA373" s="33"/>
    </row>
    <row r="374" ht="15.75" customHeight="1">
      <c r="H374" s="33"/>
      <c r="I374" s="33"/>
      <c r="M374" s="33"/>
      <c r="N374" s="33"/>
      <c r="O374" s="33"/>
      <c r="P374" s="33"/>
      <c r="Q374" s="33"/>
      <c r="R374" s="33"/>
      <c r="S374" s="33"/>
      <c r="T374" s="33"/>
      <c r="U374" s="33"/>
      <c r="V374" s="33"/>
      <c r="W374" s="33"/>
      <c r="X374" s="34"/>
      <c r="Y374" s="33"/>
      <c r="Z374" s="34"/>
      <c r="AA374" s="33"/>
    </row>
    <row r="375" ht="15.75" customHeight="1">
      <c r="H375" s="33"/>
      <c r="I375" s="33"/>
      <c r="M375" s="33"/>
      <c r="N375" s="33"/>
      <c r="O375" s="33"/>
      <c r="P375" s="33"/>
      <c r="Q375" s="33"/>
      <c r="R375" s="33"/>
      <c r="S375" s="33"/>
      <c r="T375" s="33"/>
      <c r="U375" s="33"/>
      <c r="V375" s="33"/>
      <c r="W375" s="33"/>
      <c r="X375" s="34"/>
      <c r="Y375" s="33"/>
      <c r="Z375" s="34"/>
      <c r="AA375" s="33"/>
    </row>
    <row r="376" ht="15.75" customHeight="1">
      <c r="H376" s="33"/>
      <c r="I376" s="33"/>
      <c r="M376" s="33"/>
      <c r="N376" s="33"/>
      <c r="O376" s="33"/>
      <c r="P376" s="33"/>
      <c r="Q376" s="33"/>
      <c r="R376" s="33"/>
      <c r="S376" s="33"/>
      <c r="T376" s="33"/>
      <c r="U376" s="33"/>
      <c r="V376" s="33"/>
      <c r="W376" s="33"/>
      <c r="X376" s="34"/>
      <c r="Y376" s="33"/>
      <c r="Z376" s="34"/>
      <c r="AA376" s="33"/>
    </row>
    <row r="377" ht="15.75" customHeight="1">
      <c r="H377" s="33"/>
      <c r="I377" s="33"/>
      <c r="M377" s="33"/>
      <c r="N377" s="33"/>
      <c r="O377" s="33"/>
      <c r="P377" s="33"/>
      <c r="Q377" s="33"/>
      <c r="R377" s="33"/>
      <c r="S377" s="33"/>
      <c r="T377" s="33"/>
      <c r="U377" s="33"/>
      <c r="V377" s="33"/>
      <c r="W377" s="33"/>
      <c r="X377" s="34"/>
      <c r="Y377" s="33"/>
      <c r="Z377" s="34"/>
      <c r="AA377" s="33"/>
    </row>
    <row r="378" ht="15.75" customHeight="1">
      <c r="H378" s="33"/>
      <c r="I378" s="33"/>
      <c r="M378" s="33"/>
      <c r="N378" s="33"/>
      <c r="O378" s="33"/>
      <c r="P378" s="33"/>
      <c r="Q378" s="33"/>
      <c r="R378" s="33"/>
      <c r="S378" s="33"/>
      <c r="T378" s="33"/>
      <c r="U378" s="33"/>
      <c r="V378" s="33"/>
      <c r="W378" s="33"/>
      <c r="X378" s="34"/>
      <c r="Y378" s="33"/>
      <c r="Z378" s="34"/>
      <c r="AA378" s="33"/>
    </row>
    <row r="379" ht="15.75" customHeight="1">
      <c r="H379" s="33"/>
      <c r="I379" s="33"/>
      <c r="M379" s="33"/>
      <c r="N379" s="33"/>
      <c r="O379" s="33"/>
      <c r="P379" s="33"/>
      <c r="Q379" s="33"/>
      <c r="R379" s="33"/>
      <c r="S379" s="33"/>
      <c r="T379" s="33"/>
      <c r="U379" s="33"/>
      <c r="V379" s="33"/>
      <c r="W379" s="33"/>
      <c r="X379" s="34"/>
      <c r="Y379" s="33"/>
      <c r="Z379" s="34"/>
      <c r="AA379" s="33"/>
    </row>
    <row r="380" ht="15.75" customHeight="1">
      <c r="H380" s="33"/>
      <c r="I380" s="33"/>
      <c r="M380" s="33"/>
      <c r="N380" s="33"/>
      <c r="O380" s="33"/>
      <c r="P380" s="33"/>
      <c r="Q380" s="33"/>
      <c r="R380" s="33"/>
      <c r="S380" s="33"/>
      <c r="T380" s="33"/>
      <c r="U380" s="33"/>
      <c r="V380" s="33"/>
      <c r="W380" s="33"/>
      <c r="X380" s="34"/>
      <c r="Y380" s="33"/>
      <c r="Z380" s="34"/>
      <c r="AA380" s="33"/>
    </row>
    <row r="381" ht="15.75" customHeight="1">
      <c r="H381" s="33"/>
      <c r="I381" s="33"/>
      <c r="M381" s="33"/>
      <c r="N381" s="33"/>
      <c r="O381" s="33"/>
      <c r="P381" s="33"/>
      <c r="Q381" s="33"/>
      <c r="R381" s="33"/>
      <c r="S381" s="33"/>
      <c r="T381" s="33"/>
      <c r="U381" s="33"/>
      <c r="V381" s="33"/>
      <c r="W381" s="33"/>
      <c r="X381" s="34"/>
      <c r="Y381" s="33"/>
      <c r="Z381" s="34"/>
      <c r="AA381" s="33"/>
    </row>
    <row r="382" ht="15.75" customHeight="1">
      <c r="H382" s="33"/>
      <c r="I382" s="33"/>
      <c r="M382" s="33"/>
      <c r="N382" s="33"/>
      <c r="O382" s="33"/>
      <c r="P382" s="33"/>
      <c r="Q382" s="33"/>
      <c r="R382" s="33"/>
      <c r="S382" s="33"/>
      <c r="T382" s="33"/>
      <c r="U382" s="33"/>
      <c r="V382" s="33"/>
      <c r="W382" s="33"/>
      <c r="X382" s="34"/>
      <c r="Y382" s="33"/>
      <c r="Z382" s="34"/>
      <c r="AA382" s="33"/>
    </row>
    <row r="383" ht="15.75" customHeight="1">
      <c r="H383" s="33"/>
      <c r="I383" s="33"/>
      <c r="M383" s="33"/>
      <c r="N383" s="33"/>
      <c r="O383" s="33"/>
      <c r="P383" s="33"/>
      <c r="Q383" s="33"/>
      <c r="R383" s="33"/>
      <c r="S383" s="33"/>
      <c r="T383" s="33"/>
      <c r="U383" s="33"/>
      <c r="V383" s="33"/>
      <c r="W383" s="33"/>
      <c r="X383" s="34"/>
      <c r="Y383" s="33"/>
      <c r="Z383" s="34"/>
      <c r="AA383" s="33"/>
    </row>
    <row r="384" ht="15.75" customHeight="1">
      <c r="H384" s="33"/>
      <c r="I384" s="33"/>
      <c r="M384" s="33"/>
      <c r="N384" s="33"/>
      <c r="O384" s="33"/>
      <c r="P384" s="33"/>
      <c r="Q384" s="33"/>
      <c r="R384" s="33"/>
      <c r="S384" s="33"/>
      <c r="T384" s="33"/>
      <c r="U384" s="33"/>
      <c r="V384" s="33"/>
      <c r="W384" s="33"/>
      <c r="X384" s="34"/>
      <c r="Y384" s="33"/>
      <c r="Z384" s="34"/>
      <c r="AA384" s="33"/>
    </row>
    <row r="385" ht="15.75" customHeight="1">
      <c r="H385" s="33"/>
      <c r="I385" s="33"/>
      <c r="M385" s="33"/>
      <c r="N385" s="33"/>
      <c r="O385" s="33"/>
      <c r="P385" s="33"/>
      <c r="Q385" s="33"/>
      <c r="R385" s="33"/>
      <c r="S385" s="33"/>
      <c r="T385" s="33"/>
      <c r="U385" s="33"/>
      <c r="V385" s="33"/>
      <c r="W385" s="33"/>
      <c r="X385" s="34"/>
      <c r="Y385" s="33"/>
      <c r="Z385" s="34"/>
      <c r="AA385" s="33"/>
    </row>
    <row r="386" ht="15.75" customHeight="1">
      <c r="H386" s="33"/>
      <c r="I386" s="33"/>
      <c r="M386" s="33"/>
      <c r="N386" s="33"/>
      <c r="O386" s="33"/>
      <c r="P386" s="33"/>
      <c r="Q386" s="33"/>
      <c r="R386" s="33"/>
      <c r="S386" s="33"/>
      <c r="T386" s="33"/>
      <c r="U386" s="33"/>
      <c r="V386" s="33"/>
      <c r="W386" s="33"/>
      <c r="X386" s="34"/>
      <c r="Y386" s="33"/>
      <c r="Z386" s="34"/>
      <c r="AA386" s="33"/>
    </row>
    <row r="387" ht="15.75" customHeight="1">
      <c r="H387" s="33"/>
      <c r="I387" s="33"/>
      <c r="M387" s="33"/>
      <c r="N387" s="33"/>
      <c r="O387" s="33"/>
      <c r="P387" s="33"/>
      <c r="Q387" s="33"/>
      <c r="R387" s="33"/>
      <c r="S387" s="33"/>
      <c r="T387" s="33"/>
      <c r="U387" s="33"/>
      <c r="V387" s="33"/>
      <c r="W387" s="33"/>
      <c r="X387" s="34"/>
      <c r="Y387" s="33"/>
      <c r="Z387" s="34"/>
      <c r="AA387" s="33"/>
    </row>
    <row r="388" ht="15.75" customHeight="1">
      <c r="H388" s="33"/>
      <c r="I388" s="33"/>
      <c r="M388" s="33"/>
      <c r="N388" s="33"/>
      <c r="O388" s="33"/>
      <c r="P388" s="33"/>
      <c r="Q388" s="33"/>
      <c r="R388" s="33"/>
      <c r="S388" s="33"/>
      <c r="T388" s="33"/>
      <c r="U388" s="33"/>
      <c r="V388" s="33"/>
      <c r="W388" s="33"/>
      <c r="X388" s="34"/>
      <c r="Y388" s="33"/>
      <c r="Z388" s="34"/>
      <c r="AA388" s="33"/>
    </row>
    <row r="389" ht="15.75" customHeight="1">
      <c r="H389" s="33"/>
      <c r="I389" s="33"/>
      <c r="M389" s="33"/>
      <c r="N389" s="33"/>
      <c r="O389" s="33"/>
      <c r="P389" s="33"/>
      <c r="Q389" s="33"/>
      <c r="R389" s="33"/>
      <c r="S389" s="33"/>
      <c r="T389" s="33"/>
      <c r="U389" s="33"/>
      <c r="V389" s="33"/>
      <c r="W389" s="33"/>
      <c r="X389" s="34"/>
      <c r="Y389" s="33"/>
      <c r="Z389" s="34"/>
      <c r="AA389" s="33"/>
    </row>
    <row r="390" ht="15.75" customHeight="1">
      <c r="H390" s="33"/>
      <c r="I390" s="33"/>
      <c r="M390" s="33"/>
      <c r="N390" s="33"/>
      <c r="O390" s="33"/>
      <c r="P390" s="33"/>
      <c r="Q390" s="33"/>
      <c r="R390" s="33"/>
      <c r="S390" s="33"/>
      <c r="T390" s="33"/>
      <c r="U390" s="33"/>
      <c r="V390" s="33"/>
      <c r="W390" s="33"/>
      <c r="X390" s="34"/>
      <c r="Y390" s="33"/>
      <c r="Z390" s="34"/>
      <c r="AA390" s="33"/>
    </row>
    <row r="391" ht="15.75" customHeight="1">
      <c r="H391" s="33"/>
      <c r="I391" s="33"/>
      <c r="M391" s="33"/>
      <c r="N391" s="33"/>
      <c r="O391" s="33"/>
      <c r="P391" s="33"/>
      <c r="Q391" s="33"/>
      <c r="R391" s="33"/>
      <c r="S391" s="33"/>
      <c r="T391" s="33"/>
      <c r="U391" s="33"/>
      <c r="V391" s="33"/>
      <c r="W391" s="33"/>
      <c r="X391" s="34"/>
      <c r="Y391" s="33"/>
      <c r="Z391" s="34"/>
      <c r="AA391" s="33"/>
    </row>
    <row r="392" ht="15.75" customHeight="1">
      <c r="H392" s="33"/>
      <c r="I392" s="33"/>
      <c r="M392" s="33"/>
      <c r="N392" s="33"/>
      <c r="O392" s="33"/>
      <c r="P392" s="33"/>
      <c r="Q392" s="33"/>
      <c r="R392" s="33"/>
      <c r="S392" s="33"/>
      <c r="T392" s="33"/>
      <c r="U392" s="33"/>
      <c r="V392" s="33"/>
      <c r="W392" s="33"/>
      <c r="X392" s="34"/>
      <c r="Y392" s="33"/>
      <c r="Z392" s="34"/>
      <c r="AA392" s="33"/>
    </row>
    <row r="393" ht="15.75" customHeight="1">
      <c r="H393" s="33"/>
      <c r="I393" s="33"/>
      <c r="M393" s="33"/>
      <c r="N393" s="33"/>
      <c r="O393" s="33"/>
      <c r="P393" s="33"/>
      <c r="Q393" s="33"/>
      <c r="R393" s="33"/>
      <c r="S393" s="33"/>
      <c r="T393" s="33"/>
      <c r="U393" s="33"/>
      <c r="V393" s="33"/>
      <c r="W393" s="33"/>
      <c r="X393" s="34"/>
      <c r="Y393" s="33"/>
      <c r="Z393" s="34"/>
      <c r="AA393" s="33"/>
    </row>
    <row r="394" ht="15.75" customHeight="1">
      <c r="H394" s="33"/>
      <c r="I394" s="33"/>
      <c r="M394" s="33"/>
      <c r="N394" s="33"/>
      <c r="O394" s="33"/>
      <c r="P394" s="33"/>
      <c r="Q394" s="33"/>
      <c r="R394" s="33"/>
      <c r="S394" s="33"/>
      <c r="T394" s="33"/>
      <c r="U394" s="33"/>
      <c r="V394" s="33"/>
      <c r="W394" s="33"/>
      <c r="X394" s="34"/>
      <c r="Y394" s="33"/>
      <c r="Z394" s="34"/>
      <c r="AA394" s="33"/>
    </row>
    <row r="395" ht="15.75" customHeight="1">
      <c r="H395" s="33"/>
      <c r="I395" s="33"/>
      <c r="M395" s="33"/>
      <c r="N395" s="33"/>
      <c r="O395" s="33"/>
      <c r="P395" s="33"/>
      <c r="Q395" s="33"/>
      <c r="R395" s="33"/>
      <c r="S395" s="33"/>
      <c r="T395" s="33"/>
      <c r="U395" s="33"/>
      <c r="V395" s="33"/>
      <c r="W395" s="33"/>
      <c r="X395" s="34"/>
      <c r="Y395" s="33"/>
      <c r="Z395" s="34"/>
      <c r="AA395" s="33"/>
    </row>
    <row r="396" ht="15.75" customHeight="1">
      <c r="H396" s="33"/>
      <c r="I396" s="33"/>
      <c r="M396" s="33"/>
      <c r="N396" s="33"/>
      <c r="O396" s="33"/>
      <c r="P396" s="33"/>
      <c r="Q396" s="33"/>
      <c r="R396" s="33"/>
      <c r="S396" s="33"/>
      <c r="T396" s="33"/>
      <c r="U396" s="33"/>
      <c r="V396" s="33"/>
      <c r="W396" s="33"/>
      <c r="X396" s="34"/>
      <c r="Y396" s="33"/>
      <c r="Z396" s="34"/>
      <c r="AA396" s="33"/>
    </row>
    <row r="397" ht="15.75" customHeight="1">
      <c r="H397" s="33"/>
      <c r="I397" s="33"/>
      <c r="M397" s="33"/>
      <c r="N397" s="33"/>
      <c r="O397" s="33"/>
      <c r="P397" s="33"/>
      <c r="Q397" s="33"/>
      <c r="R397" s="33"/>
      <c r="S397" s="33"/>
      <c r="T397" s="33"/>
      <c r="U397" s="33"/>
      <c r="V397" s="33"/>
      <c r="W397" s="33"/>
      <c r="X397" s="34"/>
      <c r="Y397" s="33"/>
      <c r="Z397" s="34"/>
      <c r="AA397" s="33"/>
    </row>
    <row r="398" ht="15.75" customHeight="1">
      <c r="H398" s="33"/>
      <c r="I398" s="33"/>
      <c r="M398" s="33"/>
      <c r="N398" s="33"/>
      <c r="O398" s="33"/>
      <c r="P398" s="33"/>
      <c r="Q398" s="33"/>
      <c r="R398" s="33"/>
      <c r="S398" s="33"/>
      <c r="T398" s="33"/>
      <c r="U398" s="33"/>
      <c r="V398" s="33"/>
      <c r="W398" s="33"/>
      <c r="X398" s="34"/>
      <c r="Y398" s="33"/>
      <c r="Z398" s="34"/>
      <c r="AA398" s="33"/>
    </row>
    <row r="399" ht="15.75" customHeight="1">
      <c r="H399" s="33"/>
      <c r="I399" s="33"/>
      <c r="M399" s="33"/>
      <c r="N399" s="33"/>
      <c r="O399" s="33"/>
      <c r="P399" s="33"/>
      <c r="Q399" s="33"/>
      <c r="R399" s="33"/>
      <c r="S399" s="33"/>
      <c r="T399" s="33"/>
      <c r="U399" s="33"/>
      <c r="V399" s="33"/>
      <c r="W399" s="33"/>
      <c r="X399" s="34"/>
      <c r="Y399" s="33"/>
      <c r="Z399" s="34"/>
      <c r="AA399" s="33"/>
    </row>
    <row r="400" ht="15.75" customHeight="1">
      <c r="H400" s="33"/>
      <c r="I400" s="33"/>
      <c r="M400" s="33"/>
      <c r="N400" s="33"/>
      <c r="O400" s="33"/>
      <c r="P400" s="33"/>
      <c r="Q400" s="33"/>
      <c r="R400" s="33"/>
      <c r="S400" s="33"/>
      <c r="T400" s="33"/>
      <c r="U400" s="33"/>
      <c r="V400" s="33"/>
      <c r="W400" s="33"/>
      <c r="X400" s="34"/>
      <c r="Y400" s="33"/>
      <c r="Z400" s="34"/>
      <c r="AA400" s="33"/>
    </row>
    <row r="401" ht="15.75" customHeight="1">
      <c r="H401" s="33"/>
      <c r="I401" s="33"/>
      <c r="M401" s="33"/>
      <c r="N401" s="33"/>
      <c r="O401" s="33"/>
      <c r="P401" s="33"/>
      <c r="Q401" s="33"/>
      <c r="R401" s="33"/>
      <c r="S401" s="33"/>
      <c r="T401" s="33"/>
      <c r="U401" s="33"/>
      <c r="V401" s="33"/>
      <c r="W401" s="33"/>
      <c r="X401" s="34"/>
      <c r="Y401" s="33"/>
      <c r="Z401" s="34"/>
      <c r="AA401" s="33"/>
    </row>
    <row r="402" ht="15.75" customHeight="1">
      <c r="H402" s="33"/>
      <c r="I402" s="33"/>
      <c r="M402" s="33"/>
      <c r="N402" s="33"/>
      <c r="O402" s="33"/>
      <c r="P402" s="33"/>
      <c r="Q402" s="33"/>
      <c r="R402" s="33"/>
      <c r="S402" s="33"/>
      <c r="T402" s="33"/>
      <c r="U402" s="33"/>
      <c r="V402" s="33"/>
      <c r="W402" s="33"/>
      <c r="X402" s="34"/>
      <c r="Y402" s="33"/>
      <c r="Z402" s="34"/>
      <c r="AA402" s="33"/>
    </row>
    <row r="403" ht="15.75" customHeight="1">
      <c r="H403" s="33"/>
      <c r="I403" s="33"/>
      <c r="M403" s="33"/>
      <c r="N403" s="33"/>
      <c r="O403" s="33"/>
      <c r="P403" s="33"/>
      <c r="Q403" s="33"/>
      <c r="R403" s="33"/>
      <c r="S403" s="33"/>
      <c r="T403" s="33"/>
      <c r="U403" s="33"/>
      <c r="V403" s="33"/>
      <c r="W403" s="33"/>
      <c r="X403" s="34"/>
      <c r="Y403" s="33"/>
      <c r="Z403" s="34"/>
      <c r="AA403" s="33"/>
    </row>
    <row r="404" ht="15.75" customHeight="1">
      <c r="H404" s="33"/>
      <c r="I404" s="33"/>
      <c r="M404" s="33"/>
      <c r="N404" s="33"/>
      <c r="O404" s="33"/>
      <c r="P404" s="33"/>
      <c r="Q404" s="33"/>
      <c r="R404" s="33"/>
      <c r="S404" s="33"/>
      <c r="T404" s="33"/>
      <c r="U404" s="33"/>
      <c r="V404" s="33"/>
      <c r="W404" s="33"/>
      <c r="X404" s="34"/>
      <c r="Y404" s="33"/>
      <c r="Z404" s="34"/>
      <c r="AA404" s="33"/>
    </row>
    <row r="405" ht="15.75" customHeight="1">
      <c r="H405" s="33"/>
      <c r="I405" s="33"/>
      <c r="M405" s="33"/>
      <c r="N405" s="33"/>
      <c r="O405" s="33"/>
      <c r="P405" s="33"/>
      <c r="Q405" s="33"/>
      <c r="R405" s="33"/>
      <c r="S405" s="33"/>
      <c r="T405" s="33"/>
      <c r="U405" s="33"/>
      <c r="V405" s="33"/>
      <c r="W405" s="33"/>
      <c r="X405" s="34"/>
      <c r="Y405" s="33"/>
      <c r="Z405" s="34"/>
      <c r="AA405" s="33"/>
    </row>
    <row r="406" ht="15.75" customHeight="1">
      <c r="H406" s="33"/>
      <c r="I406" s="33"/>
      <c r="M406" s="33"/>
      <c r="N406" s="33"/>
      <c r="O406" s="33"/>
      <c r="P406" s="33"/>
      <c r="Q406" s="33"/>
      <c r="R406" s="33"/>
      <c r="S406" s="33"/>
      <c r="T406" s="33"/>
      <c r="U406" s="33"/>
      <c r="V406" s="33"/>
      <c r="W406" s="33"/>
      <c r="X406" s="34"/>
      <c r="Y406" s="33"/>
      <c r="Z406" s="34"/>
      <c r="AA406" s="33"/>
    </row>
    <row r="407" ht="15.75" customHeight="1">
      <c r="H407" s="33"/>
      <c r="I407" s="33"/>
      <c r="M407" s="33"/>
      <c r="N407" s="33"/>
      <c r="O407" s="33"/>
      <c r="P407" s="33"/>
      <c r="Q407" s="33"/>
      <c r="R407" s="33"/>
      <c r="S407" s="33"/>
      <c r="T407" s="33"/>
      <c r="U407" s="33"/>
      <c r="V407" s="33"/>
      <c r="W407" s="33"/>
      <c r="X407" s="34"/>
      <c r="Y407" s="33"/>
      <c r="Z407" s="34"/>
      <c r="AA407" s="33"/>
    </row>
    <row r="408" ht="15.75" customHeight="1">
      <c r="H408" s="33"/>
      <c r="I408" s="33"/>
      <c r="M408" s="33"/>
      <c r="N408" s="33"/>
      <c r="O408" s="33"/>
      <c r="P408" s="33"/>
      <c r="Q408" s="33"/>
      <c r="R408" s="33"/>
      <c r="S408" s="33"/>
      <c r="T408" s="33"/>
      <c r="U408" s="33"/>
      <c r="V408" s="33"/>
      <c r="W408" s="33"/>
      <c r="X408" s="34"/>
      <c r="Y408" s="33"/>
      <c r="Z408" s="34"/>
      <c r="AA408" s="33"/>
    </row>
    <row r="409" ht="15.75" customHeight="1">
      <c r="H409" s="33"/>
      <c r="I409" s="33"/>
      <c r="M409" s="33"/>
      <c r="N409" s="33"/>
      <c r="O409" s="33"/>
      <c r="P409" s="33"/>
      <c r="Q409" s="33"/>
      <c r="R409" s="33"/>
      <c r="S409" s="33"/>
      <c r="T409" s="33"/>
      <c r="U409" s="33"/>
      <c r="V409" s="33"/>
      <c r="W409" s="33"/>
      <c r="X409" s="34"/>
      <c r="Y409" s="33"/>
      <c r="Z409" s="34"/>
      <c r="AA409" s="33"/>
    </row>
    <row r="410" ht="15.75" customHeight="1">
      <c r="H410" s="33"/>
      <c r="I410" s="33"/>
      <c r="M410" s="33"/>
      <c r="N410" s="33"/>
      <c r="O410" s="33"/>
      <c r="P410" s="33"/>
      <c r="Q410" s="33"/>
      <c r="R410" s="33"/>
      <c r="S410" s="33"/>
      <c r="T410" s="33"/>
      <c r="U410" s="33"/>
      <c r="V410" s="33"/>
      <c r="W410" s="33"/>
      <c r="X410" s="34"/>
      <c r="Y410" s="33"/>
      <c r="Z410" s="34"/>
      <c r="AA410" s="33"/>
    </row>
    <row r="411" ht="15.75" customHeight="1">
      <c r="H411" s="33"/>
      <c r="I411" s="33"/>
      <c r="M411" s="33"/>
      <c r="N411" s="33"/>
      <c r="O411" s="33"/>
      <c r="P411" s="33"/>
      <c r="Q411" s="33"/>
      <c r="R411" s="33"/>
      <c r="S411" s="33"/>
      <c r="T411" s="33"/>
      <c r="U411" s="33"/>
      <c r="V411" s="33"/>
      <c r="W411" s="33"/>
      <c r="X411" s="34"/>
      <c r="Y411" s="33"/>
      <c r="Z411" s="34"/>
      <c r="AA411" s="33"/>
    </row>
    <row r="412" ht="15.75" customHeight="1">
      <c r="H412" s="33"/>
      <c r="I412" s="33"/>
      <c r="M412" s="33"/>
      <c r="N412" s="33"/>
      <c r="O412" s="33"/>
      <c r="P412" s="33"/>
      <c r="Q412" s="33"/>
      <c r="R412" s="33"/>
      <c r="S412" s="33"/>
      <c r="T412" s="33"/>
      <c r="U412" s="33"/>
      <c r="V412" s="33"/>
      <c r="W412" s="33"/>
      <c r="X412" s="34"/>
      <c r="Y412" s="33"/>
      <c r="Z412" s="34"/>
      <c r="AA412" s="33"/>
    </row>
    <row r="413" ht="15.75" customHeight="1">
      <c r="H413" s="33"/>
      <c r="I413" s="33"/>
      <c r="M413" s="33"/>
      <c r="N413" s="33"/>
      <c r="O413" s="33"/>
      <c r="P413" s="33"/>
      <c r="Q413" s="33"/>
      <c r="R413" s="33"/>
      <c r="S413" s="33"/>
      <c r="T413" s="33"/>
      <c r="U413" s="33"/>
      <c r="V413" s="33"/>
      <c r="W413" s="33"/>
      <c r="X413" s="34"/>
      <c r="Y413" s="33"/>
      <c r="Z413" s="34"/>
      <c r="AA413" s="33"/>
    </row>
    <row r="414" ht="15.75" customHeight="1">
      <c r="H414" s="33"/>
      <c r="I414" s="33"/>
      <c r="M414" s="33"/>
      <c r="N414" s="33"/>
      <c r="O414" s="33"/>
      <c r="P414" s="33"/>
      <c r="Q414" s="33"/>
      <c r="R414" s="33"/>
      <c r="S414" s="33"/>
      <c r="T414" s="33"/>
      <c r="U414" s="33"/>
      <c r="V414" s="33"/>
      <c r="W414" s="33"/>
      <c r="X414" s="34"/>
      <c r="Y414" s="33"/>
      <c r="Z414" s="34"/>
      <c r="AA414" s="33"/>
    </row>
    <row r="415" ht="15.75" customHeight="1">
      <c r="H415" s="33"/>
      <c r="I415" s="33"/>
      <c r="M415" s="33"/>
      <c r="N415" s="33"/>
      <c r="O415" s="33"/>
      <c r="P415" s="33"/>
      <c r="Q415" s="33"/>
      <c r="R415" s="33"/>
      <c r="S415" s="33"/>
      <c r="T415" s="33"/>
      <c r="U415" s="33"/>
      <c r="V415" s="33"/>
      <c r="W415" s="33"/>
      <c r="X415" s="34"/>
      <c r="Y415" s="33"/>
      <c r="Z415" s="34"/>
      <c r="AA415" s="33"/>
    </row>
    <row r="416" ht="15.75" customHeight="1">
      <c r="H416" s="33"/>
      <c r="I416" s="33"/>
      <c r="M416" s="33"/>
      <c r="N416" s="33"/>
      <c r="O416" s="33"/>
      <c r="P416" s="33"/>
      <c r="Q416" s="33"/>
      <c r="R416" s="33"/>
      <c r="S416" s="33"/>
      <c r="T416" s="33"/>
      <c r="U416" s="33"/>
      <c r="V416" s="33"/>
      <c r="W416" s="33"/>
      <c r="X416" s="34"/>
      <c r="Y416" s="33"/>
      <c r="Z416" s="34"/>
      <c r="AA416" s="33"/>
    </row>
    <row r="417" ht="15.75" customHeight="1">
      <c r="H417" s="33"/>
      <c r="I417" s="33"/>
      <c r="M417" s="33"/>
      <c r="N417" s="33"/>
      <c r="O417" s="33"/>
      <c r="P417" s="33"/>
      <c r="Q417" s="33"/>
      <c r="R417" s="33"/>
      <c r="S417" s="33"/>
      <c r="T417" s="33"/>
      <c r="U417" s="33"/>
      <c r="V417" s="33"/>
      <c r="W417" s="33"/>
      <c r="X417" s="34"/>
      <c r="Y417" s="33"/>
      <c r="Z417" s="34"/>
      <c r="AA417" s="33"/>
    </row>
    <row r="418" ht="15.75" customHeight="1">
      <c r="H418" s="33"/>
      <c r="I418" s="33"/>
      <c r="M418" s="33"/>
      <c r="N418" s="33"/>
      <c r="O418" s="33"/>
      <c r="P418" s="33"/>
      <c r="Q418" s="33"/>
      <c r="R418" s="33"/>
      <c r="S418" s="33"/>
      <c r="T418" s="33"/>
      <c r="U418" s="33"/>
      <c r="V418" s="33"/>
      <c r="W418" s="33"/>
      <c r="X418" s="34"/>
      <c r="Y418" s="33"/>
      <c r="Z418" s="34"/>
      <c r="AA418" s="33"/>
    </row>
    <row r="419" ht="15.75" customHeight="1">
      <c r="H419" s="33"/>
      <c r="I419" s="33"/>
      <c r="M419" s="33"/>
      <c r="N419" s="33"/>
      <c r="O419" s="33"/>
      <c r="P419" s="33"/>
      <c r="Q419" s="33"/>
      <c r="R419" s="33"/>
      <c r="S419" s="33"/>
      <c r="T419" s="33"/>
      <c r="U419" s="33"/>
      <c r="V419" s="33"/>
      <c r="W419" s="33"/>
      <c r="X419" s="34"/>
      <c r="Y419" s="33"/>
      <c r="Z419" s="34"/>
      <c r="AA419" s="33"/>
    </row>
    <row r="420" ht="15.75" customHeight="1">
      <c r="H420" s="33"/>
      <c r="I420" s="33"/>
      <c r="M420" s="33"/>
      <c r="N420" s="33"/>
      <c r="O420" s="33"/>
      <c r="P420" s="33"/>
      <c r="Q420" s="33"/>
      <c r="R420" s="33"/>
      <c r="S420" s="33"/>
      <c r="T420" s="33"/>
      <c r="U420" s="33"/>
      <c r="V420" s="33"/>
      <c r="W420" s="33"/>
      <c r="X420" s="34"/>
      <c r="Y420" s="33"/>
      <c r="Z420" s="34"/>
      <c r="AA420" s="33"/>
    </row>
    <row r="421" ht="15.75" customHeight="1">
      <c r="H421" s="33"/>
      <c r="I421" s="33"/>
      <c r="M421" s="33"/>
      <c r="N421" s="33"/>
      <c r="O421" s="33"/>
      <c r="P421" s="33"/>
      <c r="Q421" s="33"/>
      <c r="R421" s="33"/>
      <c r="S421" s="33"/>
      <c r="T421" s="33"/>
      <c r="U421" s="33"/>
      <c r="V421" s="33"/>
      <c r="W421" s="33"/>
      <c r="X421" s="34"/>
      <c r="Y421" s="33"/>
      <c r="Z421" s="34"/>
      <c r="AA421" s="33"/>
    </row>
    <row r="422" ht="15.75" customHeight="1">
      <c r="H422" s="33"/>
      <c r="I422" s="33"/>
      <c r="M422" s="33"/>
      <c r="N422" s="33"/>
      <c r="O422" s="33"/>
      <c r="P422" s="33"/>
      <c r="Q422" s="33"/>
      <c r="R422" s="33"/>
      <c r="S422" s="33"/>
      <c r="T422" s="33"/>
      <c r="U422" s="33"/>
      <c r="V422" s="33"/>
      <c r="W422" s="33"/>
      <c r="X422" s="34"/>
      <c r="Y422" s="33"/>
      <c r="Z422" s="34"/>
      <c r="AA422" s="33"/>
    </row>
    <row r="423" ht="15.75" customHeight="1">
      <c r="H423" s="33"/>
      <c r="I423" s="33"/>
      <c r="M423" s="33"/>
      <c r="N423" s="33"/>
      <c r="O423" s="33"/>
      <c r="P423" s="33"/>
      <c r="Q423" s="33"/>
      <c r="R423" s="33"/>
      <c r="S423" s="33"/>
      <c r="T423" s="33"/>
      <c r="U423" s="33"/>
      <c r="V423" s="33"/>
      <c r="W423" s="33"/>
      <c r="X423" s="34"/>
      <c r="Y423" s="33"/>
      <c r="Z423" s="34"/>
      <c r="AA423" s="33"/>
    </row>
    <row r="424" ht="15.75" customHeight="1">
      <c r="H424" s="33"/>
      <c r="I424" s="33"/>
      <c r="M424" s="33"/>
      <c r="N424" s="33"/>
      <c r="O424" s="33"/>
      <c r="P424" s="33"/>
      <c r="Q424" s="33"/>
      <c r="R424" s="33"/>
      <c r="S424" s="33"/>
      <c r="T424" s="33"/>
      <c r="U424" s="33"/>
      <c r="V424" s="33"/>
      <c r="W424" s="33"/>
      <c r="X424" s="34"/>
      <c r="Y424" s="33"/>
      <c r="Z424" s="34"/>
      <c r="AA424" s="33"/>
    </row>
    <row r="425" ht="15.75" customHeight="1">
      <c r="H425" s="33"/>
      <c r="I425" s="33"/>
      <c r="M425" s="33"/>
      <c r="N425" s="33"/>
      <c r="O425" s="33"/>
      <c r="P425" s="33"/>
      <c r="Q425" s="33"/>
      <c r="R425" s="33"/>
      <c r="S425" s="33"/>
      <c r="T425" s="33"/>
      <c r="U425" s="33"/>
      <c r="V425" s="33"/>
      <c r="W425" s="33"/>
      <c r="X425" s="34"/>
      <c r="Y425" s="33"/>
      <c r="Z425" s="34"/>
      <c r="AA425" s="33"/>
    </row>
    <row r="426" ht="15.75" customHeight="1">
      <c r="H426" s="33"/>
      <c r="I426" s="33"/>
      <c r="M426" s="33"/>
      <c r="N426" s="33"/>
      <c r="O426" s="33"/>
      <c r="P426" s="33"/>
      <c r="Q426" s="33"/>
      <c r="R426" s="33"/>
      <c r="S426" s="33"/>
      <c r="T426" s="33"/>
      <c r="U426" s="33"/>
      <c r="V426" s="33"/>
      <c r="W426" s="33"/>
      <c r="X426" s="34"/>
      <c r="Y426" s="33"/>
      <c r="Z426" s="34"/>
      <c r="AA426" s="33"/>
    </row>
    <row r="427" ht="15.75" customHeight="1">
      <c r="H427" s="33"/>
      <c r="I427" s="33"/>
      <c r="M427" s="33"/>
      <c r="N427" s="33"/>
      <c r="O427" s="33"/>
      <c r="P427" s="33"/>
      <c r="Q427" s="33"/>
      <c r="R427" s="33"/>
      <c r="S427" s="33"/>
      <c r="T427" s="33"/>
      <c r="U427" s="33"/>
      <c r="V427" s="33"/>
      <c r="W427" s="33"/>
      <c r="X427" s="34"/>
      <c r="Y427" s="33"/>
      <c r="Z427" s="34"/>
      <c r="AA427" s="33"/>
    </row>
    <row r="428" ht="15.75" customHeight="1">
      <c r="H428" s="33"/>
      <c r="I428" s="33"/>
      <c r="M428" s="33"/>
      <c r="N428" s="33"/>
      <c r="O428" s="33"/>
      <c r="P428" s="33"/>
      <c r="Q428" s="33"/>
      <c r="R428" s="33"/>
      <c r="S428" s="33"/>
      <c r="T428" s="33"/>
      <c r="U428" s="33"/>
      <c r="V428" s="33"/>
      <c r="W428" s="33"/>
      <c r="X428" s="34"/>
      <c r="Y428" s="33"/>
      <c r="Z428" s="34"/>
      <c r="AA428" s="33"/>
    </row>
    <row r="429" ht="15.75" customHeight="1">
      <c r="H429" s="33"/>
      <c r="I429" s="33"/>
      <c r="M429" s="33"/>
      <c r="N429" s="33"/>
      <c r="O429" s="33"/>
      <c r="P429" s="33"/>
      <c r="Q429" s="33"/>
      <c r="R429" s="33"/>
      <c r="S429" s="33"/>
      <c r="T429" s="33"/>
      <c r="U429" s="33"/>
      <c r="V429" s="33"/>
      <c r="W429" s="33"/>
      <c r="X429" s="34"/>
      <c r="Y429" s="33"/>
      <c r="Z429" s="34"/>
      <c r="AA429" s="33"/>
    </row>
    <row r="430" ht="15.75" customHeight="1">
      <c r="H430" s="33"/>
      <c r="I430" s="33"/>
      <c r="M430" s="33"/>
      <c r="N430" s="33"/>
      <c r="O430" s="33"/>
      <c r="P430" s="33"/>
      <c r="Q430" s="33"/>
      <c r="R430" s="33"/>
      <c r="S430" s="33"/>
      <c r="T430" s="33"/>
      <c r="U430" s="33"/>
      <c r="V430" s="33"/>
      <c r="W430" s="33"/>
      <c r="X430" s="34"/>
      <c r="Y430" s="33"/>
      <c r="Z430" s="34"/>
      <c r="AA430" s="33"/>
    </row>
    <row r="431" ht="15.75" customHeight="1">
      <c r="H431" s="33"/>
      <c r="I431" s="33"/>
      <c r="M431" s="33"/>
      <c r="N431" s="33"/>
      <c r="O431" s="33"/>
      <c r="P431" s="33"/>
      <c r="Q431" s="33"/>
      <c r="R431" s="33"/>
      <c r="S431" s="33"/>
      <c r="T431" s="33"/>
      <c r="U431" s="33"/>
      <c r="V431" s="33"/>
      <c r="W431" s="33"/>
      <c r="X431" s="34"/>
      <c r="Y431" s="33"/>
      <c r="Z431" s="34"/>
      <c r="AA431" s="33"/>
    </row>
    <row r="432" ht="15.75" customHeight="1">
      <c r="H432" s="33"/>
      <c r="I432" s="33"/>
      <c r="M432" s="33"/>
      <c r="N432" s="33"/>
      <c r="O432" s="33"/>
      <c r="P432" s="33"/>
      <c r="Q432" s="33"/>
      <c r="R432" s="33"/>
      <c r="S432" s="33"/>
      <c r="T432" s="33"/>
      <c r="U432" s="33"/>
      <c r="V432" s="33"/>
      <c r="W432" s="33"/>
      <c r="X432" s="34"/>
      <c r="Y432" s="33"/>
      <c r="Z432" s="34"/>
      <c r="AA432" s="33"/>
    </row>
    <row r="433" ht="15.75" customHeight="1">
      <c r="H433" s="33"/>
      <c r="I433" s="33"/>
      <c r="M433" s="33"/>
      <c r="N433" s="33"/>
      <c r="O433" s="33"/>
      <c r="P433" s="33"/>
      <c r="Q433" s="33"/>
      <c r="R433" s="33"/>
      <c r="S433" s="33"/>
      <c r="T433" s="33"/>
      <c r="U433" s="33"/>
      <c r="V433" s="33"/>
      <c r="W433" s="33"/>
      <c r="X433" s="34"/>
      <c r="Y433" s="33"/>
      <c r="Z433" s="34"/>
      <c r="AA433" s="33"/>
    </row>
    <row r="434" ht="15.75" customHeight="1">
      <c r="H434" s="33"/>
      <c r="I434" s="33"/>
      <c r="M434" s="33"/>
      <c r="N434" s="33"/>
      <c r="O434" s="33"/>
      <c r="P434" s="33"/>
      <c r="Q434" s="33"/>
      <c r="R434" s="33"/>
      <c r="S434" s="33"/>
      <c r="T434" s="33"/>
      <c r="U434" s="33"/>
      <c r="V434" s="33"/>
      <c r="W434" s="33"/>
      <c r="X434" s="34"/>
      <c r="Y434" s="33"/>
      <c r="Z434" s="34"/>
      <c r="AA434" s="33"/>
    </row>
    <row r="435" ht="15.75" customHeight="1">
      <c r="H435" s="33"/>
      <c r="I435" s="33"/>
      <c r="M435" s="33"/>
      <c r="N435" s="33"/>
      <c r="O435" s="33"/>
      <c r="P435" s="33"/>
      <c r="Q435" s="33"/>
      <c r="R435" s="33"/>
      <c r="S435" s="33"/>
      <c r="T435" s="33"/>
      <c r="U435" s="33"/>
      <c r="V435" s="33"/>
      <c r="W435" s="33"/>
      <c r="X435" s="34"/>
      <c r="Y435" s="33"/>
      <c r="Z435" s="34"/>
      <c r="AA435" s="33"/>
    </row>
    <row r="436" ht="15.75" customHeight="1">
      <c r="H436" s="33"/>
      <c r="I436" s="33"/>
      <c r="M436" s="33"/>
      <c r="N436" s="33"/>
      <c r="O436" s="33"/>
      <c r="P436" s="33"/>
      <c r="Q436" s="33"/>
      <c r="R436" s="33"/>
      <c r="S436" s="33"/>
      <c r="T436" s="33"/>
      <c r="U436" s="33"/>
      <c r="V436" s="33"/>
      <c r="W436" s="33"/>
      <c r="X436" s="34"/>
      <c r="Y436" s="33"/>
      <c r="Z436" s="34"/>
      <c r="AA436" s="33"/>
    </row>
    <row r="437" ht="15.75" customHeight="1">
      <c r="H437" s="33"/>
      <c r="I437" s="33"/>
      <c r="M437" s="33"/>
      <c r="N437" s="33"/>
      <c r="O437" s="33"/>
      <c r="P437" s="33"/>
      <c r="Q437" s="33"/>
      <c r="R437" s="33"/>
      <c r="S437" s="33"/>
      <c r="T437" s="33"/>
      <c r="U437" s="33"/>
      <c r="V437" s="33"/>
      <c r="W437" s="33"/>
      <c r="X437" s="34"/>
      <c r="Y437" s="33"/>
      <c r="Z437" s="34"/>
      <c r="AA437" s="33"/>
    </row>
    <row r="438" ht="15.75" customHeight="1">
      <c r="H438" s="33"/>
      <c r="I438" s="33"/>
      <c r="M438" s="33"/>
      <c r="N438" s="33"/>
      <c r="O438" s="33"/>
      <c r="P438" s="33"/>
      <c r="Q438" s="33"/>
      <c r="R438" s="33"/>
      <c r="S438" s="33"/>
      <c r="T438" s="33"/>
      <c r="U438" s="33"/>
      <c r="V438" s="33"/>
      <c r="W438" s="33"/>
      <c r="X438" s="34"/>
      <c r="Y438" s="33"/>
      <c r="Z438" s="34"/>
      <c r="AA438" s="33"/>
    </row>
    <row r="439" ht="15.75" customHeight="1">
      <c r="H439" s="33"/>
      <c r="I439" s="33"/>
      <c r="M439" s="33"/>
      <c r="N439" s="33"/>
      <c r="O439" s="33"/>
      <c r="P439" s="33"/>
      <c r="Q439" s="33"/>
      <c r="R439" s="33"/>
      <c r="S439" s="33"/>
      <c r="T439" s="33"/>
      <c r="U439" s="33"/>
      <c r="V439" s="33"/>
      <c r="W439" s="33"/>
      <c r="X439" s="34"/>
      <c r="Y439" s="33"/>
      <c r="Z439" s="34"/>
      <c r="AA439" s="33"/>
    </row>
    <row r="440" ht="15.75" customHeight="1">
      <c r="H440" s="33"/>
      <c r="I440" s="33"/>
      <c r="M440" s="33"/>
      <c r="N440" s="33"/>
      <c r="O440" s="33"/>
      <c r="P440" s="33"/>
      <c r="Q440" s="33"/>
      <c r="R440" s="33"/>
      <c r="S440" s="33"/>
      <c r="T440" s="33"/>
      <c r="U440" s="33"/>
      <c r="V440" s="33"/>
      <c r="W440" s="33"/>
      <c r="X440" s="34"/>
      <c r="Y440" s="33"/>
      <c r="Z440" s="34"/>
      <c r="AA440" s="33"/>
    </row>
    <row r="441" ht="15.75" customHeight="1">
      <c r="H441" s="33"/>
      <c r="I441" s="33"/>
      <c r="M441" s="33"/>
      <c r="N441" s="33"/>
      <c r="O441" s="33"/>
      <c r="P441" s="33"/>
      <c r="Q441" s="33"/>
      <c r="R441" s="33"/>
      <c r="S441" s="33"/>
      <c r="T441" s="33"/>
      <c r="U441" s="33"/>
      <c r="V441" s="33"/>
      <c r="W441" s="33"/>
      <c r="X441" s="34"/>
      <c r="Y441" s="33"/>
      <c r="Z441" s="34"/>
      <c r="AA441" s="33"/>
    </row>
    <row r="442" ht="15.75" customHeight="1">
      <c r="H442" s="33"/>
      <c r="I442" s="33"/>
      <c r="M442" s="33"/>
      <c r="N442" s="33"/>
      <c r="O442" s="33"/>
      <c r="P442" s="33"/>
      <c r="Q442" s="33"/>
      <c r="R442" s="33"/>
      <c r="S442" s="33"/>
      <c r="T442" s="33"/>
      <c r="U442" s="33"/>
      <c r="V442" s="33"/>
      <c r="W442" s="33"/>
      <c r="X442" s="34"/>
      <c r="Y442" s="33"/>
      <c r="Z442" s="34"/>
      <c r="AA442" s="33"/>
    </row>
    <row r="443" ht="15.75" customHeight="1">
      <c r="H443" s="33"/>
      <c r="I443" s="33"/>
      <c r="M443" s="33"/>
      <c r="N443" s="33"/>
      <c r="O443" s="33"/>
      <c r="P443" s="33"/>
      <c r="Q443" s="33"/>
      <c r="R443" s="33"/>
      <c r="S443" s="33"/>
      <c r="T443" s="33"/>
      <c r="U443" s="33"/>
      <c r="V443" s="33"/>
      <c r="W443" s="33"/>
      <c r="X443" s="34"/>
      <c r="Y443" s="33"/>
      <c r="Z443" s="34"/>
      <c r="AA443" s="33"/>
    </row>
    <row r="444" ht="15.75" customHeight="1">
      <c r="H444" s="33"/>
      <c r="I444" s="33"/>
      <c r="M444" s="33"/>
      <c r="N444" s="33"/>
      <c r="O444" s="33"/>
      <c r="P444" s="33"/>
      <c r="Q444" s="33"/>
      <c r="R444" s="33"/>
      <c r="S444" s="33"/>
      <c r="T444" s="33"/>
      <c r="U444" s="33"/>
      <c r="V444" s="33"/>
      <c r="W444" s="33"/>
      <c r="X444" s="34"/>
      <c r="Y444" s="33"/>
      <c r="Z444" s="34"/>
      <c r="AA444" s="33"/>
    </row>
    <row r="445" ht="15.75" customHeight="1">
      <c r="H445" s="33"/>
      <c r="I445" s="33"/>
      <c r="M445" s="33"/>
      <c r="N445" s="33"/>
      <c r="O445" s="33"/>
      <c r="P445" s="33"/>
      <c r="Q445" s="33"/>
      <c r="R445" s="33"/>
      <c r="S445" s="33"/>
      <c r="T445" s="33"/>
      <c r="U445" s="33"/>
      <c r="V445" s="33"/>
      <c r="W445" s="33"/>
      <c r="X445" s="34"/>
      <c r="Y445" s="33"/>
      <c r="Z445" s="34"/>
      <c r="AA445" s="33"/>
    </row>
    <row r="446" ht="15.75" customHeight="1">
      <c r="H446" s="33"/>
      <c r="I446" s="33"/>
      <c r="M446" s="33"/>
      <c r="N446" s="33"/>
      <c r="O446" s="33"/>
      <c r="P446" s="33"/>
      <c r="Q446" s="33"/>
      <c r="R446" s="33"/>
      <c r="S446" s="33"/>
      <c r="T446" s="33"/>
      <c r="U446" s="33"/>
      <c r="V446" s="33"/>
      <c r="W446" s="33"/>
      <c r="X446" s="34"/>
      <c r="Y446" s="33"/>
      <c r="Z446" s="34"/>
      <c r="AA446" s="33"/>
    </row>
    <row r="447" ht="15.75" customHeight="1">
      <c r="H447" s="33"/>
      <c r="I447" s="33"/>
      <c r="M447" s="33"/>
      <c r="N447" s="33"/>
      <c r="O447" s="33"/>
      <c r="P447" s="33"/>
      <c r="Q447" s="33"/>
      <c r="R447" s="33"/>
      <c r="S447" s="33"/>
      <c r="T447" s="33"/>
      <c r="U447" s="33"/>
      <c r="V447" s="33"/>
      <c r="W447" s="33"/>
      <c r="X447" s="34"/>
      <c r="Y447" s="33"/>
      <c r="Z447" s="34"/>
      <c r="AA447" s="33"/>
    </row>
    <row r="448" ht="15.75" customHeight="1">
      <c r="H448" s="33"/>
      <c r="I448" s="33"/>
      <c r="M448" s="33"/>
      <c r="N448" s="33"/>
      <c r="O448" s="33"/>
      <c r="P448" s="33"/>
      <c r="Q448" s="33"/>
      <c r="R448" s="33"/>
      <c r="S448" s="33"/>
      <c r="T448" s="33"/>
      <c r="U448" s="33"/>
      <c r="V448" s="33"/>
      <c r="W448" s="33"/>
      <c r="X448" s="34"/>
      <c r="Y448" s="33"/>
      <c r="Z448" s="34"/>
      <c r="AA448" s="33"/>
    </row>
    <row r="449" ht="15.75" customHeight="1">
      <c r="H449" s="33"/>
      <c r="I449" s="33"/>
      <c r="M449" s="33"/>
      <c r="N449" s="33"/>
      <c r="O449" s="33"/>
      <c r="P449" s="33"/>
      <c r="Q449" s="33"/>
      <c r="R449" s="33"/>
      <c r="S449" s="33"/>
      <c r="T449" s="33"/>
      <c r="U449" s="33"/>
      <c r="V449" s="33"/>
      <c r="W449" s="33"/>
      <c r="X449" s="34"/>
      <c r="Y449" s="33"/>
      <c r="Z449" s="34"/>
      <c r="AA449" s="33"/>
    </row>
    <row r="450" ht="15.75" customHeight="1">
      <c r="H450" s="33"/>
      <c r="I450" s="33"/>
      <c r="M450" s="33"/>
      <c r="N450" s="33"/>
      <c r="O450" s="33"/>
      <c r="P450" s="33"/>
      <c r="Q450" s="33"/>
      <c r="R450" s="33"/>
      <c r="S450" s="33"/>
      <c r="T450" s="33"/>
      <c r="U450" s="33"/>
      <c r="V450" s="33"/>
      <c r="W450" s="33"/>
      <c r="X450" s="34"/>
      <c r="Y450" s="33"/>
      <c r="Z450" s="34"/>
      <c r="AA450" s="33"/>
    </row>
    <row r="451" ht="15.75" customHeight="1">
      <c r="H451" s="33"/>
      <c r="I451" s="33"/>
      <c r="M451" s="33"/>
      <c r="N451" s="33"/>
      <c r="O451" s="33"/>
      <c r="P451" s="33"/>
      <c r="Q451" s="33"/>
      <c r="R451" s="33"/>
      <c r="S451" s="33"/>
      <c r="T451" s="33"/>
      <c r="U451" s="33"/>
      <c r="V451" s="33"/>
      <c r="W451" s="33"/>
      <c r="X451" s="34"/>
      <c r="Y451" s="33"/>
      <c r="Z451" s="34"/>
      <c r="AA451" s="33"/>
    </row>
    <row r="452" ht="15.75" customHeight="1">
      <c r="H452" s="33"/>
      <c r="I452" s="33"/>
      <c r="M452" s="33"/>
      <c r="N452" s="33"/>
      <c r="O452" s="33"/>
      <c r="P452" s="33"/>
      <c r="Q452" s="33"/>
      <c r="R452" s="33"/>
      <c r="S452" s="33"/>
      <c r="T452" s="33"/>
      <c r="U452" s="33"/>
      <c r="V452" s="33"/>
      <c r="W452" s="33"/>
      <c r="X452" s="34"/>
      <c r="Y452" s="33"/>
      <c r="Z452" s="34"/>
      <c r="AA452" s="33"/>
    </row>
    <row r="453" ht="15.75" customHeight="1">
      <c r="H453" s="33"/>
      <c r="I453" s="33"/>
      <c r="M453" s="33"/>
      <c r="N453" s="33"/>
      <c r="O453" s="33"/>
      <c r="P453" s="33"/>
      <c r="Q453" s="33"/>
      <c r="R453" s="33"/>
      <c r="S453" s="33"/>
      <c r="T453" s="33"/>
      <c r="U453" s="33"/>
      <c r="V453" s="33"/>
      <c r="W453" s="33"/>
      <c r="X453" s="34"/>
      <c r="Y453" s="33"/>
      <c r="Z453" s="34"/>
      <c r="AA453" s="33"/>
    </row>
    <row r="454" ht="15.75" customHeight="1">
      <c r="H454" s="33"/>
      <c r="I454" s="33"/>
      <c r="M454" s="33"/>
      <c r="N454" s="33"/>
      <c r="O454" s="33"/>
      <c r="P454" s="33"/>
      <c r="Q454" s="33"/>
      <c r="R454" s="33"/>
      <c r="S454" s="33"/>
      <c r="T454" s="33"/>
      <c r="U454" s="33"/>
      <c r="V454" s="33"/>
      <c r="W454" s="33"/>
      <c r="X454" s="34"/>
      <c r="Y454" s="33"/>
      <c r="Z454" s="34"/>
      <c r="AA454" s="33"/>
    </row>
    <row r="455" ht="15.75" customHeight="1">
      <c r="H455" s="33"/>
      <c r="I455" s="33"/>
      <c r="M455" s="33"/>
      <c r="N455" s="33"/>
      <c r="O455" s="33"/>
      <c r="P455" s="33"/>
      <c r="Q455" s="33"/>
      <c r="R455" s="33"/>
      <c r="S455" s="33"/>
      <c r="T455" s="33"/>
      <c r="U455" s="33"/>
      <c r="V455" s="33"/>
      <c r="W455" s="33"/>
      <c r="X455" s="34"/>
      <c r="Y455" s="33"/>
      <c r="Z455" s="34"/>
      <c r="AA455" s="33"/>
    </row>
    <row r="456" ht="15.75" customHeight="1">
      <c r="H456" s="33"/>
      <c r="I456" s="33"/>
      <c r="M456" s="33"/>
      <c r="N456" s="33"/>
      <c r="O456" s="33"/>
      <c r="P456" s="33"/>
      <c r="Q456" s="33"/>
      <c r="R456" s="33"/>
      <c r="S456" s="33"/>
      <c r="T456" s="33"/>
      <c r="U456" s="33"/>
      <c r="V456" s="33"/>
      <c r="W456" s="33"/>
      <c r="X456" s="34"/>
      <c r="Y456" s="33"/>
      <c r="Z456" s="34"/>
      <c r="AA456" s="33"/>
    </row>
    <row r="457" ht="15.75" customHeight="1">
      <c r="H457" s="33"/>
      <c r="I457" s="33"/>
      <c r="M457" s="33"/>
      <c r="N457" s="33"/>
      <c r="O457" s="33"/>
      <c r="P457" s="33"/>
      <c r="Q457" s="33"/>
      <c r="R457" s="33"/>
      <c r="S457" s="33"/>
      <c r="T457" s="33"/>
      <c r="U457" s="33"/>
      <c r="V457" s="33"/>
      <c r="W457" s="33"/>
      <c r="X457" s="34"/>
      <c r="Y457" s="33"/>
      <c r="Z457" s="34"/>
      <c r="AA457" s="33"/>
    </row>
    <row r="458" ht="15.75" customHeight="1">
      <c r="H458" s="33"/>
      <c r="I458" s="33"/>
      <c r="M458" s="33"/>
      <c r="N458" s="33"/>
      <c r="O458" s="33"/>
      <c r="P458" s="33"/>
      <c r="Q458" s="33"/>
      <c r="R458" s="33"/>
      <c r="S458" s="33"/>
      <c r="T458" s="33"/>
      <c r="U458" s="33"/>
      <c r="V458" s="33"/>
      <c r="W458" s="33"/>
      <c r="X458" s="34"/>
      <c r="Y458" s="33"/>
      <c r="Z458" s="34"/>
      <c r="AA458" s="33"/>
    </row>
    <row r="459" ht="15.75" customHeight="1">
      <c r="H459" s="33"/>
      <c r="I459" s="33"/>
      <c r="M459" s="33"/>
      <c r="N459" s="33"/>
      <c r="O459" s="33"/>
      <c r="P459" s="33"/>
      <c r="Q459" s="33"/>
      <c r="R459" s="33"/>
      <c r="S459" s="33"/>
      <c r="T459" s="33"/>
      <c r="U459" s="33"/>
      <c r="V459" s="33"/>
      <c r="W459" s="33"/>
      <c r="X459" s="34"/>
      <c r="Y459" s="33"/>
      <c r="Z459" s="34"/>
      <c r="AA459" s="33"/>
    </row>
    <row r="460" ht="15.75" customHeight="1">
      <c r="H460" s="33"/>
      <c r="I460" s="33"/>
      <c r="M460" s="33"/>
      <c r="N460" s="33"/>
      <c r="O460" s="33"/>
      <c r="P460" s="33"/>
      <c r="Q460" s="33"/>
      <c r="R460" s="33"/>
      <c r="S460" s="33"/>
      <c r="T460" s="33"/>
      <c r="U460" s="33"/>
      <c r="V460" s="33"/>
      <c r="W460" s="33"/>
      <c r="X460" s="34"/>
      <c r="Y460" s="33"/>
      <c r="Z460" s="34"/>
      <c r="AA460" s="33"/>
    </row>
    <row r="461" ht="15.75" customHeight="1">
      <c r="H461" s="33"/>
      <c r="I461" s="33"/>
      <c r="M461" s="33"/>
      <c r="N461" s="33"/>
      <c r="O461" s="33"/>
      <c r="P461" s="33"/>
      <c r="Q461" s="33"/>
      <c r="R461" s="33"/>
      <c r="S461" s="33"/>
      <c r="T461" s="33"/>
      <c r="U461" s="33"/>
      <c r="V461" s="33"/>
      <c r="W461" s="33"/>
      <c r="X461" s="34"/>
      <c r="Y461" s="33"/>
      <c r="Z461" s="34"/>
      <c r="AA461" s="33"/>
    </row>
    <row r="462" ht="15.75" customHeight="1">
      <c r="H462" s="33"/>
      <c r="I462" s="33"/>
      <c r="M462" s="33"/>
      <c r="N462" s="33"/>
      <c r="O462" s="33"/>
      <c r="P462" s="33"/>
      <c r="Q462" s="33"/>
      <c r="R462" s="33"/>
      <c r="S462" s="33"/>
      <c r="T462" s="33"/>
      <c r="U462" s="33"/>
      <c r="V462" s="33"/>
      <c r="W462" s="33"/>
      <c r="X462" s="34"/>
      <c r="Y462" s="33"/>
      <c r="Z462" s="34"/>
      <c r="AA462" s="33"/>
    </row>
    <row r="463" ht="15.75" customHeight="1">
      <c r="H463" s="33"/>
      <c r="I463" s="33"/>
      <c r="M463" s="33"/>
      <c r="N463" s="33"/>
      <c r="O463" s="33"/>
      <c r="P463" s="33"/>
      <c r="Q463" s="33"/>
      <c r="R463" s="33"/>
      <c r="S463" s="33"/>
      <c r="T463" s="33"/>
      <c r="U463" s="33"/>
      <c r="V463" s="33"/>
      <c r="W463" s="33"/>
      <c r="X463" s="34"/>
      <c r="Y463" s="33"/>
      <c r="Z463" s="34"/>
      <c r="AA463" s="33"/>
    </row>
    <row r="464" ht="15.75" customHeight="1">
      <c r="H464" s="33"/>
      <c r="I464" s="33"/>
      <c r="M464" s="33"/>
      <c r="N464" s="33"/>
      <c r="O464" s="33"/>
      <c r="P464" s="33"/>
      <c r="Q464" s="33"/>
      <c r="R464" s="33"/>
      <c r="S464" s="33"/>
      <c r="T464" s="33"/>
      <c r="U464" s="33"/>
      <c r="V464" s="33"/>
      <c r="W464" s="33"/>
      <c r="X464" s="34"/>
      <c r="Y464" s="33"/>
      <c r="Z464" s="34"/>
      <c r="AA464" s="33"/>
    </row>
    <row r="465" ht="15.75" customHeight="1">
      <c r="H465" s="33"/>
      <c r="I465" s="33"/>
      <c r="M465" s="33"/>
      <c r="N465" s="33"/>
      <c r="O465" s="33"/>
      <c r="P465" s="33"/>
      <c r="Q465" s="33"/>
      <c r="R465" s="33"/>
      <c r="S465" s="33"/>
      <c r="T465" s="33"/>
      <c r="U465" s="33"/>
      <c r="V465" s="33"/>
      <c r="W465" s="33"/>
      <c r="X465" s="34"/>
      <c r="Y465" s="33"/>
      <c r="Z465" s="34"/>
      <c r="AA465" s="33"/>
    </row>
    <row r="466" ht="15.75" customHeight="1">
      <c r="H466" s="33"/>
      <c r="I466" s="33"/>
      <c r="M466" s="33"/>
      <c r="N466" s="33"/>
      <c r="O466" s="33"/>
      <c r="P466" s="33"/>
      <c r="Q466" s="33"/>
      <c r="R466" s="33"/>
      <c r="S466" s="33"/>
      <c r="T466" s="33"/>
      <c r="U466" s="33"/>
      <c r="V466" s="33"/>
      <c r="W466" s="33"/>
      <c r="X466" s="34"/>
      <c r="Y466" s="33"/>
      <c r="Z466" s="34"/>
      <c r="AA466" s="33"/>
    </row>
    <row r="467" ht="15.75" customHeight="1">
      <c r="H467" s="33"/>
      <c r="I467" s="33"/>
      <c r="M467" s="33"/>
      <c r="N467" s="33"/>
      <c r="O467" s="33"/>
      <c r="P467" s="33"/>
      <c r="Q467" s="33"/>
      <c r="R467" s="33"/>
      <c r="S467" s="33"/>
      <c r="T467" s="33"/>
      <c r="U467" s="33"/>
      <c r="V467" s="33"/>
      <c r="W467" s="33"/>
      <c r="X467" s="34"/>
      <c r="Y467" s="33"/>
      <c r="Z467" s="34"/>
      <c r="AA467" s="33"/>
    </row>
    <row r="468" ht="15.75" customHeight="1">
      <c r="H468" s="33"/>
      <c r="I468" s="33"/>
      <c r="M468" s="33"/>
      <c r="N468" s="33"/>
      <c r="O468" s="33"/>
      <c r="P468" s="33"/>
      <c r="Q468" s="33"/>
      <c r="R468" s="33"/>
      <c r="S468" s="33"/>
      <c r="T468" s="33"/>
      <c r="U468" s="33"/>
      <c r="V468" s="33"/>
      <c r="W468" s="33"/>
      <c r="X468" s="34"/>
      <c r="Y468" s="33"/>
      <c r="Z468" s="34"/>
      <c r="AA468" s="33"/>
    </row>
    <row r="469" ht="15.75" customHeight="1">
      <c r="H469" s="33"/>
      <c r="I469" s="33"/>
      <c r="M469" s="33"/>
      <c r="N469" s="33"/>
      <c r="O469" s="33"/>
      <c r="P469" s="33"/>
      <c r="Q469" s="33"/>
      <c r="R469" s="33"/>
      <c r="S469" s="33"/>
      <c r="T469" s="33"/>
      <c r="U469" s="33"/>
      <c r="V469" s="33"/>
      <c r="W469" s="33"/>
      <c r="X469" s="34"/>
      <c r="Y469" s="33"/>
      <c r="Z469" s="34"/>
      <c r="AA469" s="33"/>
    </row>
    <row r="470" ht="15.75" customHeight="1">
      <c r="H470" s="33"/>
      <c r="I470" s="33"/>
      <c r="M470" s="33"/>
      <c r="N470" s="33"/>
      <c r="O470" s="33"/>
      <c r="P470" s="33"/>
      <c r="Q470" s="33"/>
      <c r="R470" s="33"/>
      <c r="S470" s="33"/>
      <c r="T470" s="33"/>
      <c r="U470" s="33"/>
      <c r="V470" s="33"/>
      <c r="W470" s="33"/>
      <c r="X470" s="34"/>
      <c r="Y470" s="33"/>
      <c r="Z470" s="34"/>
      <c r="AA470" s="33"/>
    </row>
    <row r="471" ht="15.75" customHeight="1">
      <c r="H471" s="33"/>
      <c r="I471" s="33"/>
      <c r="M471" s="33"/>
      <c r="N471" s="33"/>
      <c r="O471" s="33"/>
      <c r="P471" s="33"/>
      <c r="Q471" s="33"/>
      <c r="R471" s="33"/>
      <c r="S471" s="33"/>
      <c r="T471" s="33"/>
      <c r="U471" s="33"/>
      <c r="V471" s="33"/>
      <c r="W471" s="33"/>
      <c r="X471" s="34"/>
      <c r="Y471" s="33"/>
      <c r="Z471" s="34"/>
      <c r="AA471" s="33"/>
    </row>
    <row r="472" ht="15.75" customHeight="1">
      <c r="H472" s="33"/>
      <c r="I472" s="33"/>
      <c r="M472" s="33"/>
      <c r="N472" s="33"/>
      <c r="O472" s="33"/>
      <c r="P472" s="33"/>
      <c r="Q472" s="33"/>
      <c r="R472" s="33"/>
      <c r="S472" s="33"/>
      <c r="T472" s="33"/>
      <c r="U472" s="33"/>
      <c r="V472" s="33"/>
      <c r="W472" s="33"/>
      <c r="X472" s="34"/>
      <c r="Y472" s="33"/>
      <c r="Z472" s="34"/>
      <c r="AA472" s="33"/>
    </row>
    <row r="473" ht="15.75" customHeight="1">
      <c r="H473" s="33"/>
      <c r="I473" s="33"/>
      <c r="M473" s="33"/>
      <c r="N473" s="33"/>
      <c r="O473" s="33"/>
      <c r="P473" s="33"/>
      <c r="Q473" s="33"/>
      <c r="R473" s="33"/>
      <c r="S473" s="33"/>
      <c r="T473" s="33"/>
      <c r="U473" s="33"/>
      <c r="V473" s="33"/>
      <c r="W473" s="33"/>
      <c r="X473" s="34"/>
      <c r="Y473" s="33"/>
      <c r="Z473" s="34"/>
      <c r="AA473" s="33"/>
    </row>
    <row r="474" ht="15.75" customHeight="1">
      <c r="H474" s="33"/>
      <c r="I474" s="33"/>
      <c r="M474" s="33"/>
      <c r="N474" s="33"/>
      <c r="O474" s="33"/>
      <c r="P474" s="33"/>
      <c r="Q474" s="33"/>
      <c r="R474" s="33"/>
      <c r="S474" s="33"/>
      <c r="T474" s="33"/>
      <c r="U474" s="33"/>
      <c r="V474" s="33"/>
      <c r="W474" s="33"/>
      <c r="X474" s="34"/>
      <c r="Y474" s="33"/>
      <c r="Z474" s="34"/>
      <c r="AA474" s="33"/>
    </row>
    <row r="475" ht="15.75" customHeight="1">
      <c r="H475" s="33"/>
      <c r="I475" s="33"/>
      <c r="M475" s="33"/>
      <c r="N475" s="33"/>
      <c r="O475" s="33"/>
      <c r="P475" s="33"/>
      <c r="Q475" s="33"/>
      <c r="R475" s="33"/>
      <c r="S475" s="33"/>
      <c r="T475" s="33"/>
      <c r="U475" s="33"/>
      <c r="V475" s="33"/>
      <c r="W475" s="33"/>
      <c r="X475" s="34"/>
      <c r="Y475" s="33"/>
      <c r="Z475" s="34"/>
      <c r="AA475" s="33"/>
    </row>
    <row r="476" ht="15.75" customHeight="1">
      <c r="H476" s="33"/>
      <c r="I476" s="33"/>
      <c r="M476" s="33"/>
      <c r="N476" s="33"/>
      <c r="O476" s="33"/>
      <c r="P476" s="33"/>
      <c r="Q476" s="33"/>
      <c r="R476" s="33"/>
      <c r="S476" s="33"/>
      <c r="T476" s="33"/>
      <c r="U476" s="33"/>
      <c r="V476" s="33"/>
      <c r="W476" s="33"/>
      <c r="X476" s="34"/>
      <c r="Y476" s="33"/>
      <c r="Z476" s="34"/>
      <c r="AA476" s="33"/>
    </row>
    <row r="477" ht="15.75" customHeight="1">
      <c r="H477" s="33"/>
      <c r="I477" s="33"/>
      <c r="M477" s="33"/>
      <c r="N477" s="33"/>
      <c r="O477" s="33"/>
      <c r="P477" s="33"/>
      <c r="Q477" s="33"/>
      <c r="R477" s="33"/>
      <c r="S477" s="33"/>
      <c r="T477" s="33"/>
      <c r="U477" s="33"/>
      <c r="V477" s="33"/>
      <c r="W477" s="33"/>
      <c r="X477" s="34"/>
      <c r="Y477" s="33"/>
      <c r="Z477" s="34"/>
      <c r="AA477" s="33"/>
    </row>
    <row r="478" ht="15.75" customHeight="1">
      <c r="H478" s="33"/>
      <c r="I478" s="33"/>
      <c r="M478" s="33"/>
      <c r="N478" s="33"/>
      <c r="O478" s="33"/>
      <c r="P478" s="33"/>
      <c r="Q478" s="33"/>
      <c r="R478" s="33"/>
      <c r="S478" s="33"/>
      <c r="T478" s="33"/>
      <c r="U478" s="33"/>
      <c r="V478" s="33"/>
      <c r="W478" s="33"/>
      <c r="X478" s="34"/>
      <c r="Y478" s="33"/>
      <c r="Z478" s="34"/>
      <c r="AA478" s="33"/>
    </row>
    <row r="479" ht="15.75" customHeight="1">
      <c r="H479" s="33"/>
      <c r="I479" s="33"/>
      <c r="M479" s="33"/>
      <c r="N479" s="33"/>
      <c r="O479" s="33"/>
      <c r="P479" s="33"/>
      <c r="Q479" s="33"/>
      <c r="R479" s="33"/>
      <c r="S479" s="33"/>
      <c r="T479" s="33"/>
      <c r="U479" s="33"/>
      <c r="V479" s="33"/>
      <c r="W479" s="33"/>
      <c r="X479" s="34"/>
      <c r="Y479" s="33"/>
      <c r="Z479" s="34"/>
      <c r="AA479" s="33"/>
    </row>
    <row r="480" ht="15.75" customHeight="1">
      <c r="H480" s="33"/>
      <c r="I480" s="33"/>
      <c r="M480" s="33"/>
      <c r="N480" s="33"/>
      <c r="O480" s="33"/>
      <c r="P480" s="33"/>
      <c r="Q480" s="33"/>
      <c r="R480" s="33"/>
      <c r="S480" s="33"/>
      <c r="T480" s="33"/>
      <c r="U480" s="33"/>
      <c r="V480" s="33"/>
      <c r="W480" s="33"/>
      <c r="X480" s="34"/>
      <c r="Y480" s="33"/>
      <c r="Z480" s="34"/>
      <c r="AA480" s="33"/>
    </row>
    <row r="481" ht="15.75" customHeight="1">
      <c r="H481" s="33"/>
      <c r="I481" s="33"/>
      <c r="M481" s="33"/>
      <c r="N481" s="33"/>
      <c r="O481" s="33"/>
      <c r="P481" s="33"/>
      <c r="Q481" s="33"/>
      <c r="R481" s="33"/>
      <c r="S481" s="33"/>
      <c r="T481" s="33"/>
      <c r="U481" s="33"/>
      <c r="V481" s="33"/>
      <c r="W481" s="33"/>
      <c r="X481" s="34"/>
      <c r="Y481" s="33"/>
      <c r="Z481" s="34"/>
      <c r="AA481" s="33"/>
    </row>
    <row r="482" ht="15.75" customHeight="1">
      <c r="H482" s="33"/>
      <c r="I482" s="33"/>
      <c r="M482" s="33"/>
      <c r="N482" s="33"/>
      <c r="O482" s="33"/>
      <c r="P482" s="33"/>
      <c r="Q482" s="33"/>
      <c r="R482" s="33"/>
      <c r="S482" s="33"/>
      <c r="T482" s="33"/>
      <c r="U482" s="33"/>
      <c r="V482" s="33"/>
      <c r="W482" s="33"/>
      <c r="X482" s="34"/>
      <c r="Y482" s="33"/>
      <c r="Z482" s="34"/>
      <c r="AA482" s="33"/>
    </row>
    <row r="483" ht="15.75" customHeight="1">
      <c r="H483" s="33"/>
      <c r="I483" s="33"/>
      <c r="M483" s="33"/>
      <c r="N483" s="33"/>
      <c r="O483" s="33"/>
      <c r="P483" s="33"/>
      <c r="Q483" s="33"/>
      <c r="R483" s="33"/>
      <c r="S483" s="33"/>
      <c r="T483" s="33"/>
      <c r="U483" s="33"/>
      <c r="V483" s="33"/>
      <c r="W483" s="33"/>
      <c r="X483" s="34"/>
      <c r="Y483" s="33"/>
      <c r="Z483" s="34"/>
      <c r="AA483" s="33"/>
    </row>
    <row r="484" ht="15.75" customHeight="1">
      <c r="H484" s="33"/>
      <c r="I484" s="33"/>
      <c r="M484" s="33"/>
      <c r="N484" s="33"/>
      <c r="O484" s="33"/>
      <c r="P484" s="33"/>
      <c r="Q484" s="33"/>
      <c r="R484" s="33"/>
      <c r="S484" s="33"/>
      <c r="T484" s="33"/>
      <c r="U484" s="33"/>
      <c r="V484" s="33"/>
      <c r="W484" s="33"/>
      <c r="X484" s="34"/>
      <c r="Y484" s="33"/>
      <c r="Z484" s="34"/>
      <c r="AA484" s="33"/>
    </row>
    <row r="485" ht="15.75" customHeight="1">
      <c r="H485" s="33"/>
      <c r="I485" s="33"/>
      <c r="M485" s="33"/>
      <c r="N485" s="33"/>
      <c r="O485" s="33"/>
      <c r="P485" s="33"/>
      <c r="Q485" s="33"/>
      <c r="R485" s="33"/>
      <c r="S485" s="33"/>
      <c r="T485" s="33"/>
      <c r="U485" s="33"/>
      <c r="V485" s="33"/>
      <c r="W485" s="33"/>
      <c r="X485" s="34"/>
      <c r="Y485" s="33"/>
      <c r="Z485" s="34"/>
      <c r="AA485" s="33"/>
    </row>
    <row r="486" ht="15.75" customHeight="1">
      <c r="H486" s="33"/>
      <c r="I486" s="33"/>
      <c r="M486" s="33"/>
      <c r="N486" s="33"/>
      <c r="O486" s="33"/>
      <c r="P486" s="33"/>
      <c r="Q486" s="33"/>
      <c r="R486" s="33"/>
      <c r="S486" s="33"/>
      <c r="T486" s="33"/>
      <c r="U486" s="33"/>
      <c r="V486" s="33"/>
      <c r="W486" s="33"/>
      <c r="X486" s="34"/>
      <c r="Y486" s="33"/>
      <c r="Z486" s="34"/>
      <c r="AA486" s="33"/>
    </row>
    <row r="487" ht="15.75" customHeight="1">
      <c r="H487" s="33"/>
      <c r="I487" s="33"/>
      <c r="M487" s="33"/>
      <c r="N487" s="33"/>
      <c r="O487" s="33"/>
      <c r="P487" s="33"/>
      <c r="Q487" s="33"/>
      <c r="R487" s="33"/>
      <c r="S487" s="33"/>
      <c r="T487" s="33"/>
      <c r="U487" s="33"/>
      <c r="V487" s="33"/>
      <c r="W487" s="33"/>
      <c r="X487" s="34"/>
      <c r="Y487" s="33"/>
      <c r="Z487" s="34"/>
      <c r="AA487" s="33"/>
    </row>
    <row r="488" ht="15.75" customHeight="1">
      <c r="H488" s="33"/>
      <c r="I488" s="33"/>
      <c r="M488" s="33"/>
      <c r="N488" s="33"/>
      <c r="O488" s="33"/>
      <c r="P488" s="33"/>
      <c r="Q488" s="33"/>
      <c r="R488" s="33"/>
      <c r="S488" s="33"/>
      <c r="T488" s="33"/>
      <c r="U488" s="33"/>
      <c r="V488" s="33"/>
      <c r="W488" s="33"/>
      <c r="X488" s="34"/>
      <c r="Y488" s="33"/>
      <c r="Z488" s="34"/>
      <c r="AA488" s="33"/>
    </row>
    <row r="489" ht="15.75" customHeight="1">
      <c r="H489" s="33"/>
      <c r="I489" s="33"/>
      <c r="M489" s="33"/>
      <c r="N489" s="33"/>
      <c r="O489" s="33"/>
      <c r="P489" s="33"/>
      <c r="Q489" s="33"/>
      <c r="R489" s="33"/>
      <c r="S489" s="33"/>
      <c r="T489" s="33"/>
      <c r="U489" s="33"/>
      <c r="V489" s="33"/>
      <c r="W489" s="33"/>
      <c r="X489" s="34"/>
      <c r="Y489" s="33"/>
      <c r="Z489" s="34"/>
      <c r="AA489" s="33"/>
    </row>
    <row r="490" ht="15.75" customHeight="1">
      <c r="H490" s="33"/>
      <c r="I490" s="33"/>
      <c r="M490" s="33"/>
      <c r="N490" s="33"/>
      <c r="O490" s="33"/>
      <c r="P490" s="33"/>
      <c r="Q490" s="33"/>
      <c r="R490" s="33"/>
      <c r="S490" s="33"/>
      <c r="T490" s="33"/>
      <c r="U490" s="33"/>
      <c r="V490" s="33"/>
      <c r="W490" s="33"/>
      <c r="X490" s="34"/>
      <c r="Y490" s="33"/>
      <c r="Z490" s="34"/>
      <c r="AA490" s="33"/>
    </row>
    <row r="491" ht="15.75" customHeight="1">
      <c r="H491" s="33"/>
      <c r="I491" s="33"/>
      <c r="M491" s="33"/>
      <c r="N491" s="33"/>
      <c r="O491" s="33"/>
      <c r="P491" s="33"/>
      <c r="Q491" s="33"/>
      <c r="R491" s="33"/>
      <c r="S491" s="33"/>
      <c r="T491" s="33"/>
      <c r="U491" s="33"/>
      <c r="V491" s="33"/>
      <c r="W491" s="33"/>
      <c r="X491" s="34"/>
      <c r="Y491" s="33"/>
      <c r="Z491" s="34"/>
      <c r="AA491" s="33"/>
    </row>
    <row r="492" ht="15.75" customHeight="1">
      <c r="H492" s="33"/>
      <c r="I492" s="33"/>
      <c r="M492" s="33"/>
      <c r="N492" s="33"/>
      <c r="O492" s="33"/>
      <c r="P492" s="33"/>
      <c r="Q492" s="33"/>
      <c r="R492" s="33"/>
      <c r="S492" s="33"/>
      <c r="T492" s="33"/>
      <c r="U492" s="33"/>
      <c r="V492" s="33"/>
      <c r="W492" s="33"/>
      <c r="X492" s="34"/>
      <c r="Y492" s="33"/>
      <c r="Z492" s="34"/>
      <c r="AA492" s="33"/>
    </row>
    <row r="493" ht="15.75" customHeight="1">
      <c r="H493" s="33"/>
      <c r="I493" s="33"/>
      <c r="M493" s="33"/>
      <c r="N493" s="33"/>
      <c r="O493" s="33"/>
      <c r="P493" s="33"/>
      <c r="Q493" s="33"/>
      <c r="R493" s="33"/>
      <c r="S493" s="33"/>
      <c r="T493" s="33"/>
      <c r="U493" s="33"/>
      <c r="V493" s="33"/>
      <c r="W493" s="33"/>
      <c r="X493" s="34"/>
      <c r="Y493" s="33"/>
      <c r="Z493" s="34"/>
      <c r="AA493" s="33"/>
    </row>
    <row r="494" ht="15.75" customHeight="1">
      <c r="H494" s="33"/>
      <c r="I494" s="33"/>
      <c r="M494" s="33"/>
      <c r="N494" s="33"/>
      <c r="O494" s="33"/>
      <c r="P494" s="33"/>
      <c r="Q494" s="33"/>
      <c r="R494" s="33"/>
      <c r="S494" s="33"/>
      <c r="T494" s="33"/>
      <c r="U494" s="33"/>
      <c r="V494" s="33"/>
      <c r="W494" s="33"/>
      <c r="X494" s="34"/>
      <c r="Y494" s="33"/>
      <c r="Z494" s="34"/>
      <c r="AA494" s="33"/>
    </row>
    <row r="495" ht="15.75" customHeight="1">
      <c r="H495" s="33"/>
      <c r="I495" s="33"/>
      <c r="M495" s="33"/>
      <c r="N495" s="33"/>
      <c r="O495" s="33"/>
      <c r="P495" s="33"/>
      <c r="Q495" s="33"/>
      <c r="R495" s="33"/>
      <c r="S495" s="33"/>
      <c r="T495" s="33"/>
      <c r="U495" s="33"/>
      <c r="V495" s="33"/>
      <c r="W495" s="33"/>
      <c r="X495" s="34"/>
      <c r="Y495" s="33"/>
      <c r="Z495" s="34"/>
      <c r="AA495" s="33"/>
    </row>
    <row r="496" ht="15.75" customHeight="1">
      <c r="H496" s="33"/>
      <c r="I496" s="33"/>
      <c r="M496" s="33"/>
      <c r="N496" s="33"/>
      <c r="O496" s="33"/>
      <c r="P496" s="33"/>
      <c r="Q496" s="33"/>
      <c r="R496" s="33"/>
      <c r="S496" s="33"/>
      <c r="T496" s="33"/>
      <c r="U496" s="33"/>
      <c r="V496" s="33"/>
      <c r="W496" s="33"/>
      <c r="X496" s="34"/>
      <c r="Y496" s="33"/>
      <c r="Z496" s="34"/>
      <c r="AA496" s="33"/>
    </row>
    <row r="497" ht="15.75" customHeight="1">
      <c r="H497" s="33"/>
      <c r="I497" s="33"/>
      <c r="M497" s="33"/>
      <c r="N497" s="33"/>
      <c r="O497" s="33"/>
      <c r="P497" s="33"/>
      <c r="Q497" s="33"/>
      <c r="R497" s="33"/>
      <c r="S497" s="33"/>
      <c r="T497" s="33"/>
      <c r="U497" s="33"/>
      <c r="V497" s="33"/>
      <c r="W497" s="33"/>
      <c r="X497" s="34"/>
      <c r="Y497" s="33"/>
      <c r="Z497" s="34"/>
      <c r="AA497" s="33"/>
    </row>
    <row r="498" ht="15.75" customHeight="1">
      <c r="H498" s="33"/>
      <c r="I498" s="33"/>
      <c r="M498" s="33"/>
      <c r="N498" s="33"/>
      <c r="O498" s="33"/>
      <c r="P498" s="33"/>
      <c r="Q498" s="33"/>
      <c r="R498" s="33"/>
      <c r="S498" s="33"/>
      <c r="T498" s="33"/>
      <c r="U498" s="33"/>
      <c r="V498" s="33"/>
      <c r="W498" s="33"/>
      <c r="X498" s="34"/>
      <c r="Y498" s="33"/>
      <c r="Z498" s="34"/>
      <c r="AA498" s="33"/>
    </row>
    <row r="499" ht="15.75" customHeight="1">
      <c r="H499" s="33"/>
      <c r="I499" s="33"/>
      <c r="M499" s="33"/>
      <c r="N499" s="33"/>
      <c r="O499" s="33"/>
      <c r="P499" s="33"/>
      <c r="Q499" s="33"/>
      <c r="R499" s="33"/>
      <c r="S499" s="33"/>
      <c r="T499" s="33"/>
      <c r="U499" s="33"/>
      <c r="V499" s="33"/>
      <c r="W499" s="33"/>
      <c r="X499" s="34"/>
      <c r="Y499" s="33"/>
      <c r="Z499" s="34"/>
      <c r="AA499" s="33"/>
    </row>
    <row r="500" ht="15.75" customHeight="1">
      <c r="H500" s="33"/>
      <c r="I500" s="33"/>
      <c r="M500" s="33"/>
      <c r="N500" s="33"/>
      <c r="O500" s="33"/>
      <c r="P500" s="33"/>
      <c r="Q500" s="33"/>
      <c r="R500" s="33"/>
      <c r="S500" s="33"/>
      <c r="T500" s="33"/>
      <c r="U500" s="33"/>
      <c r="V500" s="33"/>
      <c r="W500" s="33"/>
      <c r="X500" s="34"/>
      <c r="Y500" s="33"/>
      <c r="Z500" s="34"/>
      <c r="AA500" s="33"/>
    </row>
    <row r="501" ht="15.75" customHeight="1">
      <c r="H501" s="33"/>
      <c r="I501" s="33"/>
      <c r="M501" s="33"/>
      <c r="N501" s="33"/>
      <c r="O501" s="33"/>
      <c r="P501" s="33"/>
      <c r="Q501" s="33"/>
      <c r="R501" s="33"/>
      <c r="S501" s="33"/>
      <c r="T501" s="33"/>
      <c r="U501" s="33"/>
      <c r="V501" s="33"/>
      <c r="W501" s="33"/>
      <c r="X501" s="34"/>
      <c r="Y501" s="33"/>
      <c r="Z501" s="34"/>
      <c r="AA501" s="33"/>
    </row>
    <row r="502" ht="15.75" customHeight="1">
      <c r="H502" s="33"/>
      <c r="I502" s="33"/>
      <c r="M502" s="33"/>
      <c r="N502" s="33"/>
      <c r="O502" s="33"/>
      <c r="P502" s="33"/>
      <c r="Q502" s="33"/>
      <c r="R502" s="33"/>
      <c r="S502" s="33"/>
      <c r="T502" s="33"/>
      <c r="U502" s="33"/>
      <c r="V502" s="33"/>
      <c r="W502" s="33"/>
      <c r="X502" s="34"/>
      <c r="Y502" s="33"/>
      <c r="Z502" s="34"/>
      <c r="AA502" s="33"/>
    </row>
    <row r="503" ht="15.75" customHeight="1">
      <c r="H503" s="33"/>
      <c r="I503" s="33"/>
      <c r="M503" s="33"/>
      <c r="N503" s="33"/>
      <c r="O503" s="33"/>
      <c r="P503" s="33"/>
      <c r="Q503" s="33"/>
      <c r="R503" s="33"/>
      <c r="S503" s="33"/>
      <c r="T503" s="33"/>
      <c r="U503" s="33"/>
      <c r="V503" s="33"/>
      <c r="W503" s="33"/>
      <c r="X503" s="34"/>
      <c r="Y503" s="33"/>
      <c r="Z503" s="34"/>
      <c r="AA503" s="33"/>
    </row>
    <row r="504" ht="15.75" customHeight="1">
      <c r="H504" s="33"/>
      <c r="I504" s="33"/>
      <c r="M504" s="33"/>
      <c r="N504" s="33"/>
      <c r="O504" s="33"/>
      <c r="P504" s="33"/>
      <c r="Q504" s="33"/>
      <c r="R504" s="33"/>
      <c r="S504" s="33"/>
      <c r="T504" s="33"/>
      <c r="U504" s="33"/>
      <c r="V504" s="33"/>
      <c r="W504" s="33"/>
      <c r="X504" s="34"/>
      <c r="Y504" s="33"/>
      <c r="Z504" s="34"/>
      <c r="AA504" s="33"/>
    </row>
    <row r="505" ht="15.75" customHeight="1">
      <c r="H505" s="33"/>
      <c r="I505" s="33"/>
      <c r="M505" s="33"/>
      <c r="N505" s="33"/>
      <c r="O505" s="33"/>
      <c r="P505" s="33"/>
      <c r="Q505" s="33"/>
      <c r="R505" s="33"/>
      <c r="S505" s="33"/>
      <c r="T505" s="33"/>
      <c r="U505" s="33"/>
      <c r="V505" s="33"/>
      <c r="W505" s="33"/>
      <c r="X505" s="34"/>
      <c r="Y505" s="33"/>
      <c r="Z505" s="34"/>
      <c r="AA505" s="33"/>
    </row>
    <row r="506" ht="15.75" customHeight="1">
      <c r="H506" s="33"/>
      <c r="I506" s="33"/>
      <c r="M506" s="33"/>
      <c r="N506" s="33"/>
      <c r="O506" s="33"/>
      <c r="P506" s="33"/>
      <c r="Q506" s="33"/>
      <c r="R506" s="33"/>
      <c r="S506" s="33"/>
      <c r="T506" s="33"/>
      <c r="U506" s="33"/>
      <c r="V506" s="33"/>
      <c r="W506" s="33"/>
      <c r="X506" s="34"/>
      <c r="Y506" s="33"/>
      <c r="Z506" s="34"/>
      <c r="AA506" s="33"/>
    </row>
    <row r="507" ht="15.75" customHeight="1">
      <c r="H507" s="33"/>
      <c r="I507" s="33"/>
      <c r="M507" s="33"/>
      <c r="N507" s="33"/>
      <c r="O507" s="33"/>
      <c r="P507" s="33"/>
      <c r="Q507" s="33"/>
      <c r="R507" s="33"/>
      <c r="S507" s="33"/>
      <c r="T507" s="33"/>
      <c r="U507" s="33"/>
      <c r="V507" s="33"/>
      <c r="W507" s="33"/>
      <c r="X507" s="34"/>
      <c r="Y507" s="33"/>
      <c r="Z507" s="34"/>
      <c r="AA507" s="33"/>
    </row>
    <row r="508" ht="15.75" customHeight="1">
      <c r="H508" s="33"/>
      <c r="I508" s="33"/>
      <c r="M508" s="33"/>
      <c r="N508" s="33"/>
      <c r="O508" s="33"/>
      <c r="P508" s="33"/>
      <c r="Q508" s="33"/>
      <c r="R508" s="33"/>
      <c r="S508" s="33"/>
      <c r="T508" s="33"/>
      <c r="U508" s="33"/>
      <c r="V508" s="33"/>
      <c r="W508" s="33"/>
      <c r="X508" s="34"/>
      <c r="Y508" s="33"/>
      <c r="Z508" s="34"/>
      <c r="AA508" s="33"/>
    </row>
    <row r="509" ht="15.75" customHeight="1">
      <c r="H509" s="33"/>
      <c r="I509" s="33"/>
      <c r="M509" s="33"/>
      <c r="N509" s="33"/>
      <c r="O509" s="33"/>
      <c r="P509" s="33"/>
      <c r="Q509" s="33"/>
      <c r="R509" s="33"/>
      <c r="S509" s="33"/>
      <c r="T509" s="33"/>
      <c r="U509" s="33"/>
      <c r="V509" s="33"/>
      <c r="W509" s="33"/>
      <c r="X509" s="34"/>
      <c r="Y509" s="33"/>
      <c r="Z509" s="34"/>
      <c r="AA509" s="33"/>
    </row>
    <row r="510" ht="15.75" customHeight="1">
      <c r="H510" s="33"/>
      <c r="I510" s="33"/>
      <c r="M510" s="33"/>
      <c r="N510" s="33"/>
      <c r="O510" s="33"/>
      <c r="P510" s="33"/>
      <c r="Q510" s="33"/>
      <c r="R510" s="33"/>
      <c r="S510" s="33"/>
      <c r="T510" s="33"/>
      <c r="U510" s="33"/>
      <c r="V510" s="33"/>
      <c r="W510" s="33"/>
      <c r="X510" s="34"/>
      <c r="Y510" s="33"/>
      <c r="Z510" s="34"/>
      <c r="AA510" s="33"/>
    </row>
    <row r="511" ht="15.75" customHeight="1">
      <c r="H511" s="33"/>
      <c r="I511" s="33"/>
      <c r="M511" s="33"/>
      <c r="N511" s="33"/>
      <c r="O511" s="33"/>
      <c r="P511" s="33"/>
      <c r="Q511" s="33"/>
      <c r="R511" s="33"/>
      <c r="S511" s="33"/>
      <c r="T511" s="33"/>
      <c r="U511" s="33"/>
      <c r="V511" s="33"/>
      <c r="W511" s="33"/>
      <c r="X511" s="34"/>
      <c r="Y511" s="33"/>
      <c r="Z511" s="34"/>
      <c r="AA511" s="33"/>
    </row>
    <row r="512" ht="15.75" customHeight="1">
      <c r="H512" s="33"/>
      <c r="I512" s="33"/>
      <c r="M512" s="33"/>
      <c r="N512" s="33"/>
      <c r="O512" s="33"/>
      <c r="P512" s="33"/>
      <c r="Q512" s="33"/>
      <c r="R512" s="33"/>
      <c r="S512" s="33"/>
      <c r="T512" s="33"/>
      <c r="U512" s="33"/>
      <c r="V512" s="33"/>
      <c r="W512" s="33"/>
      <c r="X512" s="34"/>
      <c r="Y512" s="33"/>
      <c r="Z512" s="34"/>
      <c r="AA512" s="33"/>
    </row>
    <row r="513" ht="15.75" customHeight="1">
      <c r="H513" s="33"/>
      <c r="I513" s="33"/>
      <c r="M513" s="33"/>
      <c r="N513" s="33"/>
      <c r="O513" s="33"/>
      <c r="P513" s="33"/>
      <c r="Q513" s="33"/>
      <c r="R513" s="33"/>
      <c r="S513" s="33"/>
      <c r="T513" s="33"/>
      <c r="U513" s="33"/>
      <c r="V513" s="33"/>
      <c r="W513" s="33"/>
      <c r="X513" s="34"/>
      <c r="Y513" s="33"/>
      <c r="Z513" s="34"/>
      <c r="AA513" s="33"/>
    </row>
    <row r="514" ht="15.75" customHeight="1">
      <c r="H514" s="33"/>
      <c r="I514" s="33"/>
      <c r="M514" s="33"/>
      <c r="N514" s="33"/>
      <c r="O514" s="33"/>
      <c r="P514" s="33"/>
      <c r="Q514" s="33"/>
      <c r="R514" s="33"/>
      <c r="S514" s="33"/>
      <c r="T514" s="33"/>
      <c r="U514" s="33"/>
      <c r="V514" s="33"/>
      <c r="W514" s="33"/>
      <c r="X514" s="34"/>
      <c r="Y514" s="33"/>
      <c r="Z514" s="34"/>
      <c r="AA514" s="33"/>
    </row>
    <row r="515" ht="15.75" customHeight="1">
      <c r="H515" s="33"/>
      <c r="I515" s="33"/>
      <c r="M515" s="33"/>
      <c r="N515" s="33"/>
      <c r="O515" s="33"/>
      <c r="P515" s="33"/>
      <c r="Q515" s="33"/>
      <c r="R515" s="33"/>
      <c r="S515" s="33"/>
      <c r="T515" s="33"/>
      <c r="U515" s="33"/>
      <c r="V515" s="33"/>
      <c r="W515" s="33"/>
      <c r="X515" s="34"/>
      <c r="Y515" s="33"/>
      <c r="Z515" s="34"/>
      <c r="AA515" s="33"/>
    </row>
    <row r="516" ht="15.75" customHeight="1">
      <c r="H516" s="33"/>
      <c r="I516" s="33"/>
      <c r="M516" s="33"/>
      <c r="N516" s="33"/>
      <c r="O516" s="33"/>
      <c r="P516" s="33"/>
      <c r="Q516" s="33"/>
      <c r="R516" s="33"/>
      <c r="S516" s="33"/>
      <c r="T516" s="33"/>
      <c r="U516" s="33"/>
      <c r="V516" s="33"/>
      <c r="W516" s="33"/>
      <c r="X516" s="34"/>
      <c r="Y516" s="33"/>
      <c r="Z516" s="34"/>
      <c r="AA516" s="33"/>
    </row>
    <row r="517" ht="15.75" customHeight="1">
      <c r="H517" s="33"/>
      <c r="I517" s="33"/>
      <c r="M517" s="33"/>
      <c r="N517" s="33"/>
      <c r="O517" s="33"/>
      <c r="P517" s="33"/>
      <c r="Q517" s="33"/>
      <c r="R517" s="33"/>
      <c r="S517" s="33"/>
      <c r="T517" s="33"/>
      <c r="U517" s="33"/>
      <c r="V517" s="33"/>
      <c r="W517" s="33"/>
      <c r="X517" s="34"/>
      <c r="Y517" s="33"/>
      <c r="Z517" s="34"/>
      <c r="AA517" s="33"/>
    </row>
    <row r="518" ht="15.75" customHeight="1">
      <c r="H518" s="33"/>
      <c r="I518" s="33"/>
      <c r="M518" s="33"/>
      <c r="N518" s="33"/>
      <c r="O518" s="33"/>
      <c r="P518" s="33"/>
      <c r="Q518" s="33"/>
      <c r="R518" s="33"/>
      <c r="S518" s="33"/>
      <c r="T518" s="33"/>
      <c r="U518" s="33"/>
      <c r="V518" s="33"/>
      <c r="W518" s="33"/>
      <c r="X518" s="34"/>
      <c r="Y518" s="33"/>
      <c r="Z518" s="34"/>
      <c r="AA518" s="33"/>
    </row>
    <row r="519" ht="15.75" customHeight="1">
      <c r="H519" s="33"/>
      <c r="I519" s="33"/>
      <c r="M519" s="33"/>
      <c r="N519" s="33"/>
      <c r="O519" s="33"/>
      <c r="P519" s="33"/>
      <c r="Q519" s="33"/>
      <c r="R519" s="33"/>
      <c r="S519" s="33"/>
      <c r="T519" s="33"/>
      <c r="U519" s="33"/>
      <c r="V519" s="33"/>
      <c r="W519" s="33"/>
      <c r="X519" s="34"/>
      <c r="Y519" s="33"/>
      <c r="Z519" s="34"/>
      <c r="AA519" s="33"/>
    </row>
    <row r="520" ht="15.75" customHeight="1">
      <c r="H520" s="33"/>
      <c r="I520" s="33"/>
      <c r="M520" s="33"/>
      <c r="N520" s="33"/>
      <c r="O520" s="33"/>
      <c r="P520" s="33"/>
      <c r="Q520" s="33"/>
      <c r="R520" s="33"/>
      <c r="S520" s="33"/>
      <c r="T520" s="33"/>
      <c r="U520" s="33"/>
      <c r="V520" s="33"/>
      <c r="W520" s="33"/>
      <c r="X520" s="34"/>
      <c r="Y520" s="33"/>
      <c r="Z520" s="34"/>
      <c r="AA520" s="33"/>
    </row>
    <row r="521" ht="15.75" customHeight="1">
      <c r="H521" s="33"/>
      <c r="I521" s="33"/>
      <c r="M521" s="33"/>
      <c r="N521" s="33"/>
      <c r="O521" s="33"/>
      <c r="P521" s="33"/>
      <c r="Q521" s="33"/>
      <c r="R521" s="33"/>
      <c r="S521" s="33"/>
      <c r="T521" s="33"/>
      <c r="U521" s="33"/>
      <c r="V521" s="33"/>
      <c r="W521" s="33"/>
      <c r="X521" s="34"/>
      <c r="Y521" s="33"/>
      <c r="Z521" s="34"/>
      <c r="AA521" s="33"/>
    </row>
    <row r="522" ht="15.75" customHeight="1">
      <c r="H522" s="33"/>
      <c r="I522" s="33"/>
      <c r="M522" s="33"/>
      <c r="N522" s="33"/>
      <c r="O522" s="33"/>
      <c r="P522" s="33"/>
      <c r="Q522" s="33"/>
      <c r="R522" s="33"/>
      <c r="S522" s="33"/>
      <c r="T522" s="33"/>
      <c r="U522" s="33"/>
      <c r="V522" s="33"/>
      <c r="W522" s="33"/>
      <c r="X522" s="34"/>
      <c r="Y522" s="33"/>
      <c r="Z522" s="34"/>
      <c r="AA522" s="33"/>
    </row>
    <row r="523" ht="15.75" customHeight="1">
      <c r="H523" s="33"/>
      <c r="I523" s="33"/>
      <c r="M523" s="33"/>
      <c r="N523" s="33"/>
      <c r="O523" s="33"/>
      <c r="P523" s="33"/>
      <c r="Q523" s="33"/>
      <c r="R523" s="33"/>
      <c r="S523" s="33"/>
      <c r="T523" s="33"/>
      <c r="U523" s="33"/>
      <c r="V523" s="33"/>
      <c r="W523" s="33"/>
      <c r="X523" s="34"/>
      <c r="Y523" s="33"/>
      <c r="Z523" s="34"/>
      <c r="AA523" s="33"/>
    </row>
    <row r="524" ht="15.75" customHeight="1">
      <c r="H524" s="33"/>
      <c r="I524" s="33"/>
      <c r="M524" s="33"/>
      <c r="N524" s="33"/>
      <c r="O524" s="33"/>
      <c r="P524" s="33"/>
      <c r="Q524" s="33"/>
      <c r="R524" s="33"/>
      <c r="S524" s="33"/>
      <c r="T524" s="33"/>
      <c r="U524" s="33"/>
      <c r="V524" s="33"/>
      <c r="W524" s="33"/>
      <c r="X524" s="34"/>
      <c r="Y524" s="33"/>
      <c r="Z524" s="34"/>
      <c r="AA524" s="33"/>
    </row>
    <row r="525" ht="15.75" customHeight="1">
      <c r="H525" s="33"/>
      <c r="I525" s="33"/>
      <c r="M525" s="33"/>
      <c r="N525" s="33"/>
      <c r="O525" s="33"/>
      <c r="P525" s="33"/>
      <c r="Q525" s="33"/>
      <c r="R525" s="33"/>
      <c r="S525" s="33"/>
      <c r="T525" s="33"/>
      <c r="U525" s="33"/>
      <c r="V525" s="33"/>
      <c r="W525" s="33"/>
      <c r="X525" s="34"/>
      <c r="Y525" s="33"/>
      <c r="Z525" s="34"/>
      <c r="AA525" s="33"/>
    </row>
    <row r="526" ht="15.75" customHeight="1">
      <c r="H526" s="33"/>
      <c r="I526" s="33"/>
      <c r="M526" s="33"/>
      <c r="N526" s="33"/>
      <c r="O526" s="33"/>
      <c r="P526" s="33"/>
      <c r="Q526" s="33"/>
      <c r="R526" s="33"/>
      <c r="S526" s="33"/>
      <c r="T526" s="33"/>
      <c r="U526" s="33"/>
      <c r="V526" s="33"/>
      <c r="W526" s="33"/>
      <c r="X526" s="34"/>
      <c r="Y526" s="33"/>
      <c r="Z526" s="34"/>
      <c r="AA526" s="33"/>
    </row>
    <row r="527" ht="15.75" customHeight="1">
      <c r="H527" s="33"/>
      <c r="I527" s="33"/>
      <c r="M527" s="33"/>
      <c r="N527" s="33"/>
      <c r="O527" s="33"/>
      <c r="P527" s="33"/>
      <c r="Q527" s="33"/>
      <c r="R527" s="33"/>
      <c r="S527" s="33"/>
      <c r="T527" s="33"/>
      <c r="U527" s="33"/>
      <c r="V527" s="33"/>
      <c r="W527" s="33"/>
      <c r="X527" s="34"/>
      <c r="Y527" s="33"/>
      <c r="Z527" s="34"/>
      <c r="AA527" s="33"/>
    </row>
    <row r="528" ht="15.75" customHeight="1">
      <c r="H528" s="33"/>
      <c r="I528" s="33"/>
      <c r="M528" s="33"/>
      <c r="N528" s="33"/>
      <c r="O528" s="33"/>
      <c r="P528" s="33"/>
      <c r="Q528" s="33"/>
      <c r="R528" s="33"/>
      <c r="S528" s="33"/>
      <c r="T528" s="33"/>
      <c r="U528" s="33"/>
      <c r="V528" s="33"/>
      <c r="W528" s="33"/>
      <c r="X528" s="34"/>
      <c r="Y528" s="33"/>
      <c r="Z528" s="34"/>
      <c r="AA528" s="33"/>
    </row>
    <row r="529" ht="15.75" customHeight="1">
      <c r="H529" s="33"/>
      <c r="I529" s="33"/>
      <c r="M529" s="33"/>
      <c r="N529" s="33"/>
      <c r="O529" s="33"/>
      <c r="P529" s="33"/>
      <c r="Q529" s="33"/>
      <c r="R529" s="33"/>
      <c r="S529" s="33"/>
      <c r="T529" s="33"/>
      <c r="U529" s="33"/>
      <c r="V529" s="33"/>
      <c r="W529" s="33"/>
      <c r="X529" s="34"/>
      <c r="Y529" s="33"/>
      <c r="Z529" s="34"/>
      <c r="AA529" s="33"/>
    </row>
    <row r="530" ht="15.75" customHeight="1">
      <c r="H530" s="33"/>
      <c r="I530" s="33"/>
      <c r="M530" s="33"/>
      <c r="N530" s="33"/>
      <c r="O530" s="33"/>
      <c r="P530" s="33"/>
      <c r="Q530" s="33"/>
      <c r="R530" s="33"/>
      <c r="S530" s="33"/>
      <c r="T530" s="33"/>
      <c r="U530" s="33"/>
      <c r="V530" s="33"/>
      <c r="W530" s="33"/>
      <c r="X530" s="34"/>
      <c r="Y530" s="33"/>
      <c r="Z530" s="34"/>
      <c r="AA530" s="33"/>
    </row>
    <row r="531" ht="15.75" customHeight="1">
      <c r="H531" s="33"/>
      <c r="I531" s="33"/>
      <c r="M531" s="33"/>
      <c r="N531" s="33"/>
      <c r="O531" s="33"/>
      <c r="P531" s="33"/>
      <c r="Q531" s="33"/>
      <c r="R531" s="33"/>
      <c r="S531" s="33"/>
      <c r="T531" s="33"/>
      <c r="U531" s="33"/>
      <c r="V531" s="33"/>
      <c r="W531" s="33"/>
      <c r="X531" s="34"/>
      <c r="Y531" s="33"/>
      <c r="Z531" s="34"/>
      <c r="AA531" s="33"/>
    </row>
    <row r="532" ht="15.75" customHeight="1">
      <c r="H532" s="33"/>
      <c r="I532" s="33"/>
      <c r="M532" s="33"/>
      <c r="N532" s="33"/>
      <c r="O532" s="33"/>
      <c r="P532" s="33"/>
      <c r="Q532" s="33"/>
      <c r="R532" s="33"/>
      <c r="S532" s="33"/>
      <c r="T532" s="33"/>
      <c r="U532" s="33"/>
      <c r="V532" s="33"/>
      <c r="W532" s="33"/>
      <c r="X532" s="34"/>
      <c r="Y532" s="33"/>
      <c r="Z532" s="34"/>
      <c r="AA532" s="33"/>
    </row>
    <row r="533" ht="15.75" customHeight="1">
      <c r="H533" s="33"/>
      <c r="I533" s="33"/>
      <c r="M533" s="33"/>
      <c r="N533" s="33"/>
      <c r="O533" s="33"/>
      <c r="P533" s="33"/>
      <c r="Q533" s="33"/>
      <c r="R533" s="33"/>
      <c r="S533" s="33"/>
      <c r="T533" s="33"/>
      <c r="U533" s="33"/>
      <c r="V533" s="33"/>
      <c r="W533" s="33"/>
      <c r="X533" s="34"/>
      <c r="Y533" s="33"/>
      <c r="Z533" s="34"/>
      <c r="AA533" s="33"/>
    </row>
    <row r="534" ht="15.75" customHeight="1">
      <c r="H534" s="33"/>
      <c r="I534" s="33"/>
      <c r="M534" s="33"/>
      <c r="N534" s="33"/>
      <c r="O534" s="33"/>
      <c r="P534" s="33"/>
      <c r="Q534" s="33"/>
      <c r="R534" s="33"/>
      <c r="S534" s="33"/>
      <c r="T534" s="33"/>
      <c r="U534" s="33"/>
      <c r="V534" s="33"/>
      <c r="W534" s="33"/>
      <c r="X534" s="34"/>
      <c r="Y534" s="33"/>
      <c r="Z534" s="34"/>
      <c r="AA534" s="33"/>
    </row>
    <row r="535" ht="15.75" customHeight="1">
      <c r="H535" s="33"/>
      <c r="I535" s="33"/>
      <c r="M535" s="33"/>
      <c r="N535" s="33"/>
      <c r="O535" s="33"/>
      <c r="P535" s="33"/>
      <c r="Q535" s="33"/>
      <c r="R535" s="33"/>
      <c r="S535" s="33"/>
      <c r="T535" s="33"/>
      <c r="U535" s="33"/>
      <c r="V535" s="33"/>
      <c r="W535" s="33"/>
      <c r="X535" s="34"/>
      <c r="Y535" s="33"/>
      <c r="Z535" s="34"/>
      <c r="AA535" s="33"/>
    </row>
    <row r="536" ht="15.75" customHeight="1">
      <c r="H536" s="33"/>
      <c r="I536" s="33"/>
      <c r="M536" s="33"/>
      <c r="N536" s="33"/>
      <c r="O536" s="33"/>
      <c r="P536" s="33"/>
      <c r="Q536" s="33"/>
      <c r="R536" s="33"/>
      <c r="S536" s="33"/>
      <c r="T536" s="33"/>
      <c r="U536" s="33"/>
      <c r="V536" s="33"/>
      <c r="W536" s="33"/>
      <c r="X536" s="34"/>
      <c r="Y536" s="33"/>
      <c r="Z536" s="34"/>
      <c r="AA536" s="33"/>
    </row>
    <row r="537" ht="15.75" customHeight="1">
      <c r="H537" s="33"/>
      <c r="I537" s="33"/>
      <c r="M537" s="33"/>
      <c r="N537" s="33"/>
      <c r="O537" s="33"/>
      <c r="P537" s="33"/>
      <c r="Q537" s="33"/>
      <c r="R537" s="33"/>
      <c r="S537" s="33"/>
      <c r="T537" s="33"/>
      <c r="U537" s="33"/>
      <c r="V537" s="33"/>
      <c r="W537" s="33"/>
      <c r="X537" s="34"/>
      <c r="Y537" s="33"/>
      <c r="Z537" s="34"/>
      <c r="AA537" s="33"/>
    </row>
    <row r="538" ht="15.75" customHeight="1">
      <c r="H538" s="33"/>
      <c r="I538" s="33"/>
      <c r="M538" s="33"/>
      <c r="N538" s="33"/>
      <c r="O538" s="33"/>
      <c r="P538" s="33"/>
      <c r="Q538" s="33"/>
      <c r="R538" s="33"/>
      <c r="S538" s="33"/>
      <c r="T538" s="33"/>
      <c r="U538" s="33"/>
      <c r="V538" s="33"/>
      <c r="W538" s="33"/>
      <c r="X538" s="34"/>
      <c r="Y538" s="33"/>
      <c r="Z538" s="34"/>
      <c r="AA538" s="33"/>
    </row>
    <row r="539" ht="15.75" customHeight="1">
      <c r="H539" s="33"/>
      <c r="I539" s="33"/>
      <c r="M539" s="33"/>
      <c r="N539" s="33"/>
      <c r="O539" s="33"/>
      <c r="P539" s="33"/>
      <c r="Q539" s="33"/>
      <c r="R539" s="33"/>
      <c r="S539" s="33"/>
      <c r="T539" s="33"/>
      <c r="U539" s="33"/>
      <c r="V539" s="33"/>
      <c r="W539" s="33"/>
      <c r="X539" s="34"/>
      <c r="Y539" s="33"/>
      <c r="Z539" s="34"/>
      <c r="AA539" s="33"/>
    </row>
    <row r="540" ht="15.75" customHeight="1">
      <c r="H540" s="33"/>
      <c r="I540" s="33"/>
      <c r="M540" s="33"/>
      <c r="N540" s="33"/>
      <c r="O540" s="33"/>
      <c r="P540" s="33"/>
      <c r="Q540" s="33"/>
      <c r="R540" s="33"/>
      <c r="S540" s="33"/>
      <c r="T540" s="33"/>
      <c r="U540" s="33"/>
      <c r="V540" s="33"/>
      <c r="W540" s="33"/>
      <c r="X540" s="34"/>
      <c r="Y540" s="33"/>
      <c r="Z540" s="34"/>
      <c r="AA540" s="33"/>
    </row>
    <row r="541" ht="15.75" customHeight="1">
      <c r="H541" s="33"/>
      <c r="I541" s="33"/>
      <c r="M541" s="33"/>
      <c r="N541" s="33"/>
      <c r="O541" s="33"/>
      <c r="P541" s="33"/>
      <c r="Q541" s="33"/>
      <c r="R541" s="33"/>
      <c r="S541" s="33"/>
      <c r="T541" s="33"/>
      <c r="U541" s="33"/>
      <c r="V541" s="33"/>
      <c r="W541" s="33"/>
      <c r="X541" s="34"/>
      <c r="Y541" s="33"/>
      <c r="Z541" s="34"/>
      <c r="AA541" s="33"/>
    </row>
    <row r="542" ht="15.75" customHeight="1">
      <c r="H542" s="33"/>
      <c r="I542" s="33"/>
      <c r="M542" s="33"/>
      <c r="N542" s="33"/>
      <c r="O542" s="33"/>
      <c r="P542" s="33"/>
      <c r="Q542" s="33"/>
      <c r="R542" s="33"/>
      <c r="S542" s="33"/>
      <c r="T542" s="33"/>
      <c r="U542" s="33"/>
      <c r="V542" s="33"/>
      <c r="W542" s="33"/>
      <c r="X542" s="34"/>
      <c r="Y542" s="33"/>
      <c r="Z542" s="34"/>
      <c r="AA542" s="33"/>
    </row>
    <row r="543" ht="15.75" customHeight="1">
      <c r="H543" s="33"/>
      <c r="I543" s="33"/>
      <c r="M543" s="33"/>
      <c r="N543" s="33"/>
      <c r="O543" s="33"/>
      <c r="P543" s="33"/>
      <c r="Q543" s="33"/>
      <c r="R543" s="33"/>
      <c r="S543" s="33"/>
      <c r="T543" s="33"/>
      <c r="U543" s="33"/>
      <c r="V543" s="33"/>
      <c r="W543" s="33"/>
      <c r="X543" s="34"/>
      <c r="Y543" s="33"/>
      <c r="Z543" s="34"/>
      <c r="AA543" s="33"/>
    </row>
    <row r="544" ht="15.75" customHeight="1">
      <c r="H544" s="33"/>
      <c r="I544" s="33"/>
      <c r="M544" s="33"/>
      <c r="N544" s="33"/>
      <c r="O544" s="33"/>
      <c r="P544" s="33"/>
      <c r="Q544" s="33"/>
      <c r="R544" s="33"/>
      <c r="S544" s="33"/>
      <c r="T544" s="33"/>
      <c r="U544" s="33"/>
      <c r="V544" s="33"/>
      <c r="W544" s="33"/>
      <c r="X544" s="34"/>
      <c r="Y544" s="33"/>
      <c r="Z544" s="34"/>
      <c r="AA544" s="33"/>
    </row>
    <row r="545" ht="15.75" customHeight="1">
      <c r="H545" s="33"/>
      <c r="I545" s="33"/>
      <c r="M545" s="33"/>
      <c r="N545" s="33"/>
      <c r="O545" s="33"/>
      <c r="P545" s="33"/>
      <c r="Q545" s="33"/>
      <c r="R545" s="33"/>
      <c r="S545" s="33"/>
      <c r="T545" s="33"/>
      <c r="U545" s="33"/>
      <c r="V545" s="33"/>
      <c r="W545" s="33"/>
      <c r="X545" s="34"/>
      <c r="Y545" s="33"/>
      <c r="Z545" s="34"/>
      <c r="AA545" s="33"/>
    </row>
    <row r="546" ht="15.75" customHeight="1">
      <c r="H546" s="33"/>
      <c r="I546" s="33"/>
      <c r="M546" s="33"/>
      <c r="N546" s="33"/>
      <c r="O546" s="33"/>
      <c r="P546" s="33"/>
      <c r="Q546" s="33"/>
      <c r="R546" s="33"/>
      <c r="S546" s="33"/>
      <c r="T546" s="33"/>
      <c r="U546" s="33"/>
      <c r="V546" s="33"/>
      <c r="W546" s="33"/>
      <c r="X546" s="34"/>
      <c r="Y546" s="33"/>
      <c r="Z546" s="34"/>
      <c r="AA546" s="33"/>
    </row>
    <row r="547" ht="15.75" customHeight="1">
      <c r="H547" s="33"/>
      <c r="I547" s="33"/>
      <c r="M547" s="33"/>
      <c r="N547" s="33"/>
      <c r="O547" s="33"/>
      <c r="P547" s="33"/>
      <c r="Q547" s="33"/>
      <c r="R547" s="33"/>
      <c r="S547" s="33"/>
      <c r="T547" s="33"/>
      <c r="U547" s="33"/>
      <c r="V547" s="33"/>
      <c r="W547" s="33"/>
      <c r="X547" s="34"/>
      <c r="Y547" s="33"/>
      <c r="Z547" s="34"/>
      <c r="AA547" s="33"/>
    </row>
    <row r="548" ht="15.75" customHeight="1">
      <c r="H548" s="33"/>
      <c r="I548" s="33"/>
      <c r="M548" s="33"/>
      <c r="N548" s="33"/>
      <c r="O548" s="33"/>
      <c r="P548" s="33"/>
      <c r="Q548" s="33"/>
      <c r="R548" s="33"/>
      <c r="S548" s="33"/>
      <c r="T548" s="33"/>
      <c r="U548" s="33"/>
      <c r="V548" s="33"/>
      <c r="W548" s="33"/>
      <c r="X548" s="34"/>
      <c r="Y548" s="33"/>
      <c r="Z548" s="34"/>
      <c r="AA548" s="33"/>
    </row>
    <row r="549" ht="15.75" customHeight="1">
      <c r="H549" s="33"/>
      <c r="I549" s="33"/>
      <c r="M549" s="33"/>
      <c r="N549" s="33"/>
      <c r="O549" s="33"/>
      <c r="P549" s="33"/>
      <c r="Q549" s="33"/>
      <c r="R549" s="33"/>
      <c r="S549" s="33"/>
      <c r="T549" s="33"/>
      <c r="U549" s="33"/>
      <c r="V549" s="33"/>
      <c r="W549" s="33"/>
      <c r="X549" s="34"/>
      <c r="Y549" s="33"/>
      <c r="Z549" s="34"/>
      <c r="AA549" s="33"/>
    </row>
    <row r="550" ht="15.75" customHeight="1">
      <c r="H550" s="33"/>
      <c r="I550" s="33"/>
      <c r="M550" s="33"/>
      <c r="N550" s="33"/>
      <c r="O550" s="33"/>
      <c r="P550" s="33"/>
      <c r="Q550" s="33"/>
      <c r="R550" s="33"/>
      <c r="S550" s="33"/>
      <c r="T550" s="33"/>
      <c r="U550" s="33"/>
      <c r="V550" s="33"/>
      <c r="W550" s="33"/>
      <c r="X550" s="34"/>
      <c r="Y550" s="33"/>
      <c r="Z550" s="34"/>
      <c r="AA550" s="33"/>
    </row>
    <row r="551" ht="15.75" customHeight="1">
      <c r="H551" s="33"/>
      <c r="I551" s="33"/>
      <c r="M551" s="33"/>
      <c r="N551" s="33"/>
      <c r="O551" s="33"/>
      <c r="P551" s="33"/>
      <c r="Q551" s="33"/>
      <c r="R551" s="33"/>
      <c r="S551" s="33"/>
      <c r="T551" s="33"/>
      <c r="U551" s="33"/>
      <c r="V551" s="33"/>
      <c r="W551" s="33"/>
      <c r="X551" s="34"/>
      <c r="Y551" s="33"/>
      <c r="Z551" s="34"/>
      <c r="AA551" s="33"/>
    </row>
    <row r="552" ht="15.75" customHeight="1">
      <c r="H552" s="33"/>
      <c r="I552" s="33"/>
      <c r="M552" s="33"/>
      <c r="N552" s="33"/>
      <c r="O552" s="33"/>
      <c r="P552" s="33"/>
      <c r="Q552" s="33"/>
      <c r="R552" s="33"/>
      <c r="S552" s="33"/>
      <c r="T552" s="33"/>
      <c r="U552" s="33"/>
      <c r="V552" s="33"/>
      <c r="W552" s="33"/>
      <c r="X552" s="34"/>
      <c r="Y552" s="33"/>
      <c r="Z552" s="34"/>
      <c r="AA552" s="33"/>
    </row>
    <row r="553" ht="15.75" customHeight="1">
      <c r="H553" s="33"/>
      <c r="I553" s="33"/>
      <c r="M553" s="33"/>
      <c r="N553" s="33"/>
      <c r="O553" s="33"/>
      <c r="P553" s="33"/>
      <c r="Q553" s="33"/>
      <c r="R553" s="33"/>
      <c r="S553" s="33"/>
      <c r="T553" s="33"/>
      <c r="U553" s="33"/>
      <c r="V553" s="33"/>
      <c r="W553" s="33"/>
      <c r="X553" s="34"/>
      <c r="Y553" s="33"/>
      <c r="Z553" s="34"/>
      <c r="AA553" s="33"/>
    </row>
    <row r="554" ht="15.75" customHeight="1">
      <c r="H554" s="33"/>
      <c r="I554" s="33"/>
      <c r="M554" s="33"/>
      <c r="N554" s="33"/>
      <c r="O554" s="33"/>
      <c r="P554" s="33"/>
      <c r="Q554" s="33"/>
      <c r="R554" s="33"/>
      <c r="S554" s="33"/>
      <c r="T554" s="33"/>
      <c r="U554" s="33"/>
      <c r="V554" s="33"/>
      <c r="W554" s="33"/>
      <c r="X554" s="34"/>
      <c r="Y554" s="33"/>
      <c r="Z554" s="34"/>
      <c r="AA554" s="33"/>
    </row>
    <row r="555" ht="15.75" customHeight="1">
      <c r="H555" s="33"/>
      <c r="I555" s="33"/>
      <c r="M555" s="33"/>
      <c r="N555" s="33"/>
      <c r="O555" s="33"/>
      <c r="P555" s="33"/>
      <c r="Q555" s="33"/>
      <c r="R555" s="33"/>
      <c r="S555" s="33"/>
      <c r="T555" s="33"/>
      <c r="U555" s="33"/>
      <c r="V555" s="33"/>
      <c r="W555" s="33"/>
      <c r="X555" s="34"/>
      <c r="Y555" s="33"/>
      <c r="Z555" s="34"/>
      <c r="AA555" s="33"/>
    </row>
    <row r="556" ht="15.75" customHeight="1">
      <c r="H556" s="33"/>
      <c r="I556" s="33"/>
      <c r="M556" s="33"/>
      <c r="N556" s="33"/>
      <c r="O556" s="33"/>
      <c r="P556" s="33"/>
      <c r="Q556" s="33"/>
      <c r="R556" s="33"/>
      <c r="S556" s="33"/>
      <c r="T556" s="33"/>
      <c r="U556" s="33"/>
      <c r="V556" s="33"/>
      <c r="W556" s="33"/>
      <c r="X556" s="34"/>
      <c r="Y556" s="33"/>
      <c r="Z556" s="34"/>
      <c r="AA556" s="33"/>
    </row>
    <row r="557" ht="15.75" customHeight="1">
      <c r="H557" s="33"/>
      <c r="I557" s="33"/>
      <c r="M557" s="33"/>
      <c r="N557" s="33"/>
      <c r="O557" s="33"/>
      <c r="P557" s="33"/>
      <c r="Q557" s="33"/>
      <c r="R557" s="33"/>
      <c r="S557" s="33"/>
      <c r="T557" s="33"/>
      <c r="U557" s="33"/>
      <c r="V557" s="33"/>
      <c r="W557" s="33"/>
      <c r="X557" s="34"/>
      <c r="Y557" s="33"/>
      <c r="Z557" s="34"/>
      <c r="AA557" s="33"/>
    </row>
    <row r="558" ht="15.75" customHeight="1">
      <c r="H558" s="33"/>
      <c r="I558" s="33"/>
      <c r="M558" s="33"/>
      <c r="N558" s="33"/>
      <c r="O558" s="33"/>
      <c r="P558" s="33"/>
      <c r="Q558" s="33"/>
      <c r="R558" s="33"/>
      <c r="S558" s="33"/>
      <c r="T558" s="33"/>
      <c r="U558" s="33"/>
      <c r="V558" s="33"/>
      <c r="W558" s="33"/>
      <c r="X558" s="34"/>
      <c r="Y558" s="33"/>
      <c r="Z558" s="34"/>
      <c r="AA558" s="33"/>
    </row>
    <row r="559" ht="15.75" customHeight="1">
      <c r="H559" s="33"/>
      <c r="I559" s="33"/>
      <c r="M559" s="33"/>
      <c r="N559" s="33"/>
      <c r="O559" s="33"/>
      <c r="P559" s="33"/>
      <c r="Q559" s="33"/>
      <c r="R559" s="33"/>
      <c r="S559" s="33"/>
      <c r="T559" s="33"/>
      <c r="U559" s="33"/>
      <c r="V559" s="33"/>
      <c r="W559" s="33"/>
      <c r="X559" s="34"/>
      <c r="Y559" s="33"/>
      <c r="Z559" s="34"/>
      <c r="AA559" s="33"/>
    </row>
    <row r="560" ht="15.75" customHeight="1">
      <c r="H560" s="33"/>
      <c r="I560" s="33"/>
      <c r="M560" s="33"/>
      <c r="N560" s="33"/>
      <c r="O560" s="33"/>
      <c r="P560" s="33"/>
      <c r="Q560" s="33"/>
      <c r="R560" s="33"/>
      <c r="S560" s="33"/>
      <c r="T560" s="33"/>
      <c r="U560" s="33"/>
      <c r="V560" s="33"/>
      <c r="W560" s="33"/>
      <c r="X560" s="34"/>
      <c r="Y560" s="33"/>
      <c r="Z560" s="34"/>
      <c r="AA560" s="33"/>
    </row>
    <row r="561" ht="15.75" customHeight="1">
      <c r="H561" s="33"/>
      <c r="I561" s="33"/>
      <c r="M561" s="33"/>
      <c r="N561" s="33"/>
      <c r="O561" s="33"/>
      <c r="P561" s="33"/>
      <c r="Q561" s="33"/>
      <c r="R561" s="33"/>
      <c r="S561" s="33"/>
      <c r="T561" s="33"/>
      <c r="U561" s="33"/>
      <c r="V561" s="33"/>
      <c r="W561" s="33"/>
      <c r="X561" s="34"/>
      <c r="Y561" s="33"/>
      <c r="Z561" s="34"/>
      <c r="AA561" s="33"/>
    </row>
    <row r="562" ht="15.75" customHeight="1">
      <c r="H562" s="33"/>
      <c r="I562" s="33"/>
      <c r="M562" s="33"/>
      <c r="N562" s="33"/>
      <c r="O562" s="33"/>
      <c r="P562" s="33"/>
      <c r="Q562" s="33"/>
      <c r="R562" s="33"/>
      <c r="S562" s="33"/>
      <c r="T562" s="33"/>
      <c r="U562" s="33"/>
      <c r="V562" s="33"/>
      <c r="W562" s="33"/>
      <c r="X562" s="34"/>
      <c r="Y562" s="33"/>
      <c r="Z562" s="34"/>
      <c r="AA562" s="33"/>
    </row>
    <row r="563" ht="15.75" customHeight="1">
      <c r="H563" s="33"/>
      <c r="I563" s="33"/>
      <c r="M563" s="33"/>
      <c r="N563" s="33"/>
      <c r="O563" s="33"/>
      <c r="P563" s="33"/>
      <c r="Q563" s="33"/>
      <c r="R563" s="33"/>
      <c r="S563" s="33"/>
      <c r="T563" s="33"/>
      <c r="U563" s="33"/>
      <c r="V563" s="33"/>
      <c r="W563" s="33"/>
      <c r="X563" s="34"/>
      <c r="Y563" s="33"/>
      <c r="Z563" s="34"/>
      <c r="AA563" s="33"/>
    </row>
    <row r="564" ht="15.75" customHeight="1">
      <c r="H564" s="33"/>
      <c r="I564" s="33"/>
      <c r="M564" s="33"/>
      <c r="N564" s="33"/>
      <c r="O564" s="33"/>
      <c r="P564" s="33"/>
      <c r="Q564" s="33"/>
      <c r="R564" s="33"/>
      <c r="S564" s="33"/>
      <c r="T564" s="33"/>
      <c r="U564" s="33"/>
      <c r="V564" s="33"/>
      <c r="W564" s="33"/>
      <c r="X564" s="34"/>
      <c r="Y564" s="33"/>
      <c r="Z564" s="34"/>
      <c r="AA564" s="33"/>
    </row>
    <row r="565" ht="15.75" customHeight="1">
      <c r="H565" s="33"/>
      <c r="I565" s="33"/>
      <c r="M565" s="33"/>
      <c r="N565" s="33"/>
      <c r="O565" s="33"/>
      <c r="P565" s="33"/>
      <c r="Q565" s="33"/>
      <c r="R565" s="33"/>
      <c r="S565" s="33"/>
      <c r="T565" s="33"/>
      <c r="U565" s="33"/>
      <c r="V565" s="33"/>
      <c r="W565" s="33"/>
      <c r="X565" s="34"/>
      <c r="Y565" s="33"/>
      <c r="Z565" s="34"/>
      <c r="AA565" s="33"/>
    </row>
    <row r="566" ht="15.75" customHeight="1">
      <c r="H566" s="33"/>
      <c r="I566" s="33"/>
      <c r="M566" s="33"/>
      <c r="N566" s="33"/>
      <c r="O566" s="33"/>
      <c r="P566" s="33"/>
      <c r="Q566" s="33"/>
      <c r="R566" s="33"/>
      <c r="S566" s="33"/>
      <c r="T566" s="33"/>
      <c r="U566" s="33"/>
      <c r="V566" s="33"/>
      <c r="W566" s="33"/>
      <c r="X566" s="34"/>
      <c r="Y566" s="33"/>
      <c r="Z566" s="34"/>
      <c r="AA566" s="33"/>
    </row>
    <row r="567" ht="15.75" customHeight="1">
      <c r="H567" s="33"/>
      <c r="I567" s="33"/>
      <c r="M567" s="33"/>
      <c r="N567" s="33"/>
      <c r="O567" s="33"/>
      <c r="P567" s="33"/>
      <c r="Q567" s="33"/>
      <c r="R567" s="33"/>
      <c r="S567" s="33"/>
      <c r="T567" s="33"/>
      <c r="U567" s="33"/>
      <c r="V567" s="33"/>
      <c r="W567" s="33"/>
      <c r="X567" s="34"/>
      <c r="Y567" s="33"/>
      <c r="Z567" s="34"/>
      <c r="AA567" s="33"/>
    </row>
    <row r="568" ht="15.75" customHeight="1">
      <c r="H568" s="33"/>
      <c r="I568" s="33"/>
      <c r="M568" s="33"/>
      <c r="N568" s="33"/>
      <c r="O568" s="33"/>
      <c r="P568" s="33"/>
      <c r="Q568" s="33"/>
      <c r="R568" s="33"/>
      <c r="S568" s="33"/>
      <c r="T568" s="33"/>
      <c r="U568" s="33"/>
      <c r="V568" s="33"/>
      <c r="W568" s="33"/>
      <c r="X568" s="34"/>
      <c r="Y568" s="33"/>
      <c r="Z568" s="34"/>
      <c r="AA568" s="33"/>
    </row>
    <row r="569" ht="15.75" customHeight="1">
      <c r="H569" s="33"/>
      <c r="I569" s="33"/>
      <c r="M569" s="33"/>
      <c r="N569" s="33"/>
      <c r="O569" s="33"/>
      <c r="P569" s="33"/>
      <c r="Q569" s="33"/>
      <c r="R569" s="33"/>
      <c r="S569" s="33"/>
      <c r="T569" s="33"/>
      <c r="U569" s="33"/>
      <c r="V569" s="33"/>
      <c r="W569" s="33"/>
      <c r="X569" s="34"/>
      <c r="Y569" s="33"/>
      <c r="Z569" s="34"/>
      <c r="AA569" s="33"/>
    </row>
    <row r="570" ht="15.75" customHeight="1">
      <c r="H570" s="33"/>
      <c r="I570" s="33"/>
      <c r="M570" s="33"/>
      <c r="N570" s="33"/>
      <c r="O570" s="33"/>
      <c r="P570" s="33"/>
      <c r="Q570" s="33"/>
      <c r="R570" s="33"/>
      <c r="S570" s="33"/>
      <c r="T570" s="33"/>
      <c r="U570" s="33"/>
      <c r="V570" s="33"/>
      <c r="W570" s="33"/>
      <c r="X570" s="34"/>
      <c r="Y570" s="33"/>
      <c r="Z570" s="34"/>
      <c r="AA570" s="33"/>
    </row>
    <row r="571" ht="15.75" customHeight="1">
      <c r="H571" s="33"/>
      <c r="I571" s="33"/>
      <c r="M571" s="33"/>
      <c r="N571" s="33"/>
      <c r="O571" s="33"/>
      <c r="P571" s="33"/>
      <c r="Q571" s="33"/>
      <c r="R571" s="33"/>
      <c r="S571" s="33"/>
      <c r="T571" s="33"/>
      <c r="U571" s="33"/>
      <c r="V571" s="33"/>
      <c r="W571" s="33"/>
      <c r="X571" s="34"/>
      <c r="Y571" s="33"/>
      <c r="Z571" s="34"/>
      <c r="AA571" s="33"/>
    </row>
    <row r="572" ht="15.75" customHeight="1">
      <c r="H572" s="33"/>
      <c r="I572" s="33"/>
      <c r="M572" s="33"/>
      <c r="N572" s="33"/>
      <c r="O572" s="33"/>
      <c r="P572" s="33"/>
      <c r="Q572" s="33"/>
      <c r="R572" s="33"/>
      <c r="S572" s="33"/>
      <c r="T572" s="33"/>
      <c r="U572" s="33"/>
      <c r="V572" s="33"/>
      <c r="W572" s="33"/>
      <c r="X572" s="34"/>
      <c r="Y572" s="33"/>
      <c r="Z572" s="34"/>
      <c r="AA572" s="33"/>
    </row>
    <row r="573" ht="15.75" customHeight="1">
      <c r="H573" s="33"/>
      <c r="I573" s="33"/>
      <c r="M573" s="33"/>
      <c r="N573" s="33"/>
      <c r="O573" s="33"/>
      <c r="P573" s="33"/>
      <c r="Q573" s="33"/>
      <c r="R573" s="33"/>
      <c r="S573" s="33"/>
      <c r="T573" s="33"/>
      <c r="U573" s="33"/>
      <c r="V573" s="33"/>
      <c r="W573" s="33"/>
      <c r="X573" s="34"/>
      <c r="Y573" s="33"/>
      <c r="Z573" s="34"/>
      <c r="AA573" s="33"/>
    </row>
    <row r="574" ht="15.75" customHeight="1">
      <c r="H574" s="33"/>
      <c r="I574" s="33"/>
      <c r="M574" s="33"/>
      <c r="N574" s="33"/>
      <c r="O574" s="33"/>
      <c r="P574" s="33"/>
      <c r="Q574" s="33"/>
      <c r="R574" s="33"/>
      <c r="S574" s="33"/>
      <c r="T574" s="33"/>
      <c r="U574" s="33"/>
      <c r="V574" s="33"/>
      <c r="W574" s="33"/>
      <c r="X574" s="34"/>
      <c r="Y574" s="33"/>
      <c r="Z574" s="34"/>
      <c r="AA574" s="33"/>
    </row>
    <row r="575" ht="15.75" customHeight="1">
      <c r="H575" s="33"/>
      <c r="I575" s="33"/>
      <c r="M575" s="33"/>
      <c r="N575" s="33"/>
      <c r="O575" s="33"/>
      <c r="P575" s="33"/>
      <c r="Q575" s="33"/>
      <c r="R575" s="33"/>
      <c r="S575" s="33"/>
      <c r="T575" s="33"/>
      <c r="U575" s="33"/>
      <c r="V575" s="33"/>
      <c r="W575" s="33"/>
      <c r="X575" s="34"/>
      <c r="Y575" s="33"/>
      <c r="Z575" s="34"/>
      <c r="AA575" s="33"/>
    </row>
    <row r="576" ht="15.75" customHeight="1">
      <c r="H576" s="33"/>
      <c r="I576" s="33"/>
      <c r="M576" s="33"/>
      <c r="N576" s="33"/>
      <c r="O576" s="33"/>
      <c r="P576" s="33"/>
      <c r="Q576" s="33"/>
      <c r="R576" s="33"/>
      <c r="S576" s="33"/>
      <c r="T576" s="33"/>
      <c r="U576" s="33"/>
      <c r="V576" s="33"/>
      <c r="W576" s="33"/>
      <c r="X576" s="34"/>
      <c r="Y576" s="33"/>
      <c r="Z576" s="34"/>
      <c r="AA576" s="33"/>
    </row>
    <row r="577" ht="15.75" customHeight="1">
      <c r="H577" s="33"/>
      <c r="I577" s="33"/>
      <c r="M577" s="33"/>
      <c r="N577" s="33"/>
      <c r="O577" s="33"/>
      <c r="P577" s="33"/>
      <c r="Q577" s="33"/>
      <c r="R577" s="33"/>
      <c r="S577" s="33"/>
      <c r="T577" s="33"/>
      <c r="U577" s="33"/>
      <c r="V577" s="33"/>
      <c r="W577" s="33"/>
      <c r="X577" s="34"/>
      <c r="Y577" s="33"/>
      <c r="Z577" s="34"/>
      <c r="AA577" s="33"/>
    </row>
    <row r="578" ht="15.75" customHeight="1">
      <c r="H578" s="33"/>
      <c r="I578" s="33"/>
      <c r="M578" s="33"/>
      <c r="N578" s="33"/>
      <c r="O578" s="33"/>
      <c r="P578" s="33"/>
      <c r="Q578" s="33"/>
      <c r="R578" s="33"/>
      <c r="S578" s="33"/>
      <c r="T578" s="33"/>
      <c r="U578" s="33"/>
      <c r="V578" s="33"/>
      <c r="W578" s="33"/>
      <c r="X578" s="34"/>
      <c r="Y578" s="33"/>
      <c r="Z578" s="34"/>
      <c r="AA578" s="33"/>
    </row>
    <row r="579" ht="15.75" customHeight="1">
      <c r="H579" s="33"/>
      <c r="I579" s="33"/>
      <c r="M579" s="33"/>
      <c r="N579" s="33"/>
      <c r="O579" s="33"/>
      <c r="P579" s="33"/>
      <c r="Q579" s="33"/>
      <c r="R579" s="33"/>
      <c r="S579" s="33"/>
      <c r="T579" s="33"/>
      <c r="U579" s="33"/>
      <c r="V579" s="33"/>
      <c r="W579" s="33"/>
      <c r="X579" s="34"/>
      <c r="Y579" s="33"/>
      <c r="Z579" s="34"/>
      <c r="AA579" s="33"/>
    </row>
    <row r="580" ht="15.75" customHeight="1">
      <c r="H580" s="33"/>
      <c r="I580" s="33"/>
      <c r="M580" s="33"/>
      <c r="N580" s="33"/>
      <c r="O580" s="33"/>
      <c r="P580" s="33"/>
      <c r="Q580" s="33"/>
      <c r="R580" s="33"/>
      <c r="S580" s="33"/>
      <c r="T580" s="33"/>
      <c r="U580" s="33"/>
      <c r="V580" s="33"/>
      <c r="W580" s="33"/>
      <c r="X580" s="34"/>
      <c r="Y580" s="33"/>
      <c r="Z580" s="34"/>
      <c r="AA580" s="33"/>
    </row>
    <row r="581" ht="15.75" customHeight="1">
      <c r="H581" s="33"/>
      <c r="I581" s="33"/>
      <c r="M581" s="33"/>
      <c r="N581" s="33"/>
      <c r="O581" s="33"/>
      <c r="P581" s="33"/>
      <c r="Q581" s="33"/>
      <c r="R581" s="33"/>
      <c r="S581" s="33"/>
      <c r="T581" s="33"/>
      <c r="U581" s="33"/>
      <c r="V581" s="33"/>
      <c r="W581" s="33"/>
      <c r="X581" s="34"/>
      <c r="Y581" s="33"/>
      <c r="Z581" s="34"/>
      <c r="AA581" s="33"/>
    </row>
    <row r="582" ht="15.75" customHeight="1">
      <c r="H582" s="33"/>
      <c r="I582" s="33"/>
      <c r="M582" s="33"/>
      <c r="N582" s="33"/>
      <c r="O582" s="33"/>
      <c r="P582" s="33"/>
      <c r="Q582" s="33"/>
      <c r="R582" s="33"/>
      <c r="S582" s="33"/>
      <c r="T582" s="33"/>
      <c r="U582" s="33"/>
      <c r="V582" s="33"/>
      <c r="W582" s="33"/>
      <c r="X582" s="34"/>
      <c r="Y582" s="33"/>
      <c r="Z582" s="34"/>
      <c r="AA582" s="33"/>
    </row>
    <row r="583" ht="15.75" customHeight="1">
      <c r="H583" s="33"/>
      <c r="I583" s="33"/>
      <c r="M583" s="33"/>
      <c r="N583" s="33"/>
      <c r="O583" s="33"/>
      <c r="P583" s="33"/>
      <c r="Q583" s="33"/>
      <c r="R583" s="33"/>
      <c r="S583" s="33"/>
      <c r="T583" s="33"/>
      <c r="U583" s="33"/>
      <c r="V583" s="33"/>
      <c r="W583" s="33"/>
      <c r="X583" s="34"/>
      <c r="Y583" s="33"/>
      <c r="Z583" s="34"/>
      <c r="AA583" s="33"/>
    </row>
    <row r="584" ht="15.75" customHeight="1">
      <c r="H584" s="33"/>
      <c r="I584" s="33"/>
      <c r="M584" s="33"/>
      <c r="N584" s="33"/>
      <c r="O584" s="33"/>
      <c r="P584" s="33"/>
      <c r="Q584" s="33"/>
      <c r="R584" s="33"/>
      <c r="S584" s="33"/>
      <c r="T584" s="33"/>
      <c r="U584" s="33"/>
      <c r="V584" s="33"/>
      <c r="W584" s="33"/>
      <c r="X584" s="34"/>
      <c r="Y584" s="33"/>
      <c r="Z584" s="34"/>
      <c r="AA584" s="33"/>
    </row>
    <row r="585" ht="15.75" customHeight="1">
      <c r="H585" s="33"/>
      <c r="I585" s="33"/>
      <c r="M585" s="33"/>
      <c r="N585" s="33"/>
      <c r="O585" s="33"/>
      <c r="P585" s="33"/>
      <c r="Q585" s="33"/>
      <c r="R585" s="33"/>
      <c r="S585" s="33"/>
      <c r="T585" s="33"/>
      <c r="U585" s="33"/>
      <c r="V585" s="33"/>
      <c r="W585" s="33"/>
      <c r="X585" s="34"/>
      <c r="Y585" s="33"/>
      <c r="Z585" s="34"/>
      <c r="AA585" s="33"/>
    </row>
    <row r="586" ht="15.75" customHeight="1">
      <c r="H586" s="33"/>
      <c r="I586" s="33"/>
      <c r="M586" s="33"/>
      <c r="N586" s="33"/>
      <c r="O586" s="33"/>
      <c r="P586" s="33"/>
      <c r="Q586" s="33"/>
      <c r="R586" s="33"/>
      <c r="S586" s="33"/>
      <c r="T586" s="33"/>
      <c r="U586" s="33"/>
      <c r="V586" s="33"/>
      <c r="W586" s="33"/>
      <c r="X586" s="34"/>
      <c r="Y586" s="33"/>
      <c r="Z586" s="34"/>
      <c r="AA586" s="33"/>
    </row>
    <row r="587" ht="15.75" customHeight="1">
      <c r="H587" s="33"/>
      <c r="I587" s="33"/>
      <c r="M587" s="33"/>
      <c r="N587" s="33"/>
      <c r="O587" s="33"/>
      <c r="P587" s="33"/>
      <c r="Q587" s="33"/>
      <c r="R587" s="33"/>
      <c r="S587" s="33"/>
      <c r="T587" s="33"/>
      <c r="U587" s="33"/>
      <c r="V587" s="33"/>
      <c r="W587" s="33"/>
      <c r="X587" s="34"/>
      <c r="Y587" s="33"/>
      <c r="Z587" s="34"/>
      <c r="AA587" s="33"/>
    </row>
    <row r="588" ht="15.75" customHeight="1">
      <c r="H588" s="33"/>
      <c r="I588" s="33"/>
      <c r="M588" s="33"/>
      <c r="N588" s="33"/>
      <c r="O588" s="33"/>
      <c r="P588" s="33"/>
      <c r="Q588" s="33"/>
      <c r="R588" s="33"/>
      <c r="S588" s="33"/>
      <c r="T588" s="33"/>
      <c r="U588" s="33"/>
      <c r="V588" s="33"/>
      <c r="W588" s="33"/>
      <c r="X588" s="34"/>
      <c r="Y588" s="33"/>
      <c r="Z588" s="34"/>
      <c r="AA588" s="33"/>
    </row>
    <row r="589" ht="15.75" customHeight="1">
      <c r="H589" s="33"/>
      <c r="I589" s="33"/>
      <c r="M589" s="33"/>
      <c r="N589" s="33"/>
      <c r="O589" s="33"/>
      <c r="P589" s="33"/>
      <c r="Q589" s="33"/>
      <c r="R589" s="33"/>
      <c r="S589" s="33"/>
      <c r="T589" s="33"/>
      <c r="U589" s="33"/>
      <c r="V589" s="33"/>
      <c r="W589" s="33"/>
      <c r="X589" s="34"/>
      <c r="Y589" s="33"/>
      <c r="Z589" s="34"/>
      <c r="AA589" s="33"/>
    </row>
    <row r="590" ht="15.75" customHeight="1">
      <c r="H590" s="33"/>
      <c r="I590" s="33"/>
      <c r="M590" s="33"/>
      <c r="N590" s="33"/>
      <c r="O590" s="33"/>
      <c r="P590" s="33"/>
      <c r="Q590" s="33"/>
      <c r="R590" s="33"/>
      <c r="S590" s="33"/>
      <c r="T590" s="33"/>
      <c r="U590" s="33"/>
      <c r="V590" s="33"/>
      <c r="W590" s="33"/>
      <c r="X590" s="34"/>
      <c r="Y590" s="33"/>
      <c r="Z590" s="34"/>
      <c r="AA590" s="33"/>
    </row>
    <row r="591" ht="15.75" customHeight="1">
      <c r="H591" s="33"/>
      <c r="I591" s="33"/>
      <c r="M591" s="33"/>
      <c r="N591" s="33"/>
      <c r="O591" s="33"/>
      <c r="P591" s="33"/>
      <c r="Q591" s="33"/>
      <c r="R591" s="33"/>
      <c r="S591" s="33"/>
      <c r="T591" s="33"/>
      <c r="U591" s="33"/>
      <c r="V591" s="33"/>
      <c r="W591" s="33"/>
      <c r="X591" s="34"/>
      <c r="Y591" s="33"/>
      <c r="Z591" s="34"/>
      <c r="AA591" s="33"/>
    </row>
    <row r="592" ht="15.75" customHeight="1">
      <c r="H592" s="33"/>
      <c r="I592" s="33"/>
      <c r="M592" s="33"/>
      <c r="N592" s="33"/>
      <c r="O592" s="33"/>
      <c r="P592" s="33"/>
      <c r="Q592" s="33"/>
      <c r="R592" s="33"/>
      <c r="S592" s="33"/>
      <c r="T592" s="33"/>
      <c r="U592" s="33"/>
      <c r="V592" s="33"/>
      <c r="W592" s="33"/>
      <c r="X592" s="34"/>
      <c r="Y592" s="33"/>
      <c r="Z592" s="34"/>
      <c r="AA592" s="33"/>
    </row>
    <row r="593" ht="15.75" customHeight="1">
      <c r="H593" s="33"/>
      <c r="I593" s="33"/>
      <c r="M593" s="33"/>
      <c r="N593" s="33"/>
      <c r="O593" s="33"/>
      <c r="P593" s="33"/>
      <c r="Q593" s="33"/>
      <c r="R593" s="33"/>
      <c r="S593" s="33"/>
      <c r="T593" s="33"/>
      <c r="U593" s="33"/>
      <c r="V593" s="33"/>
      <c r="W593" s="33"/>
      <c r="X593" s="34"/>
      <c r="Y593" s="33"/>
      <c r="Z593" s="34"/>
      <c r="AA593" s="33"/>
    </row>
    <row r="594" ht="15.75" customHeight="1">
      <c r="H594" s="33"/>
      <c r="I594" s="33"/>
      <c r="M594" s="33"/>
      <c r="N594" s="33"/>
      <c r="O594" s="33"/>
      <c r="P594" s="33"/>
      <c r="Q594" s="33"/>
      <c r="R594" s="33"/>
      <c r="S594" s="33"/>
      <c r="T594" s="33"/>
      <c r="U594" s="33"/>
      <c r="V594" s="33"/>
      <c r="W594" s="33"/>
      <c r="X594" s="34"/>
      <c r="Y594" s="33"/>
      <c r="Z594" s="34"/>
      <c r="AA594" s="33"/>
    </row>
    <row r="595" ht="15.75" customHeight="1">
      <c r="H595" s="33"/>
      <c r="I595" s="33"/>
      <c r="M595" s="33"/>
      <c r="N595" s="33"/>
      <c r="O595" s="33"/>
      <c r="P595" s="33"/>
      <c r="Q595" s="33"/>
      <c r="R595" s="33"/>
      <c r="S595" s="33"/>
      <c r="T595" s="33"/>
      <c r="U595" s="33"/>
      <c r="V595" s="33"/>
      <c r="W595" s="33"/>
      <c r="X595" s="34"/>
      <c r="Y595" s="33"/>
      <c r="Z595" s="34"/>
      <c r="AA595" s="33"/>
    </row>
    <row r="596" ht="15.75" customHeight="1">
      <c r="H596" s="33"/>
      <c r="I596" s="33"/>
      <c r="M596" s="33"/>
      <c r="N596" s="33"/>
      <c r="O596" s="33"/>
      <c r="P596" s="33"/>
      <c r="Q596" s="33"/>
      <c r="R596" s="33"/>
      <c r="S596" s="33"/>
      <c r="T596" s="33"/>
      <c r="U596" s="33"/>
      <c r="V596" s="33"/>
      <c r="W596" s="33"/>
      <c r="X596" s="34"/>
      <c r="Y596" s="33"/>
      <c r="Z596" s="34"/>
      <c r="AA596" s="33"/>
    </row>
    <row r="597" ht="15.75" customHeight="1">
      <c r="H597" s="33"/>
      <c r="I597" s="33"/>
      <c r="M597" s="33"/>
      <c r="N597" s="33"/>
      <c r="O597" s="33"/>
      <c r="P597" s="33"/>
      <c r="Q597" s="33"/>
      <c r="R597" s="33"/>
      <c r="S597" s="33"/>
      <c r="T597" s="33"/>
      <c r="U597" s="33"/>
      <c r="V597" s="33"/>
      <c r="W597" s="33"/>
      <c r="X597" s="34"/>
      <c r="Y597" s="33"/>
      <c r="Z597" s="34"/>
      <c r="AA597" s="33"/>
    </row>
    <row r="598" ht="15.75" customHeight="1">
      <c r="H598" s="33"/>
      <c r="I598" s="33"/>
      <c r="M598" s="33"/>
      <c r="N598" s="33"/>
      <c r="O598" s="33"/>
      <c r="P598" s="33"/>
      <c r="Q598" s="33"/>
      <c r="R598" s="33"/>
      <c r="S598" s="33"/>
      <c r="T598" s="33"/>
      <c r="U598" s="33"/>
      <c r="V598" s="33"/>
      <c r="W598" s="33"/>
      <c r="X598" s="34"/>
      <c r="Y598" s="33"/>
      <c r="Z598" s="34"/>
      <c r="AA598" s="33"/>
    </row>
    <row r="599" ht="15.75" customHeight="1">
      <c r="H599" s="33"/>
      <c r="I599" s="33"/>
      <c r="M599" s="33"/>
      <c r="N599" s="33"/>
      <c r="O599" s="33"/>
      <c r="P599" s="33"/>
      <c r="Q599" s="33"/>
      <c r="R599" s="33"/>
      <c r="S599" s="33"/>
      <c r="T599" s="33"/>
      <c r="U599" s="33"/>
      <c r="V599" s="33"/>
      <c r="W599" s="33"/>
      <c r="X599" s="34"/>
      <c r="Y599" s="33"/>
      <c r="Z599" s="34"/>
      <c r="AA599" s="33"/>
    </row>
    <row r="600" ht="15.75" customHeight="1">
      <c r="H600" s="33"/>
      <c r="I600" s="33"/>
      <c r="M600" s="33"/>
      <c r="N600" s="33"/>
      <c r="O600" s="33"/>
      <c r="P600" s="33"/>
      <c r="Q600" s="33"/>
      <c r="R600" s="33"/>
      <c r="S600" s="33"/>
      <c r="T600" s="33"/>
      <c r="U600" s="33"/>
      <c r="V600" s="33"/>
      <c r="W600" s="33"/>
      <c r="X600" s="34"/>
      <c r="Y600" s="33"/>
      <c r="Z600" s="34"/>
      <c r="AA600" s="33"/>
    </row>
    <row r="601" ht="15.75" customHeight="1">
      <c r="H601" s="33"/>
      <c r="I601" s="33"/>
      <c r="M601" s="33"/>
      <c r="N601" s="33"/>
      <c r="O601" s="33"/>
      <c r="P601" s="33"/>
      <c r="Q601" s="33"/>
      <c r="R601" s="33"/>
      <c r="S601" s="33"/>
      <c r="T601" s="33"/>
      <c r="U601" s="33"/>
      <c r="V601" s="33"/>
      <c r="W601" s="33"/>
      <c r="X601" s="34"/>
      <c r="Y601" s="33"/>
      <c r="Z601" s="34"/>
      <c r="AA601" s="33"/>
    </row>
    <row r="602" ht="15.75" customHeight="1">
      <c r="H602" s="33"/>
      <c r="I602" s="33"/>
      <c r="M602" s="33"/>
      <c r="N602" s="33"/>
      <c r="O602" s="33"/>
      <c r="P602" s="33"/>
      <c r="Q602" s="33"/>
      <c r="R602" s="33"/>
      <c r="S602" s="33"/>
      <c r="T602" s="33"/>
      <c r="U602" s="33"/>
      <c r="V602" s="33"/>
      <c r="W602" s="33"/>
      <c r="X602" s="34"/>
      <c r="Y602" s="33"/>
      <c r="Z602" s="34"/>
      <c r="AA602" s="33"/>
    </row>
    <row r="603" ht="15.75" customHeight="1">
      <c r="H603" s="33"/>
      <c r="I603" s="33"/>
      <c r="M603" s="33"/>
      <c r="N603" s="33"/>
      <c r="O603" s="33"/>
      <c r="P603" s="33"/>
      <c r="Q603" s="33"/>
      <c r="R603" s="33"/>
      <c r="S603" s="33"/>
      <c r="T603" s="33"/>
      <c r="U603" s="33"/>
      <c r="V603" s="33"/>
      <c r="W603" s="33"/>
      <c r="X603" s="34"/>
      <c r="Y603" s="33"/>
      <c r="Z603" s="34"/>
      <c r="AA603" s="33"/>
    </row>
    <row r="604" ht="15.75" customHeight="1">
      <c r="H604" s="33"/>
      <c r="I604" s="33"/>
      <c r="M604" s="33"/>
      <c r="N604" s="33"/>
      <c r="O604" s="33"/>
      <c r="P604" s="33"/>
      <c r="Q604" s="33"/>
      <c r="R604" s="33"/>
      <c r="S604" s="33"/>
      <c r="T604" s="33"/>
      <c r="U604" s="33"/>
      <c r="V604" s="33"/>
      <c r="W604" s="33"/>
      <c r="X604" s="34"/>
      <c r="Y604" s="33"/>
      <c r="Z604" s="34"/>
      <c r="AA604" s="33"/>
    </row>
    <row r="605" ht="15.75" customHeight="1">
      <c r="H605" s="33"/>
      <c r="I605" s="33"/>
      <c r="M605" s="33"/>
      <c r="N605" s="33"/>
      <c r="O605" s="33"/>
      <c r="P605" s="33"/>
      <c r="Q605" s="33"/>
      <c r="R605" s="33"/>
      <c r="S605" s="33"/>
      <c r="T605" s="33"/>
      <c r="U605" s="33"/>
      <c r="V605" s="33"/>
      <c r="W605" s="33"/>
      <c r="X605" s="34"/>
      <c r="Y605" s="33"/>
      <c r="Z605" s="34"/>
      <c r="AA605" s="33"/>
    </row>
    <row r="606" ht="15.75" customHeight="1">
      <c r="H606" s="33"/>
      <c r="I606" s="33"/>
      <c r="M606" s="33"/>
      <c r="N606" s="33"/>
      <c r="O606" s="33"/>
      <c r="P606" s="33"/>
      <c r="Q606" s="33"/>
      <c r="R606" s="33"/>
      <c r="S606" s="33"/>
      <c r="T606" s="33"/>
      <c r="U606" s="33"/>
      <c r="V606" s="33"/>
      <c r="W606" s="33"/>
      <c r="X606" s="34"/>
      <c r="Y606" s="33"/>
      <c r="Z606" s="34"/>
      <c r="AA606" s="33"/>
    </row>
    <row r="607" ht="15.75" customHeight="1">
      <c r="H607" s="33"/>
      <c r="I607" s="33"/>
      <c r="M607" s="33"/>
      <c r="N607" s="33"/>
      <c r="O607" s="33"/>
      <c r="P607" s="33"/>
      <c r="Q607" s="33"/>
      <c r="R607" s="33"/>
      <c r="S607" s="33"/>
      <c r="T607" s="33"/>
      <c r="U607" s="33"/>
      <c r="V607" s="33"/>
      <c r="W607" s="33"/>
      <c r="X607" s="34"/>
      <c r="Y607" s="33"/>
      <c r="Z607" s="34"/>
      <c r="AA607" s="33"/>
    </row>
    <row r="608" ht="15.75" customHeight="1">
      <c r="H608" s="33"/>
      <c r="I608" s="33"/>
      <c r="M608" s="33"/>
      <c r="N608" s="33"/>
      <c r="O608" s="33"/>
      <c r="P608" s="33"/>
      <c r="Q608" s="33"/>
      <c r="R608" s="33"/>
      <c r="S608" s="33"/>
      <c r="T608" s="33"/>
      <c r="U608" s="33"/>
      <c r="V608" s="33"/>
      <c r="W608" s="33"/>
      <c r="X608" s="34"/>
      <c r="Y608" s="33"/>
      <c r="Z608" s="34"/>
      <c r="AA608" s="33"/>
    </row>
    <row r="609" ht="15.75" customHeight="1">
      <c r="H609" s="33"/>
      <c r="I609" s="33"/>
      <c r="M609" s="33"/>
      <c r="N609" s="33"/>
      <c r="O609" s="33"/>
      <c r="P609" s="33"/>
      <c r="Q609" s="33"/>
      <c r="R609" s="33"/>
      <c r="S609" s="33"/>
      <c r="T609" s="33"/>
      <c r="U609" s="33"/>
      <c r="V609" s="33"/>
      <c r="W609" s="33"/>
      <c r="X609" s="34"/>
      <c r="Y609" s="33"/>
      <c r="Z609" s="34"/>
      <c r="AA609" s="33"/>
    </row>
    <row r="610" ht="15.75" customHeight="1">
      <c r="H610" s="33"/>
      <c r="I610" s="33"/>
      <c r="M610" s="33"/>
      <c r="N610" s="33"/>
      <c r="O610" s="33"/>
      <c r="P610" s="33"/>
      <c r="Q610" s="33"/>
      <c r="R610" s="33"/>
      <c r="S610" s="33"/>
      <c r="T610" s="33"/>
      <c r="U610" s="33"/>
      <c r="V610" s="33"/>
      <c r="W610" s="33"/>
      <c r="X610" s="34"/>
      <c r="Y610" s="33"/>
      <c r="Z610" s="34"/>
      <c r="AA610" s="33"/>
    </row>
    <row r="611" ht="15.75" customHeight="1">
      <c r="H611" s="33"/>
      <c r="I611" s="33"/>
      <c r="M611" s="33"/>
      <c r="N611" s="33"/>
      <c r="O611" s="33"/>
      <c r="P611" s="33"/>
      <c r="Q611" s="33"/>
      <c r="R611" s="33"/>
      <c r="S611" s="33"/>
      <c r="T611" s="33"/>
      <c r="U611" s="33"/>
      <c r="V611" s="33"/>
      <c r="W611" s="33"/>
      <c r="X611" s="34"/>
      <c r="Y611" s="33"/>
      <c r="Z611" s="34"/>
      <c r="AA611" s="33"/>
    </row>
    <row r="612" ht="15.75" customHeight="1">
      <c r="H612" s="33"/>
      <c r="I612" s="33"/>
      <c r="M612" s="33"/>
      <c r="N612" s="33"/>
      <c r="O612" s="33"/>
      <c r="P612" s="33"/>
      <c r="Q612" s="33"/>
      <c r="R612" s="33"/>
      <c r="S612" s="33"/>
      <c r="T612" s="33"/>
      <c r="U612" s="33"/>
      <c r="V612" s="33"/>
      <c r="W612" s="33"/>
      <c r="X612" s="34"/>
      <c r="Y612" s="33"/>
      <c r="Z612" s="34"/>
      <c r="AA612" s="33"/>
    </row>
    <row r="613" ht="15.75" customHeight="1">
      <c r="H613" s="33"/>
      <c r="I613" s="33"/>
      <c r="M613" s="33"/>
      <c r="N613" s="33"/>
      <c r="O613" s="33"/>
      <c r="P613" s="33"/>
      <c r="Q613" s="33"/>
      <c r="R613" s="33"/>
      <c r="S613" s="33"/>
      <c r="T613" s="33"/>
      <c r="U613" s="33"/>
      <c r="V613" s="33"/>
      <c r="W613" s="33"/>
      <c r="X613" s="34"/>
      <c r="Y613" s="33"/>
      <c r="Z613" s="34"/>
      <c r="AA613" s="33"/>
    </row>
    <row r="614" ht="15.75" customHeight="1">
      <c r="H614" s="33"/>
      <c r="I614" s="33"/>
      <c r="M614" s="33"/>
      <c r="N614" s="33"/>
      <c r="O614" s="33"/>
      <c r="P614" s="33"/>
      <c r="Q614" s="33"/>
      <c r="R614" s="33"/>
      <c r="S614" s="33"/>
      <c r="T614" s="33"/>
      <c r="U614" s="33"/>
      <c r="V614" s="33"/>
      <c r="W614" s="33"/>
      <c r="X614" s="34"/>
      <c r="Y614" s="33"/>
      <c r="Z614" s="34"/>
      <c r="AA614" s="33"/>
    </row>
    <row r="615" ht="15.75" customHeight="1">
      <c r="H615" s="33"/>
      <c r="I615" s="33"/>
      <c r="M615" s="33"/>
      <c r="N615" s="33"/>
      <c r="O615" s="33"/>
      <c r="P615" s="33"/>
      <c r="Q615" s="33"/>
      <c r="R615" s="33"/>
      <c r="S615" s="33"/>
      <c r="T615" s="33"/>
      <c r="U615" s="33"/>
      <c r="V615" s="33"/>
      <c r="W615" s="33"/>
      <c r="X615" s="34"/>
      <c r="Y615" s="33"/>
      <c r="Z615" s="34"/>
      <c r="AA615" s="33"/>
    </row>
    <row r="616" ht="15.75" customHeight="1">
      <c r="H616" s="33"/>
      <c r="I616" s="33"/>
      <c r="M616" s="33"/>
      <c r="N616" s="33"/>
      <c r="O616" s="33"/>
      <c r="P616" s="33"/>
      <c r="Q616" s="33"/>
      <c r="R616" s="33"/>
      <c r="S616" s="33"/>
      <c r="T616" s="33"/>
      <c r="U616" s="33"/>
      <c r="V616" s="33"/>
      <c r="W616" s="33"/>
      <c r="X616" s="34"/>
      <c r="Y616" s="33"/>
      <c r="Z616" s="34"/>
      <c r="AA616" s="33"/>
    </row>
    <row r="617" ht="15.75" customHeight="1">
      <c r="H617" s="33"/>
      <c r="I617" s="33"/>
      <c r="M617" s="33"/>
      <c r="N617" s="33"/>
      <c r="O617" s="33"/>
      <c r="P617" s="33"/>
      <c r="Q617" s="33"/>
      <c r="R617" s="33"/>
      <c r="S617" s="33"/>
      <c r="T617" s="33"/>
      <c r="U617" s="33"/>
      <c r="V617" s="33"/>
      <c r="W617" s="33"/>
      <c r="X617" s="34"/>
      <c r="Y617" s="33"/>
      <c r="Z617" s="34"/>
      <c r="AA617" s="33"/>
    </row>
    <row r="618" ht="15.75" customHeight="1">
      <c r="H618" s="33"/>
      <c r="I618" s="33"/>
      <c r="M618" s="33"/>
      <c r="N618" s="33"/>
      <c r="O618" s="33"/>
      <c r="P618" s="33"/>
      <c r="Q618" s="33"/>
      <c r="R618" s="33"/>
      <c r="S618" s="33"/>
      <c r="T618" s="33"/>
      <c r="U618" s="33"/>
      <c r="V618" s="33"/>
      <c r="W618" s="33"/>
      <c r="X618" s="34"/>
      <c r="Y618" s="33"/>
      <c r="Z618" s="34"/>
      <c r="AA618" s="33"/>
    </row>
    <row r="619" ht="15.75" customHeight="1">
      <c r="H619" s="33"/>
      <c r="I619" s="33"/>
      <c r="M619" s="33"/>
      <c r="N619" s="33"/>
      <c r="O619" s="33"/>
      <c r="P619" s="33"/>
      <c r="Q619" s="33"/>
      <c r="R619" s="33"/>
      <c r="S619" s="33"/>
      <c r="T619" s="33"/>
      <c r="U619" s="33"/>
      <c r="V619" s="33"/>
      <c r="W619" s="33"/>
      <c r="X619" s="34"/>
      <c r="Y619" s="33"/>
      <c r="Z619" s="34"/>
      <c r="AA619" s="33"/>
    </row>
    <row r="620" ht="15.75" customHeight="1">
      <c r="H620" s="33"/>
      <c r="I620" s="33"/>
      <c r="M620" s="33"/>
      <c r="N620" s="33"/>
      <c r="O620" s="33"/>
      <c r="P620" s="33"/>
      <c r="Q620" s="33"/>
      <c r="R620" s="33"/>
      <c r="S620" s="33"/>
      <c r="T620" s="33"/>
      <c r="U620" s="33"/>
      <c r="V620" s="33"/>
      <c r="W620" s="33"/>
      <c r="X620" s="34"/>
      <c r="Y620" s="33"/>
      <c r="Z620" s="34"/>
      <c r="AA620" s="33"/>
    </row>
    <row r="621" ht="15.75" customHeight="1">
      <c r="H621" s="33"/>
      <c r="I621" s="33"/>
      <c r="M621" s="33"/>
      <c r="N621" s="33"/>
      <c r="O621" s="33"/>
      <c r="P621" s="33"/>
      <c r="Q621" s="33"/>
      <c r="R621" s="33"/>
      <c r="S621" s="33"/>
      <c r="T621" s="33"/>
      <c r="U621" s="33"/>
      <c r="V621" s="33"/>
      <c r="W621" s="33"/>
      <c r="X621" s="34"/>
      <c r="Y621" s="33"/>
      <c r="Z621" s="34"/>
      <c r="AA621" s="33"/>
    </row>
    <row r="622" ht="15.75" customHeight="1">
      <c r="H622" s="33"/>
      <c r="I622" s="33"/>
      <c r="M622" s="33"/>
      <c r="N622" s="33"/>
      <c r="O622" s="33"/>
      <c r="P622" s="33"/>
      <c r="Q622" s="33"/>
      <c r="R622" s="33"/>
      <c r="S622" s="33"/>
      <c r="T622" s="33"/>
      <c r="U622" s="33"/>
      <c r="V622" s="33"/>
      <c r="W622" s="33"/>
      <c r="X622" s="34"/>
      <c r="Y622" s="33"/>
      <c r="Z622" s="34"/>
      <c r="AA622" s="33"/>
    </row>
    <row r="623" ht="15.75" customHeight="1">
      <c r="H623" s="33"/>
      <c r="I623" s="33"/>
      <c r="M623" s="33"/>
      <c r="N623" s="33"/>
      <c r="O623" s="33"/>
      <c r="P623" s="33"/>
      <c r="Q623" s="33"/>
      <c r="R623" s="33"/>
      <c r="S623" s="33"/>
      <c r="T623" s="33"/>
      <c r="U623" s="33"/>
      <c r="V623" s="33"/>
      <c r="W623" s="33"/>
      <c r="X623" s="34"/>
      <c r="Y623" s="33"/>
      <c r="Z623" s="34"/>
      <c r="AA623" s="33"/>
    </row>
    <row r="624" ht="15.75" customHeight="1">
      <c r="H624" s="33"/>
      <c r="I624" s="33"/>
      <c r="M624" s="33"/>
      <c r="N624" s="33"/>
      <c r="O624" s="33"/>
      <c r="P624" s="33"/>
      <c r="Q624" s="33"/>
      <c r="R624" s="33"/>
      <c r="S624" s="33"/>
      <c r="T624" s="33"/>
      <c r="U624" s="33"/>
      <c r="V624" s="33"/>
      <c r="W624" s="33"/>
      <c r="X624" s="34"/>
      <c r="Y624" s="33"/>
      <c r="Z624" s="34"/>
      <c r="AA624" s="33"/>
    </row>
    <row r="625" ht="15.75" customHeight="1">
      <c r="H625" s="33"/>
      <c r="I625" s="33"/>
      <c r="M625" s="33"/>
      <c r="N625" s="33"/>
      <c r="O625" s="33"/>
      <c r="P625" s="33"/>
      <c r="Q625" s="33"/>
      <c r="R625" s="33"/>
      <c r="S625" s="33"/>
      <c r="T625" s="33"/>
      <c r="U625" s="33"/>
      <c r="V625" s="33"/>
      <c r="W625" s="33"/>
      <c r="X625" s="34"/>
      <c r="Y625" s="33"/>
      <c r="Z625" s="34"/>
      <c r="AA625" s="33"/>
    </row>
    <row r="626" ht="15.75" customHeight="1">
      <c r="H626" s="33"/>
      <c r="I626" s="33"/>
      <c r="M626" s="33"/>
      <c r="N626" s="33"/>
      <c r="O626" s="33"/>
      <c r="P626" s="33"/>
      <c r="Q626" s="33"/>
      <c r="R626" s="33"/>
      <c r="S626" s="33"/>
      <c r="T626" s="33"/>
      <c r="U626" s="33"/>
      <c r="V626" s="33"/>
      <c r="W626" s="33"/>
      <c r="X626" s="34"/>
      <c r="Y626" s="33"/>
      <c r="Z626" s="34"/>
      <c r="AA626" s="33"/>
    </row>
    <row r="627" ht="15.75" customHeight="1">
      <c r="H627" s="33"/>
      <c r="I627" s="33"/>
      <c r="M627" s="33"/>
      <c r="N627" s="33"/>
      <c r="O627" s="33"/>
      <c r="P627" s="33"/>
      <c r="Q627" s="33"/>
      <c r="R627" s="33"/>
      <c r="S627" s="33"/>
      <c r="T627" s="33"/>
      <c r="U627" s="33"/>
      <c r="V627" s="33"/>
      <c r="W627" s="33"/>
      <c r="X627" s="34"/>
      <c r="Y627" s="33"/>
      <c r="Z627" s="34"/>
      <c r="AA627" s="33"/>
    </row>
    <row r="628" ht="15.75" customHeight="1">
      <c r="H628" s="33"/>
      <c r="I628" s="33"/>
      <c r="M628" s="33"/>
      <c r="N628" s="33"/>
      <c r="O628" s="33"/>
      <c r="P628" s="33"/>
      <c r="Q628" s="33"/>
      <c r="R628" s="33"/>
      <c r="S628" s="33"/>
      <c r="T628" s="33"/>
      <c r="U628" s="33"/>
      <c r="V628" s="33"/>
      <c r="W628" s="33"/>
      <c r="X628" s="34"/>
      <c r="Y628" s="33"/>
      <c r="Z628" s="34"/>
      <c r="AA628" s="33"/>
    </row>
    <row r="629" ht="15.75" customHeight="1">
      <c r="H629" s="33"/>
      <c r="I629" s="33"/>
      <c r="M629" s="33"/>
      <c r="N629" s="33"/>
      <c r="O629" s="33"/>
      <c r="P629" s="33"/>
      <c r="Q629" s="33"/>
      <c r="R629" s="33"/>
      <c r="S629" s="33"/>
      <c r="T629" s="33"/>
      <c r="U629" s="33"/>
      <c r="V629" s="33"/>
      <c r="W629" s="33"/>
      <c r="X629" s="34"/>
      <c r="Y629" s="33"/>
      <c r="Z629" s="34"/>
      <c r="AA629" s="33"/>
    </row>
    <row r="630" ht="15.75" customHeight="1">
      <c r="H630" s="33"/>
      <c r="I630" s="33"/>
      <c r="M630" s="33"/>
      <c r="N630" s="33"/>
      <c r="O630" s="33"/>
      <c r="P630" s="33"/>
      <c r="Q630" s="33"/>
      <c r="R630" s="33"/>
      <c r="S630" s="33"/>
      <c r="T630" s="33"/>
      <c r="U630" s="33"/>
      <c r="V630" s="33"/>
      <c r="W630" s="33"/>
      <c r="X630" s="34"/>
      <c r="Y630" s="33"/>
      <c r="Z630" s="34"/>
      <c r="AA630" s="33"/>
    </row>
    <row r="631" ht="15.75" customHeight="1">
      <c r="H631" s="33"/>
      <c r="I631" s="33"/>
      <c r="M631" s="33"/>
      <c r="N631" s="33"/>
      <c r="O631" s="33"/>
      <c r="P631" s="33"/>
      <c r="Q631" s="33"/>
      <c r="R631" s="33"/>
      <c r="S631" s="33"/>
      <c r="T631" s="33"/>
      <c r="U631" s="33"/>
      <c r="V631" s="33"/>
      <c r="W631" s="33"/>
      <c r="X631" s="34"/>
      <c r="Y631" s="33"/>
      <c r="Z631" s="34"/>
      <c r="AA631" s="33"/>
    </row>
    <row r="632" ht="15.75" customHeight="1">
      <c r="H632" s="33"/>
      <c r="I632" s="33"/>
      <c r="M632" s="33"/>
      <c r="N632" s="33"/>
      <c r="O632" s="33"/>
      <c r="P632" s="33"/>
      <c r="Q632" s="33"/>
      <c r="R632" s="33"/>
      <c r="S632" s="33"/>
      <c r="T632" s="33"/>
      <c r="U632" s="33"/>
      <c r="V632" s="33"/>
      <c r="W632" s="33"/>
      <c r="X632" s="34"/>
      <c r="Y632" s="33"/>
      <c r="Z632" s="34"/>
      <c r="AA632" s="33"/>
    </row>
    <row r="633" ht="15.75" customHeight="1">
      <c r="H633" s="33"/>
      <c r="I633" s="33"/>
      <c r="M633" s="33"/>
      <c r="N633" s="33"/>
      <c r="O633" s="33"/>
      <c r="P633" s="33"/>
      <c r="Q633" s="33"/>
      <c r="R633" s="33"/>
      <c r="S633" s="33"/>
      <c r="T633" s="33"/>
      <c r="U633" s="33"/>
      <c r="V633" s="33"/>
      <c r="W633" s="33"/>
      <c r="X633" s="34"/>
      <c r="Y633" s="33"/>
      <c r="Z633" s="34"/>
      <c r="AA633" s="33"/>
    </row>
    <row r="634" ht="15.75" customHeight="1">
      <c r="H634" s="33"/>
      <c r="I634" s="33"/>
      <c r="M634" s="33"/>
      <c r="N634" s="33"/>
      <c r="O634" s="33"/>
      <c r="P634" s="33"/>
      <c r="Q634" s="33"/>
      <c r="R634" s="33"/>
      <c r="S634" s="33"/>
      <c r="T634" s="33"/>
      <c r="U634" s="33"/>
      <c r="V634" s="33"/>
      <c r="W634" s="33"/>
      <c r="X634" s="34"/>
      <c r="Y634" s="33"/>
      <c r="Z634" s="34"/>
      <c r="AA634" s="33"/>
    </row>
    <row r="635" ht="15.75" customHeight="1">
      <c r="H635" s="33"/>
      <c r="I635" s="33"/>
      <c r="M635" s="33"/>
      <c r="N635" s="33"/>
      <c r="O635" s="33"/>
      <c r="P635" s="33"/>
      <c r="Q635" s="33"/>
      <c r="R635" s="33"/>
      <c r="S635" s="33"/>
      <c r="T635" s="33"/>
      <c r="U635" s="33"/>
      <c r="V635" s="33"/>
      <c r="W635" s="33"/>
      <c r="X635" s="34"/>
      <c r="Y635" s="33"/>
      <c r="Z635" s="34"/>
      <c r="AA635" s="33"/>
    </row>
    <row r="636" ht="15.75" customHeight="1">
      <c r="H636" s="33"/>
      <c r="I636" s="33"/>
      <c r="M636" s="33"/>
      <c r="N636" s="33"/>
      <c r="O636" s="33"/>
      <c r="P636" s="33"/>
      <c r="Q636" s="33"/>
      <c r="R636" s="33"/>
      <c r="S636" s="33"/>
      <c r="T636" s="33"/>
      <c r="U636" s="33"/>
      <c r="V636" s="33"/>
      <c r="W636" s="33"/>
      <c r="X636" s="34"/>
      <c r="Y636" s="33"/>
      <c r="Z636" s="34"/>
      <c r="AA636" s="33"/>
    </row>
    <row r="637" ht="15.75" customHeight="1">
      <c r="H637" s="33"/>
      <c r="I637" s="33"/>
      <c r="M637" s="33"/>
      <c r="N637" s="33"/>
      <c r="O637" s="33"/>
      <c r="P637" s="33"/>
      <c r="Q637" s="33"/>
      <c r="R637" s="33"/>
      <c r="S637" s="33"/>
      <c r="T637" s="33"/>
      <c r="U637" s="33"/>
      <c r="V637" s="33"/>
      <c r="W637" s="33"/>
      <c r="X637" s="34"/>
      <c r="Y637" s="33"/>
      <c r="Z637" s="34"/>
      <c r="AA637" s="33"/>
    </row>
    <row r="638" ht="15.75" customHeight="1">
      <c r="H638" s="33"/>
      <c r="I638" s="33"/>
      <c r="M638" s="33"/>
      <c r="N638" s="33"/>
      <c r="O638" s="33"/>
      <c r="P638" s="33"/>
      <c r="Q638" s="33"/>
      <c r="R638" s="33"/>
      <c r="S638" s="33"/>
      <c r="T638" s="33"/>
      <c r="U638" s="33"/>
      <c r="V638" s="33"/>
      <c r="W638" s="33"/>
      <c r="X638" s="34"/>
      <c r="Y638" s="33"/>
      <c r="Z638" s="34"/>
      <c r="AA638" s="33"/>
    </row>
    <row r="639" ht="15.75" customHeight="1">
      <c r="H639" s="33"/>
      <c r="I639" s="33"/>
      <c r="M639" s="33"/>
      <c r="N639" s="33"/>
      <c r="O639" s="33"/>
      <c r="P639" s="33"/>
      <c r="Q639" s="33"/>
      <c r="R639" s="33"/>
      <c r="S639" s="33"/>
      <c r="T639" s="33"/>
      <c r="U639" s="33"/>
      <c r="V639" s="33"/>
      <c r="W639" s="33"/>
      <c r="X639" s="34"/>
      <c r="Y639" s="33"/>
      <c r="Z639" s="34"/>
      <c r="AA639" s="33"/>
    </row>
    <row r="640" ht="15.75" customHeight="1">
      <c r="H640" s="33"/>
      <c r="I640" s="33"/>
      <c r="M640" s="33"/>
      <c r="N640" s="33"/>
      <c r="O640" s="33"/>
      <c r="P640" s="33"/>
      <c r="Q640" s="33"/>
      <c r="R640" s="33"/>
      <c r="S640" s="33"/>
      <c r="T640" s="33"/>
      <c r="U640" s="33"/>
      <c r="V640" s="33"/>
      <c r="W640" s="33"/>
      <c r="X640" s="34"/>
      <c r="Y640" s="33"/>
      <c r="Z640" s="34"/>
      <c r="AA640" s="33"/>
    </row>
    <row r="641" ht="15.75" customHeight="1">
      <c r="H641" s="33"/>
      <c r="I641" s="33"/>
      <c r="M641" s="33"/>
      <c r="N641" s="33"/>
      <c r="O641" s="33"/>
      <c r="P641" s="33"/>
      <c r="Q641" s="33"/>
      <c r="R641" s="33"/>
      <c r="S641" s="33"/>
      <c r="T641" s="33"/>
      <c r="U641" s="33"/>
      <c r="V641" s="33"/>
      <c r="W641" s="33"/>
      <c r="X641" s="34"/>
      <c r="Y641" s="33"/>
      <c r="Z641" s="34"/>
      <c r="AA641" s="33"/>
    </row>
    <row r="642" ht="15.75" customHeight="1">
      <c r="H642" s="33"/>
      <c r="I642" s="33"/>
      <c r="M642" s="33"/>
      <c r="N642" s="33"/>
      <c r="O642" s="33"/>
      <c r="P642" s="33"/>
      <c r="Q642" s="33"/>
      <c r="R642" s="33"/>
      <c r="S642" s="33"/>
      <c r="T642" s="33"/>
      <c r="U642" s="33"/>
      <c r="V642" s="33"/>
      <c r="W642" s="33"/>
      <c r="X642" s="34"/>
      <c r="Y642" s="33"/>
      <c r="Z642" s="34"/>
      <c r="AA642" s="33"/>
    </row>
    <row r="643" ht="15.75" customHeight="1">
      <c r="H643" s="33"/>
      <c r="I643" s="33"/>
      <c r="M643" s="33"/>
      <c r="N643" s="33"/>
      <c r="O643" s="33"/>
      <c r="P643" s="33"/>
      <c r="Q643" s="33"/>
      <c r="R643" s="33"/>
      <c r="S643" s="33"/>
      <c r="T643" s="33"/>
      <c r="U643" s="33"/>
      <c r="V643" s="33"/>
      <c r="W643" s="33"/>
      <c r="X643" s="34"/>
      <c r="Y643" s="33"/>
      <c r="Z643" s="34"/>
      <c r="AA643" s="33"/>
    </row>
    <row r="644" ht="15.75" customHeight="1">
      <c r="H644" s="33"/>
      <c r="I644" s="33"/>
      <c r="M644" s="33"/>
      <c r="N644" s="33"/>
      <c r="O644" s="33"/>
      <c r="P644" s="33"/>
      <c r="Q644" s="33"/>
      <c r="R644" s="33"/>
      <c r="S644" s="33"/>
      <c r="T644" s="33"/>
      <c r="U644" s="33"/>
      <c r="V644" s="33"/>
      <c r="W644" s="33"/>
      <c r="X644" s="34"/>
      <c r="Y644" s="33"/>
      <c r="Z644" s="34"/>
      <c r="AA644" s="33"/>
    </row>
    <row r="645" ht="15.75" customHeight="1">
      <c r="H645" s="33"/>
      <c r="I645" s="33"/>
      <c r="M645" s="33"/>
      <c r="N645" s="33"/>
      <c r="O645" s="33"/>
      <c r="P645" s="33"/>
      <c r="Q645" s="33"/>
      <c r="R645" s="33"/>
      <c r="S645" s="33"/>
      <c r="T645" s="33"/>
      <c r="U645" s="33"/>
      <c r="V645" s="33"/>
      <c r="W645" s="33"/>
      <c r="X645" s="34"/>
      <c r="Y645" s="33"/>
      <c r="Z645" s="34"/>
      <c r="AA645" s="33"/>
    </row>
    <row r="646" ht="15.75" customHeight="1">
      <c r="H646" s="33"/>
      <c r="I646" s="33"/>
      <c r="M646" s="33"/>
      <c r="N646" s="33"/>
      <c r="O646" s="33"/>
      <c r="P646" s="33"/>
      <c r="Q646" s="33"/>
      <c r="R646" s="33"/>
      <c r="S646" s="33"/>
      <c r="T646" s="33"/>
      <c r="U646" s="33"/>
      <c r="V646" s="33"/>
      <c r="W646" s="33"/>
      <c r="X646" s="34"/>
      <c r="Y646" s="33"/>
      <c r="Z646" s="34"/>
      <c r="AA646" s="33"/>
    </row>
    <row r="647" ht="15.75" customHeight="1">
      <c r="H647" s="33"/>
      <c r="I647" s="33"/>
      <c r="M647" s="33"/>
      <c r="N647" s="33"/>
      <c r="O647" s="33"/>
      <c r="P647" s="33"/>
      <c r="Q647" s="33"/>
      <c r="R647" s="33"/>
      <c r="S647" s="33"/>
      <c r="T647" s="33"/>
      <c r="U647" s="33"/>
      <c r="V647" s="33"/>
      <c r="W647" s="33"/>
      <c r="X647" s="34"/>
      <c r="Y647" s="33"/>
      <c r="Z647" s="34"/>
      <c r="AA647" s="33"/>
    </row>
    <row r="648" ht="15.75" customHeight="1">
      <c r="H648" s="33"/>
      <c r="I648" s="33"/>
      <c r="M648" s="33"/>
      <c r="N648" s="33"/>
      <c r="O648" s="33"/>
      <c r="P648" s="33"/>
      <c r="Q648" s="33"/>
      <c r="R648" s="33"/>
      <c r="S648" s="33"/>
      <c r="T648" s="33"/>
      <c r="U648" s="33"/>
      <c r="V648" s="33"/>
      <c r="W648" s="33"/>
      <c r="X648" s="34"/>
      <c r="Y648" s="33"/>
      <c r="Z648" s="34"/>
      <c r="AA648" s="33"/>
    </row>
    <row r="649" ht="15.75" customHeight="1">
      <c r="H649" s="33"/>
      <c r="I649" s="33"/>
      <c r="M649" s="33"/>
      <c r="N649" s="33"/>
      <c r="O649" s="33"/>
      <c r="P649" s="33"/>
      <c r="Q649" s="33"/>
      <c r="R649" s="33"/>
      <c r="S649" s="33"/>
      <c r="T649" s="33"/>
      <c r="U649" s="33"/>
      <c r="V649" s="33"/>
      <c r="W649" s="33"/>
      <c r="X649" s="34"/>
      <c r="Y649" s="33"/>
      <c r="Z649" s="34"/>
      <c r="AA649" s="33"/>
    </row>
    <row r="650" ht="15.75" customHeight="1">
      <c r="H650" s="33"/>
      <c r="I650" s="33"/>
      <c r="M650" s="33"/>
      <c r="N650" s="33"/>
      <c r="O650" s="33"/>
      <c r="P650" s="33"/>
      <c r="Q650" s="33"/>
      <c r="R650" s="33"/>
      <c r="S650" s="33"/>
      <c r="T650" s="33"/>
      <c r="U650" s="33"/>
      <c r="V650" s="33"/>
      <c r="W650" s="33"/>
      <c r="X650" s="34"/>
      <c r="Y650" s="33"/>
      <c r="Z650" s="34"/>
      <c r="AA650" s="33"/>
    </row>
    <row r="651" ht="15.75" customHeight="1">
      <c r="H651" s="33"/>
      <c r="I651" s="33"/>
      <c r="M651" s="33"/>
      <c r="N651" s="33"/>
      <c r="O651" s="33"/>
      <c r="P651" s="33"/>
      <c r="Q651" s="33"/>
      <c r="R651" s="33"/>
      <c r="S651" s="33"/>
      <c r="T651" s="33"/>
      <c r="U651" s="33"/>
      <c r="V651" s="33"/>
      <c r="W651" s="33"/>
      <c r="X651" s="34"/>
      <c r="Y651" s="33"/>
      <c r="Z651" s="34"/>
      <c r="AA651" s="33"/>
    </row>
    <row r="652" ht="15.75" customHeight="1">
      <c r="H652" s="33"/>
      <c r="I652" s="33"/>
      <c r="M652" s="33"/>
      <c r="N652" s="33"/>
      <c r="O652" s="33"/>
      <c r="P652" s="33"/>
      <c r="Q652" s="33"/>
      <c r="R652" s="33"/>
      <c r="S652" s="33"/>
      <c r="T652" s="33"/>
      <c r="U652" s="33"/>
      <c r="V652" s="33"/>
      <c r="W652" s="33"/>
      <c r="X652" s="34"/>
      <c r="Y652" s="33"/>
      <c r="Z652" s="34"/>
      <c r="AA652" s="33"/>
    </row>
    <row r="653" ht="15.75" customHeight="1">
      <c r="H653" s="33"/>
      <c r="I653" s="33"/>
      <c r="M653" s="33"/>
      <c r="N653" s="33"/>
      <c r="O653" s="33"/>
      <c r="P653" s="33"/>
      <c r="Q653" s="33"/>
      <c r="R653" s="33"/>
      <c r="S653" s="33"/>
      <c r="T653" s="33"/>
      <c r="U653" s="33"/>
      <c r="V653" s="33"/>
      <c r="W653" s="33"/>
      <c r="X653" s="34"/>
      <c r="Y653" s="33"/>
      <c r="Z653" s="34"/>
      <c r="AA653" s="33"/>
    </row>
    <row r="654" ht="15.75" customHeight="1">
      <c r="H654" s="33"/>
      <c r="I654" s="33"/>
      <c r="M654" s="33"/>
      <c r="N654" s="33"/>
      <c r="O654" s="33"/>
      <c r="P654" s="33"/>
      <c r="Q654" s="33"/>
      <c r="R654" s="33"/>
      <c r="S654" s="33"/>
      <c r="T654" s="33"/>
      <c r="U654" s="33"/>
      <c r="V654" s="33"/>
      <c r="W654" s="33"/>
      <c r="X654" s="34"/>
      <c r="Y654" s="33"/>
      <c r="Z654" s="34"/>
      <c r="AA654" s="33"/>
    </row>
    <row r="655" ht="15.75" customHeight="1">
      <c r="H655" s="33"/>
      <c r="I655" s="33"/>
      <c r="M655" s="33"/>
      <c r="N655" s="33"/>
      <c r="O655" s="33"/>
      <c r="P655" s="33"/>
      <c r="Q655" s="33"/>
      <c r="R655" s="33"/>
      <c r="S655" s="33"/>
      <c r="T655" s="33"/>
      <c r="U655" s="33"/>
      <c r="V655" s="33"/>
      <c r="W655" s="33"/>
      <c r="X655" s="34"/>
      <c r="Y655" s="33"/>
      <c r="Z655" s="34"/>
      <c r="AA655" s="33"/>
    </row>
    <row r="656" ht="15.75" customHeight="1">
      <c r="H656" s="33"/>
      <c r="I656" s="33"/>
      <c r="M656" s="33"/>
      <c r="N656" s="33"/>
      <c r="O656" s="33"/>
      <c r="P656" s="33"/>
      <c r="Q656" s="33"/>
      <c r="R656" s="33"/>
      <c r="S656" s="33"/>
      <c r="T656" s="33"/>
      <c r="U656" s="33"/>
      <c r="V656" s="33"/>
      <c r="W656" s="33"/>
      <c r="X656" s="34"/>
      <c r="Y656" s="33"/>
      <c r="Z656" s="34"/>
      <c r="AA656" s="33"/>
    </row>
    <row r="657" ht="15.75" customHeight="1">
      <c r="H657" s="33"/>
      <c r="I657" s="33"/>
      <c r="M657" s="33"/>
      <c r="N657" s="33"/>
      <c r="O657" s="33"/>
      <c r="P657" s="33"/>
      <c r="Q657" s="33"/>
      <c r="R657" s="33"/>
      <c r="S657" s="33"/>
      <c r="T657" s="33"/>
      <c r="U657" s="33"/>
      <c r="V657" s="33"/>
      <c r="W657" s="33"/>
      <c r="X657" s="34"/>
      <c r="Y657" s="33"/>
      <c r="Z657" s="34"/>
      <c r="AA657" s="33"/>
    </row>
    <row r="658" ht="15.75" customHeight="1">
      <c r="H658" s="33"/>
      <c r="I658" s="33"/>
      <c r="M658" s="33"/>
      <c r="N658" s="33"/>
      <c r="O658" s="33"/>
      <c r="P658" s="33"/>
      <c r="Q658" s="33"/>
      <c r="R658" s="33"/>
      <c r="S658" s="33"/>
      <c r="T658" s="33"/>
      <c r="U658" s="33"/>
      <c r="V658" s="33"/>
      <c r="W658" s="33"/>
      <c r="X658" s="34"/>
      <c r="Y658" s="33"/>
      <c r="Z658" s="34"/>
      <c r="AA658" s="33"/>
    </row>
    <row r="659" ht="15.75" customHeight="1">
      <c r="H659" s="33"/>
      <c r="I659" s="33"/>
      <c r="M659" s="33"/>
      <c r="N659" s="33"/>
      <c r="O659" s="33"/>
      <c r="P659" s="33"/>
      <c r="Q659" s="33"/>
      <c r="R659" s="33"/>
      <c r="S659" s="33"/>
      <c r="T659" s="33"/>
      <c r="U659" s="33"/>
      <c r="V659" s="33"/>
      <c r="W659" s="33"/>
      <c r="X659" s="34"/>
      <c r="Y659" s="33"/>
      <c r="Z659" s="34"/>
      <c r="AA659" s="33"/>
    </row>
    <row r="660" ht="15.75" customHeight="1">
      <c r="H660" s="33"/>
      <c r="I660" s="33"/>
      <c r="M660" s="33"/>
      <c r="N660" s="33"/>
      <c r="O660" s="33"/>
      <c r="P660" s="33"/>
      <c r="Q660" s="33"/>
      <c r="R660" s="33"/>
      <c r="S660" s="33"/>
      <c r="T660" s="33"/>
      <c r="U660" s="33"/>
      <c r="V660" s="33"/>
      <c r="W660" s="33"/>
      <c r="X660" s="34"/>
      <c r="Y660" s="33"/>
      <c r="Z660" s="34"/>
      <c r="AA660" s="33"/>
    </row>
    <row r="661" ht="15.75" customHeight="1">
      <c r="H661" s="33"/>
      <c r="I661" s="33"/>
      <c r="M661" s="33"/>
      <c r="N661" s="33"/>
      <c r="O661" s="33"/>
      <c r="P661" s="33"/>
      <c r="Q661" s="33"/>
      <c r="R661" s="33"/>
      <c r="S661" s="33"/>
      <c r="T661" s="33"/>
      <c r="U661" s="33"/>
      <c r="V661" s="33"/>
      <c r="W661" s="33"/>
      <c r="X661" s="34"/>
      <c r="Y661" s="33"/>
      <c r="Z661" s="34"/>
      <c r="AA661" s="33"/>
    </row>
    <row r="662" ht="15.75" customHeight="1">
      <c r="H662" s="33"/>
      <c r="I662" s="33"/>
      <c r="M662" s="33"/>
      <c r="N662" s="33"/>
      <c r="O662" s="33"/>
      <c r="P662" s="33"/>
      <c r="Q662" s="33"/>
      <c r="R662" s="33"/>
      <c r="S662" s="33"/>
      <c r="T662" s="33"/>
      <c r="U662" s="33"/>
      <c r="V662" s="33"/>
      <c r="W662" s="33"/>
      <c r="X662" s="34"/>
      <c r="Y662" s="33"/>
      <c r="Z662" s="34"/>
      <c r="AA662" s="33"/>
    </row>
    <row r="663" ht="15.75" customHeight="1">
      <c r="H663" s="33"/>
      <c r="I663" s="33"/>
      <c r="M663" s="33"/>
      <c r="N663" s="33"/>
      <c r="O663" s="33"/>
      <c r="P663" s="33"/>
      <c r="Q663" s="33"/>
      <c r="R663" s="33"/>
      <c r="S663" s="33"/>
      <c r="T663" s="33"/>
      <c r="U663" s="33"/>
      <c r="V663" s="33"/>
      <c r="W663" s="33"/>
      <c r="X663" s="34"/>
      <c r="Y663" s="33"/>
      <c r="Z663" s="34"/>
      <c r="AA663" s="33"/>
    </row>
    <row r="664" ht="15.75" customHeight="1">
      <c r="H664" s="33"/>
      <c r="I664" s="33"/>
      <c r="M664" s="33"/>
      <c r="N664" s="33"/>
      <c r="O664" s="33"/>
      <c r="P664" s="33"/>
      <c r="Q664" s="33"/>
      <c r="R664" s="33"/>
      <c r="S664" s="33"/>
      <c r="T664" s="33"/>
      <c r="U664" s="33"/>
      <c r="V664" s="33"/>
      <c r="W664" s="33"/>
      <c r="X664" s="34"/>
      <c r="Y664" s="33"/>
      <c r="Z664" s="34"/>
      <c r="AA664" s="33"/>
    </row>
    <row r="665" ht="15.75" customHeight="1">
      <c r="H665" s="33"/>
      <c r="I665" s="33"/>
      <c r="M665" s="33"/>
      <c r="N665" s="33"/>
      <c r="O665" s="33"/>
      <c r="P665" s="33"/>
      <c r="Q665" s="33"/>
      <c r="R665" s="33"/>
      <c r="S665" s="33"/>
      <c r="T665" s="33"/>
      <c r="U665" s="33"/>
      <c r="V665" s="33"/>
      <c r="W665" s="33"/>
      <c r="X665" s="34"/>
      <c r="Y665" s="33"/>
      <c r="Z665" s="34"/>
      <c r="AA665" s="33"/>
    </row>
    <row r="666" ht="15.75" customHeight="1">
      <c r="H666" s="33"/>
      <c r="I666" s="33"/>
      <c r="M666" s="33"/>
      <c r="N666" s="33"/>
      <c r="O666" s="33"/>
      <c r="P666" s="33"/>
      <c r="Q666" s="33"/>
      <c r="R666" s="33"/>
      <c r="S666" s="33"/>
      <c r="T666" s="33"/>
      <c r="U666" s="33"/>
      <c r="V666" s="33"/>
      <c r="W666" s="33"/>
      <c r="X666" s="34"/>
      <c r="Y666" s="33"/>
      <c r="Z666" s="34"/>
      <c r="AA666" s="33"/>
    </row>
    <row r="667" ht="15.75" customHeight="1">
      <c r="H667" s="33"/>
      <c r="I667" s="33"/>
      <c r="M667" s="33"/>
      <c r="N667" s="33"/>
      <c r="O667" s="33"/>
      <c r="P667" s="33"/>
      <c r="Q667" s="33"/>
      <c r="R667" s="33"/>
      <c r="S667" s="33"/>
      <c r="T667" s="33"/>
      <c r="U667" s="33"/>
      <c r="V667" s="33"/>
      <c r="W667" s="33"/>
      <c r="X667" s="34"/>
      <c r="Y667" s="33"/>
      <c r="Z667" s="34"/>
      <c r="AA667" s="33"/>
    </row>
    <row r="668" ht="15.75" customHeight="1">
      <c r="H668" s="33"/>
      <c r="I668" s="33"/>
      <c r="M668" s="33"/>
      <c r="N668" s="33"/>
      <c r="O668" s="33"/>
      <c r="P668" s="33"/>
      <c r="Q668" s="33"/>
      <c r="R668" s="33"/>
      <c r="S668" s="33"/>
      <c r="T668" s="33"/>
      <c r="U668" s="33"/>
      <c r="V668" s="33"/>
      <c r="W668" s="33"/>
      <c r="X668" s="34"/>
      <c r="Y668" s="33"/>
      <c r="Z668" s="34"/>
      <c r="AA668" s="33"/>
    </row>
    <row r="669" ht="15.75" customHeight="1">
      <c r="H669" s="33"/>
      <c r="I669" s="33"/>
      <c r="M669" s="33"/>
      <c r="N669" s="33"/>
      <c r="O669" s="33"/>
      <c r="P669" s="33"/>
      <c r="Q669" s="33"/>
      <c r="R669" s="33"/>
      <c r="S669" s="33"/>
      <c r="T669" s="33"/>
      <c r="U669" s="33"/>
      <c r="V669" s="33"/>
      <c r="W669" s="33"/>
      <c r="X669" s="34"/>
      <c r="Y669" s="33"/>
      <c r="Z669" s="34"/>
      <c r="AA669" s="33"/>
    </row>
    <row r="670" ht="15.75" customHeight="1">
      <c r="H670" s="33"/>
      <c r="I670" s="33"/>
      <c r="M670" s="33"/>
      <c r="N670" s="33"/>
      <c r="O670" s="33"/>
      <c r="P670" s="33"/>
      <c r="Q670" s="33"/>
      <c r="R670" s="33"/>
      <c r="S670" s="33"/>
      <c r="T670" s="33"/>
      <c r="U670" s="33"/>
      <c r="V670" s="33"/>
      <c r="W670" s="33"/>
      <c r="X670" s="34"/>
      <c r="Y670" s="33"/>
      <c r="Z670" s="34"/>
      <c r="AA670" s="33"/>
    </row>
    <row r="671" ht="15.75" customHeight="1">
      <c r="H671" s="33"/>
      <c r="I671" s="33"/>
      <c r="M671" s="33"/>
      <c r="N671" s="33"/>
      <c r="O671" s="33"/>
      <c r="P671" s="33"/>
      <c r="Q671" s="33"/>
      <c r="R671" s="33"/>
      <c r="S671" s="33"/>
      <c r="T671" s="33"/>
      <c r="U671" s="33"/>
      <c r="V671" s="33"/>
      <c r="W671" s="33"/>
      <c r="X671" s="34"/>
      <c r="Y671" s="33"/>
      <c r="Z671" s="34"/>
      <c r="AA671" s="33"/>
    </row>
    <row r="672" ht="15.75" customHeight="1">
      <c r="H672" s="33"/>
      <c r="I672" s="33"/>
      <c r="M672" s="33"/>
      <c r="N672" s="33"/>
      <c r="O672" s="33"/>
      <c r="P672" s="33"/>
      <c r="Q672" s="33"/>
      <c r="R672" s="33"/>
      <c r="S672" s="33"/>
      <c r="T672" s="33"/>
      <c r="U672" s="33"/>
      <c r="V672" s="33"/>
      <c r="W672" s="33"/>
      <c r="X672" s="34"/>
      <c r="Y672" s="33"/>
      <c r="Z672" s="34"/>
      <c r="AA672" s="33"/>
    </row>
    <row r="673" ht="15.75" customHeight="1">
      <c r="H673" s="33"/>
      <c r="I673" s="33"/>
      <c r="M673" s="33"/>
      <c r="N673" s="33"/>
      <c r="O673" s="33"/>
      <c r="P673" s="33"/>
      <c r="Q673" s="33"/>
      <c r="R673" s="33"/>
      <c r="S673" s="33"/>
      <c r="T673" s="33"/>
      <c r="U673" s="33"/>
      <c r="V673" s="33"/>
      <c r="W673" s="33"/>
      <c r="X673" s="34"/>
      <c r="Y673" s="33"/>
      <c r="Z673" s="34"/>
      <c r="AA673" s="33"/>
    </row>
    <row r="674" ht="15.75" customHeight="1">
      <c r="H674" s="33"/>
      <c r="I674" s="33"/>
      <c r="M674" s="33"/>
      <c r="N674" s="33"/>
      <c r="O674" s="33"/>
      <c r="P674" s="33"/>
      <c r="Q674" s="33"/>
      <c r="R674" s="33"/>
      <c r="S674" s="33"/>
      <c r="T674" s="33"/>
      <c r="U674" s="33"/>
      <c r="V674" s="33"/>
      <c r="W674" s="33"/>
      <c r="X674" s="34"/>
      <c r="Y674" s="33"/>
      <c r="Z674" s="34"/>
      <c r="AA674" s="33"/>
    </row>
    <row r="675" ht="15.75" customHeight="1">
      <c r="H675" s="33"/>
      <c r="I675" s="33"/>
      <c r="M675" s="33"/>
      <c r="N675" s="33"/>
      <c r="O675" s="33"/>
      <c r="P675" s="33"/>
      <c r="Q675" s="33"/>
      <c r="R675" s="33"/>
      <c r="S675" s="33"/>
      <c r="T675" s="33"/>
      <c r="U675" s="33"/>
      <c r="V675" s="33"/>
      <c r="W675" s="33"/>
      <c r="X675" s="34"/>
      <c r="Y675" s="33"/>
      <c r="Z675" s="34"/>
      <c r="AA675" s="33"/>
    </row>
    <row r="676" ht="15.75" customHeight="1">
      <c r="H676" s="33"/>
      <c r="I676" s="33"/>
      <c r="M676" s="33"/>
      <c r="N676" s="33"/>
      <c r="O676" s="33"/>
      <c r="P676" s="33"/>
      <c r="Q676" s="33"/>
      <c r="R676" s="33"/>
      <c r="S676" s="33"/>
      <c r="T676" s="33"/>
      <c r="U676" s="33"/>
      <c r="V676" s="33"/>
      <c r="W676" s="33"/>
      <c r="X676" s="34"/>
      <c r="Y676" s="33"/>
      <c r="Z676" s="34"/>
      <c r="AA676" s="33"/>
    </row>
    <row r="677" ht="15.75" customHeight="1">
      <c r="H677" s="33"/>
      <c r="I677" s="33"/>
      <c r="M677" s="33"/>
      <c r="N677" s="33"/>
      <c r="O677" s="33"/>
      <c r="P677" s="33"/>
      <c r="Q677" s="33"/>
      <c r="R677" s="33"/>
      <c r="S677" s="33"/>
      <c r="T677" s="33"/>
      <c r="U677" s="33"/>
      <c r="V677" s="33"/>
      <c r="W677" s="33"/>
      <c r="X677" s="34"/>
      <c r="Y677" s="33"/>
      <c r="Z677" s="34"/>
      <c r="AA677" s="33"/>
    </row>
    <row r="678" ht="15.75" customHeight="1">
      <c r="H678" s="33"/>
      <c r="I678" s="33"/>
      <c r="M678" s="33"/>
      <c r="N678" s="33"/>
      <c r="O678" s="33"/>
      <c r="P678" s="33"/>
      <c r="Q678" s="33"/>
      <c r="R678" s="33"/>
      <c r="S678" s="33"/>
      <c r="T678" s="33"/>
      <c r="U678" s="33"/>
      <c r="V678" s="33"/>
      <c r="W678" s="33"/>
      <c r="X678" s="34"/>
      <c r="Y678" s="33"/>
      <c r="Z678" s="34"/>
      <c r="AA678" s="33"/>
    </row>
    <row r="679" ht="15.75" customHeight="1">
      <c r="H679" s="33"/>
      <c r="I679" s="33"/>
      <c r="M679" s="33"/>
      <c r="N679" s="33"/>
      <c r="O679" s="33"/>
      <c r="P679" s="33"/>
      <c r="Q679" s="33"/>
      <c r="R679" s="33"/>
      <c r="S679" s="33"/>
      <c r="T679" s="33"/>
      <c r="U679" s="33"/>
      <c r="V679" s="33"/>
      <c r="W679" s="33"/>
      <c r="X679" s="34"/>
      <c r="Y679" s="33"/>
      <c r="Z679" s="34"/>
      <c r="AA679" s="33"/>
    </row>
    <row r="680" ht="15.75" customHeight="1">
      <c r="H680" s="33"/>
      <c r="I680" s="33"/>
      <c r="M680" s="33"/>
      <c r="N680" s="33"/>
      <c r="O680" s="33"/>
      <c r="P680" s="33"/>
      <c r="Q680" s="33"/>
      <c r="R680" s="33"/>
      <c r="S680" s="33"/>
      <c r="T680" s="33"/>
      <c r="U680" s="33"/>
      <c r="V680" s="33"/>
      <c r="W680" s="33"/>
      <c r="X680" s="34"/>
      <c r="Y680" s="33"/>
      <c r="Z680" s="34"/>
      <c r="AA680" s="33"/>
    </row>
    <row r="681" ht="15.75" customHeight="1">
      <c r="H681" s="33"/>
      <c r="I681" s="33"/>
      <c r="M681" s="33"/>
      <c r="N681" s="33"/>
      <c r="O681" s="33"/>
      <c r="P681" s="33"/>
      <c r="Q681" s="33"/>
      <c r="R681" s="33"/>
      <c r="S681" s="33"/>
      <c r="T681" s="33"/>
      <c r="U681" s="33"/>
      <c r="V681" s="33"/>
      <c r="W681" s="33"/>
      <c r="X681" s="34"/>
      <c r="Y681" s="33"/>
      <c r="Z681" s="34"/>
      <c r="AA681" s="33"/>
    </row>
    <row r="682" ht="15.75" customHeight="1">
      <c r="H682" s="33"/>
      <c r="I682" s="33"/>
      <c r="M682" s="33"/>
      <c r="N682" s="33"/>
      <c r="O682" s="33"/>
      <c r="P682" s="33"/>
      <c r="Q682" s="33"/>
      <c r="R682" s="33"/>
      <c r="S682" s="33"/>
      <c r="T682" s="33"/>
      <c r="U682" s="33"/>
      <c r="V682" s="33"/>
      <c r="W682" s="33"/>
      <c r="X682" s="34"/>
      <c r="Y682" s="33"/>
      <c r="Z682" s="34"/>
      <c r="AA682" s="33"/>
    </row>
    <row r="683" ht="15.75" customHeight="1">
      <c r="H683" s="33"/>
      <c r="I683" s="33"/>
      <c r="M683" s="33"/>
      <c r="N683" s="33"/>
      <c r="O683" s="33"/>
      <c r="P683" s="33"/>
      <c r="Q683" s="33"/>
      <c r="R683" s="33"/>
      <c r="S683" s="33"/>
      <c r="T683" s="33"/>
      <c r="U683" s="33"/>
      <c r="V683" s="33"/>
      <c r="W683" s="33"/>
      <c r="X683" s="34"/>
      <c r="Y683" s="33"/>
      <c r="Z683" s="34"/>
      <c r="AA683" s="33"/>
    </row>
    <row r="684" ht="15.75" customHeight="1">
      <c r="H684" s="33"/>
      <c r="I684" s="33"/>
      <c r="M684" s="33"/>
      <c r="N684" s="33"/>
      <c r="O684" s="33"/>
      <c r="P684" s="33"/>
      <c r="Q684" s="33"/>
      <c r="R684" s="33"/>
      <c r="S684" s="33"/>
      <c r="T684" s="33"/>
      <c r="U684" s="33"/>
      <c r="V684" s="33"/>
      <c r="W684" s="33"/>
      <c r="X684" s="34"/>
      <c r="Y684" s="33"/>
      <c r="Z684" s="34"/>
      <c r="AA684" s="33"/>
    </row>
    <row r="685" ht="15.75" customHeight="1">
      <c r="H685" s="33"/>
      <c r="I685" s="33"/>
      <c r="M685" s="33"/>
      <c r="N685" s="33"/>
      <c r="O685" s="33"/>
      <c r="P685" s="33"/>
      <c r="Q685" s="33"/>
      <c r="R685" s="33"/>
      <c r="S685" s="33"/>
      <c r="T685" s="33"/>
      <c r="U685" s="33"/>
      <c r="V685" s="33"/>
      <c r="W685" s="33"/>
      <c r="X685" s="34"/>
      <c r="Y685" s="33"/>
      <c r="Z685" s="34"/>
      <c r="AA685" s="33"/>
    </row>
    <row r="686" ht="15.75" customHeight="1">
      <c r="H686" s="33"/>
      <c r="I686" s="33"/>
      <c r="M686" s="33"/>
      <c r="N686" s="33"/>
      <c r="O686" s="33"/>
      <c r="P686" s="33"/>
      <c r="Q686" s="33"/>
      <c r="R686" s="33"/>
      <c r="S686" s="33"/>
      <c r="T686" s="33"/>
      <c r="U686" s="33"/>
      <c r="V686" s="33"/>
      <c r="W686" s="33"/>
      <c r="X686" s="34"/>
      <c r="Y686" s="33"/>
      <c r="Z686" s="34"/>
      <c r="AA686" s="33"/>
    </row>
    <row r="687" ht="15.75" customHeight="1">
      <c r="H687" s="33"/>
      <c r="I687" s="33"/>
      <c r="M687" s="33"/>
      <c r="N687" s="33"/>
      <c r="O687" s="33"/>
      <c r="P687" s="33"/>
      <c r="Q687" s="33"/>
      <c r="R687" s="33"/>
      <c r="S687" s="33"/>
      <c r="T687" s="33"/>
      <c r="U687" s="33"/>
      <c r="V687" s="33"/>
      <c r="W687" s="33"/>
      <c r="X687" s="34"/>
      <c r="Y687" s="33"/>
      <c r="Z687" s="34"/>
      <c r="AA687" s="33"/>
    </row>
    <row r="688" ht="15.75" customHeight="1">
      <c r="H688" s="33"/>
      <c r="I688" s="33"/>
      <c r="M688" s="33"/>
      <c r="N688" s="33"/>
      <c r="O688" s="33"/>
      <c r="P688" s="33"/>
      <c r="Q688" s="33"/>
      <c r="R688" s="33"/>
      <c r="S688" s="33"/>
      <c r="T688" s="33"/>
      <c r="U688" s="33"/>
      <c r="V688" s="33"/>
      <c r="W688" s="33"/>
      <c r="X688" s="34"/>
      <c r="Y688" s="33"/>
      <c r="Z688" s="34"/>
      <c r="AA688" s="33"/>
    </row>
    <row r="689" ht="15.75" customHeight="1">
      <c r="H689" s="33"/>
      <c r="I689" s="33"/>
      <c r="M689" s="33"/>
      <c r="N689" s="33"/>
      <c r="O689" s="33"/>
      <c r="P689" s="33"/>
      <c r="Q689" s="33"/>
      <c r="R689" s="33"/>
      <c r="S689" s="33"/>
      <c r="T689" s="33"/>
      <c r="U689" s="33"/>
      <c r="V689" s="33"/>
      <c r="W689" s="33"/>
      <c r="X689" s="34"/>
      <c r="Y689" s="33"/>
      <c r="Z689" s="34"/>
      <c r="AA689" s="33"/>
    </row>
    <row r="690" ht="15.75" customHeight="1">
      <c r="H690" s="33"/>
      <c r="I690" s="33"/>
      <c r="M690" s="33"/>
      <c r="N690" s="33"/>
      <c r="O690" s="33"/>
      <c r="P690" s="33"/>
      <c r="Q690" s="33"/>
      <c r="R690" s="33"/>
      <c r="S690" s="33"/>
      <c r="T690" s="33"/>
      <c r="U690" s="33"/>
      <c r="V690" s="33"/>
      <c r="W690" s="33"/>
      <c r="X690" s="34"/>
      <c r="Y690" s="33"/>
      <c r="Z690" s="34"/>
      <c r="AA690" s="33"/>
    </row>
    <row r="691" ht="15.75" customHeight="1">
      <c r="H691" s="33"/>
      <c r="I691" s="33"/>
      <c r="M691" s="33"/>
      <c r="N691" s="33"/>
      <c r="O691" s="33"/>
      <c r="P691" s="33"/>
      <c r="Q691" s="33"/>
      <c r="R691" s="33"/>
      <c r="S691" s="33"/>
      <c r="T691" s="33"/>
      <c r="U691" s="33"/>
      <c r="V691" s="33"/>
      <c r="W691" s="33"/>
      <c r="X691" s="34"/>
      <c r="Y691" s="33"/>
      <c r="Z691" s="34"/>
      <c r="AA691" s="33"/>
    </row>
    <row r="692" ht="15.75" customHeight="1">
      <c r="H692" s="33"/>
      <c r="I692" s="33"/>
      <c r="M692" s="33"/>
      <c r="N692" s="33"/>
      <c r="O692" s="33"/>
      <c r="P692" s="33"/>
      <c r="Q692" s="33"/>
      <c r="R692" s="33"/>
      <c r="S692" s="33"/>
      <c r="T692" s="33"/>
      <c r="U692" s="33"/>
      <c r="V692" s="33"/>
      <c r="W692" s="33"/>
      <c r="X692" s="34"/>
      <c r="Y692" s="33"/>
      <c r="Z692" s="34"/>
      <c r="AA692" s="33"/>
    </row>
    <row r="693" ht="15.75" customHeight="1">
      <c r="H693" s="33"/>
      <c r="I693" s="33"/>
      <c r="M693" s="33"/>
      <c r="N693" s="33"/>
      <c r="O693" s="33"/>
      <c r="P693" s="33"/>
      <c r="Q693" s="33"/>
      <c r="R693" s="33"/>
      <c r="S693" s="33"/>
      <c r="T693" s="33"/>
      <c r="U693" s="33"/>
      <c r="V693" s="33"/>
      <c r="W693" s="33"/>
      <c r="X693" s="34"/>
      <c r="Y693" s="33"/>
      <c r="Z693" s="34"/>
      <c r="AA693" s="33"/>
    </row>
    <row r="694" ht="15.75" customHeight="1">
      <c r="H694" s="33"/>
      <c r="I694" s="33"/>
      <c r="M694" s="33"/>
      <c r="N694" s="33"/>
      <c r="O694" s="33"/>
      <c r="P694" s="33"/>
      <c r="Q694" s="33"/>
      <c r="R694" s="33"/>
      <c r="S694" s="33"/>
      <c r="T694" s="33"/>
      <c r="U694" s="33"/>
      <c r="V694" s="33"/>
      <c r="W694" s="33"/>
      <c r="X694" s="34"/>
      <c r="Y694" s="33"/>
      <c r="Z694" s="34"/>
      <c r="AA694" s="33"/>
    </row>
    <row r="695" ht="15.75" customHeight="1">
      <c r="H695" s="33"/>
      <c r="I695" s="33"/>
      <c r="M695" s="33"/>
      <c r="N695" s="33"/>
      <c r="O695" s="33"/>
      <c r="P695" s="33"/>
      <c r="Q695" s="33"/>
      <c r="R695" s="33"/>
      <c r="S695" s="33"/>
      <c r="T695" s="33"/>
      <c r="U695" s="33"/>
      <c r="V695" s="33"/>
      <c r="W695" s="33"/>
      <c r="X695" s="34"/>
      <c r="Y695" s="33"/>
      <c r="Z695" s="34"/>
      <c r="AA695" s="33"/>
    </row>
    <row r="696" ht="15.75" customHeight="1">
      <c r="H696" s="33"/>
      <c r="I696" s="33"/>
      <c r="M696" s="33"/>
      <c r="N696" s="33"/>
      <c r="O696" s="33"/>
      <c r="P696" s="33"/>
      <c r="Q696" s="33"/>
      <c r="R696" s="33"/>
      <c r="S696" s="33"/>
      <c r="T696" s="33"/>
      <c r="U696" s="33"/>
      <c r="V696" s="33"/>
      <c r="W696" s="33"/>
      <c r="X696" s="34"/>
      <c r="Y696" s="33"/>
      <c r="Z696" s="34"/>
      <c r="AA696" s="33"/>
    </row>
    <row r="697" ht="15.75" customHeight="1">
      <c r="H697" s="33"/>
      <c r="I697" s="33"/>
      <c r="M697" s="33"/>
      <c r="N697" s="33"/>
      <c r="O697" s="33"/>
      <c r="P697" s="33"/>
      <c r="Q697" s="33"/>
      <c r="R697" s="33"/>
      <c r="S697" s="33"/>
      <c r="T697" s="33"/>
      <c r="U697" s="33"/>
      <c r="V697" s="33"/>
      <c r="W697" s="33"/>
      <c r="X697" s="34"/>
      <c r="Y697" s="33"/>
      <c r="Z697" s="34"/>
      <c r="AA697" s="33"/>
    </row>
    <row r="698" ht="15.75" customHeight="1">
      <c r="H698" s="33"/>
      <c r="I698" s="33"/>
      <c r="M698" s="33"/>
      <c r="N698" s="33"/>
      <c r="O698" s="33"/>
      <c r="P698" s="33"/>
      <c r="Q698" s="33"/>
      <c r="R698" s="33"/>
      <c r="S698" s="33"/>
      <c r="T698" s="33"/>
      <c r="U698" s="33"/>
      <c r="V698" s="33"/>
      <c r="W698" s="33"/>
      <c r="X698" s="34"/>
      <c r="Y698" s="33"/>
      <c r="Z698" s="34"/>
      <c r="AA698" s="33"/>
    </row>
    <row r="699" ht="15.75" customHeight="1">
      <c r="H699" s="33"/>
      <c r="I699" s="33"/>
      <c r="M699" s="33"/>
      <c r="N699" s="33"/>
      <c r="O699" s="33"/>
      <c r="P699" s="33"/>
      <c r="Q699" s="33"/>
      <c r="R699" s="33"/>
      <c r="S699" s="33"/>
      <c r="T699" s="33"/>
      <c r="U699" s="33"/>
      <c r="V699" s="33"/>
      <c r="W699" s="33"/>
      <c r="X699" s="34"/>
      <c r="Y699" s="33"/>
      <c r="Z699" s="34"/>
      <c r="AA699" s="33"/>
    </row>
    <row r="700" ht="15.75" customHeight="1">
      <c r="H700" s="33"/>
      <c r="I700" s="33"/>
      <c r="M700" s="33"/>
      <c r="N700" s="33"/>
      <c r="O700" s="33"/>
      <c r="P700" s="33"/>
      <c r="Q700" s="33"/>
      <c r="R700" s="33"/>
      <c r="S700" s="33"/>
      <c r="T700" s="33"/>
      <c r="U700" s="33"/>
      <c r="V700" s="33"/>
      <c r="W700" s="33"/>
      <c r="X700" s="34"/>
      <c r="Y700" s="33"/>
      <c r="Z700" s="34"/>
      <c r="AA700" s="33"/>
    </row>
    <row r="701" ht="15.75" customHeight="1">
      <c r="H701" s="33"/>
      <c r="I701" s="33"/>
      <c r="M701" s="33"/>
      <c r="N701" s="33"/>
      <c r="O701" s="33"/>
      <c r="P701" s="33"/>
      <c r="Q701" s="33"/>
      <c r="R701" s="33"/>
      <c r="S701" s="33"/>
      <c r="T701" s="33"/>
      <c r="U701" s="33"/>
      <c r="V701" s="33"/>
      <c r="W701" s="33"/>
      <c r="X701" s="34"/>
      <c r="Y701" s="33"/>
      <c r="Z701" s="34"/>
      <c r="AA701" s="33"/>
    </row>
    <row r="702" ht="15.75" customHeight="1">
      <c r="H702" s="33"/>
      <c r="I702" s="33"/>
      <c r="M702" s="33"/>
      <c r="N702" s="33"/>
      <c r="O702" s="33"/>
      <c r="P702" s="33"/>
      <c r="Q702" s="33"/>
      <c r="R702" s="33"/>
      <c r="S702" s="33"/>
      <c r="T702" s="33"/>
      <c r="U702" s="33"/>
      <c r="V702" s="33"/>
      <c r="W702" s="33"/>
      <c r="X702" s="34"/>
      <c r="Y702" s="33"/>
      <c r="Z702" s="34"/>
      <c r="AA702" s="33"/>
    </row>
    <row r="703" ht="15.75" customHeight="1">
      <c r="H703" s="33"/>
      <c r="I703" s="33"/>
      <c r="M703" s="33"/>
      <c r="N703" s="33"/>
      <c r="O703" s="33"/>
      <c r="P703" s="33"/>
      <c r="Q703" s="33"/>
      <c r="R703" s="33"/>
      <c r="S703" s="33"/>
      <c r="T703" s="33"/>
      <c r="U703" s="33"/>
      <c r="V703" s="33"/>
      <c r="W703" s="33"/>
      <c r="X703" s="34"/>
      <c r="Y703" s="33"/>
      <c r="Z703" s="34"/>
      <c r="AA703" s="33"/>
    </row>
    <row r="704" ht="15.75" customHeight="1">
      <c r="H704" s="33"/>
      <c r="I704" s="33"/>
      <c r="M704" s="33"/>
      <c r="N704" s="33"/>
      <c r="O704" s="33"/>
      <c r="P704" s="33"/>
      <c r="Q704" s="33"/>
      <c r="R704" s="33"/>
      <c r="S704" s="33"/>
      <c r="T704" s="33"/>
      <c r="U704" s="33"/>
      <c r="V704" s="33"/>
      <c r="W704" s="33"/>
      <c r="X704" s="34"/>
      <c r="Y704" s="33"/>
      <c r="Z704" s="34"/>
      <c r="AA704" s="33"/>
    </row>
    <row r="705" ht="15.75" customHeight="1">
      <c r="H705" s="33"/>
      <c r="I705" s="33"/>
      <c r="M705" s="33"/>
      <c r="N705" s="33"/>
      <c r="O705" s="33"/>
      <c r="P705" s="33"/>
      <c r="Q705" s="33"/>
      <c r="R705" s="33"/>
      <c r="S705" s="33"/>
      <c r="T705" s="33"/>
      <c r="U705" s="33"/>
      <c r="V705" s="33"/>
      <c r="W705" s="33"/>
      <c r="X705" s="34"/>
      <c r="Y705" s="33"/>
      <c r="Z705" s="34"/>
      <c r="AA705" s="33"/>
    </row>
    <row r="706" ht="15.75" customHeight="1">
      <c r="H706" s="33"/>
      <c r="I706" s="33"/>
      <c r="M706" s="33"/>
      <c r="N706" s="33"/>
      <c r="O706" s="33"/>
      <c r="P706" s="33"/>
      <c r="Q706" s="33"/>
      <c r="R706" s="33"/>
      <c r="S706" s="33"/>
      <c r="T706" s="33"/>
      <c r="U706" s="33"/>
      <c r="V706" s="33"/>
      <c r="W706" s="33"/>
      <c r="X706" s="34"/>
      <c r="Y706" s="33"/>
      <c r="Z706" s="34"/>
      <c r="AA706" s="33"/>
    </row>
    <row r="707" ht="15.75" customHeight="1">
      <c r="H707" s="33"/>
      <c r="I707" s="33"/>
      <c r="M707" s="33"/>
      <c r="N707" s="33"/>
      <c r="O707" s="33"/>
      <c r="P707" s="33"/>
      <c r="Q707" s="33"/>
      <c r="R707" s="33"/>
      <c r="S707" s="33"/>
      <c r="T707" s="33"/>
      <c r="U707" s="33"/>
      <c r="V707" s="33"/>
      <c r="W707" s="33"/>
      <c r="X707" s="34"/>
      <c r="Y707" s="33"/>
      <c r="Z707" s="34"/>
      <c r="AA707" s="33"/>
    </row>
    <row r="708" ht="15.75" customHeight="1">
      <c r="H708" s="33"/>
      <c r="I708" s="33"/>
      <c r="M708" s="33"/>
      <c r="N708" s="33"/>
      <c r="O708" s="33"/>
      <c r="P708" s="33"/>
      <c r="Q708" s="33"/>
      <c r="R708" s="33"/>
      <c r="S708" s="33"/>
      <c r="T708" s="33"/>
      <c r="U708" s="33"/>
      <c r="V708" s="33"/>
      <c r="W708" s="33"/>
      <c r="X708" s="34"/>
      <c r="Y708" s="33"/>
      <c r="Z708" s="34"/>
      <c r="AA708" s="33"/>
    </row>
    <row r="709" ht="15.75" customHeight="1">
      <c r="H709" s="33"/>
      <c r="I709" s="33"/>
      <c r="M709" s="33"/>
      <c r="N709" s="33"/>
      <c r="O709" s="33"/>
      <c r="P709" s="33"/>
      <c r="Q709" s="33"/>
      <c r="R709" s="33"/>
      <c r="S709" s="33"/>
      <c r="T709" s="33"/>
      <c r="U709" s="33"/>
      <c r="V709" s="33"/>
      <c r="W709" s="33"/>
      <c r="X709" s="34"/>
      <c r="Y709" s="33"/>
      <c r="Z709" s="34"/>
      <c r="AA709" s="33"/>
    </row>
    <row r="710" ht="15.75" customHeight="1">
      <c r="H710" s="33"/>
      <c r="I710" s="33"/>
      <c r="M710" s="33"/>
      <c r="N710" s="33"/>
      <c r="O710" s="33"/>
      <c r="P710" s="33"/>
      <c r="Q710" s="33"/>
      <c r="R710" s="33"/>
      <c r="S710" s="33"/>
      <c r="T710" s="33"/>
      <c r="U710" s="33"/>
      <c r="V710" s="33"/>
      <c r="W710" s="33"/>
      <c r="X710" s="34"/>
      <c r="Y710" s="33"/>
      <c r="Z710" s="34"/>
      <c r="AA710" s="33"/>
    </row>
    <row r="711" ht="15.75" customHeight="1">
      <c r="H711" s="33"/>
      <c r="I711" s="33"/>
      <c r="M711" s="33"/>
      <c r="N711" s="33"/>
      <c r="O711" s="33"/>
      <c r="P711" s="33"/>
      <c r="Q711" s="33"/>
      <c r="R711" s="33"/>
      <c r="S711" s="33"/>
      <c r="T711" s="33"/>
      <c r="U711" s="33"/>
      <c r="V711" s="33"/>
      <c r="W711" s="33"/>
      <c r="X711" s="34"/>
      <c r="Y711" s="33"/>
      <c r="Z711" s="34"/>
      <c r="AA711" s="33"/>
    </row>
    <row r="712" ht="15.75" customHeight="1">
      <c r="H712" s="33"/>
      <c r="I712" s="33"/>
      <c r="M712" s="33"/>
      <c r="N712" s="33"/>
      <c r="O712" s="33"/>
      <c r="P712" s="33"/>
      <c r="Q712" s="33"/>
      <c r="R712" s="33"/>
      <c r="S712" s="33"/>
      <c r="T712" s="33"/>
      <c r="U712" s="33"/>
      <c r="V712" s="33"/>
      <c r="W712" s="33"/>
      <c r="X712" s="34"/>
      <c r="Y712" s="33"/>
      <c r="Z712" s="34"/>
      <c r="AA712" s="33"/>
    </row>
    <row r="713" ht="15.75" customHeight="1">
      <c r="H713" s="33"/>
      <c r="I713" s="33"/>
      <c r="M713" s="33"/>
      <c r="N713" s="33"/>
      <c r="O713" s="33"/>
      <c r="P713" s="33"/>
      <c r="Q713" s="33"/>
      <c r="R713" s="33"/>
      <c r="S713" s="33"/>
      <c r="T713" s="33"/>
      <c r="U713" s="33"/>
      <c r="V713" s="33"/>
      <c r="W713" s="33"/>
      <c r="X713" s="34"/>
      <c r="Y713" s="33"/>
      <c r="Z713" s="34"/>
      <c r="AA713" s="33"/>
    </row>
    <row r="714" ht="15.75" customHeight="1">
      <c r="H714" s="33"/>
      <c r="I714" s="33"/>
      <c r="M714" s="33"/>
      <c r="N714" s="33"/>
      <c r="O714" s="33"/>
      <c r="P714" s="33"/>
      <c r="Q714" s="33"/>
      <c r="R714" s="33"/>
      <c r="S714" s="33"/>
      <c r="T714" s="33"/>
      <c r="U714" s="33"/>
      <c r="V714" s="33"/>
      <c r="W714" s="33"/>
      <c r="X714" s="34"/>
      <c r="Y714" s="33"/>
      <c r="Z714" s="34"/>
      <c r="AA714" s="33"/>
    </row>
    <row r="715" ht="15.75" customHeight="1">
      <c r="H715" s="33"/>
      <c r="I715" s="33"/>
      <c r="M715" s="33"/>
      <c r="N715" s="33"/>
      <c r="O715" s="33"/>
      <c r="P715" s="33"/>
      <c r="Q715" s="33"/>
      <c r="R715" s="33"/>
      <c r="S715" s="33"/>
      <c r="T715" s="33"/>
      <c r="U715" s="33"/>
      <c r="V715" s="33"/>
      <c r="W715" s="33"/>
      <c r="X715" s="34"/>
      <c r="Y715" s="33"/>
      <c r="Z715" s="34"/>
      <c r="AA715" s="33"/>
    </row>
    <row r="716" ht="15.75" customHeight="1">
      <c r="H716" s="33"/>
      <c r="I716" s="33"/>
      <c r="M716" s="33"/>
      <c r="N716" s="33"/>
      <c r="O716" s="33"/>
      <c r="P716" s="33"/>
      <c r="Q716" s="33"/>
      <c r="R716" s="33"/>
      <c r="S716" s="33"/>
      <c r="T716" s="33"/>
      <c r="U716" s="33"/>
      <c r="V716" s="33"/>
      <c r="W716" s="33"/>
      <c r="X716" s="34"/>
      <c r="Y716" s="33"/>
      <c r="Z716" s="34"/>
      <c r="AA716" s="33"/>
    </row>
    <row r="717" ht="15.75" customHeight="1">
      <c r="H717" s="33"/>
      <c r="I717" s="33"/>
      <c r="M717" s="33"/>
      <c r="N717" s="33"/>
      <c r="O717" s="33"/>
      <c r="P717" s="33"/>
      <c r="Q717" s="33"/>
      <c r="R717" s="33"/>
      <c r="S717" s="33"/>
      <c r="T717" s="33"/>
      <c r="U717" s="33"/>
      <c r="V717" s="33"/>
      <c r="W717" s="33"/>
      <c r="X717" s="34"/>
      <c r="Y717" s="33"/>
      <c r="Z717" s="34"/>
      <c r="AA717" s="33"/>
    </row>
    <row r="718" ht="15.75" customHeight="1">
      <c r="H718" s="33"/>
      <c r="I718" s="33"/>
      <c r="M718" s="33"/>
      <c r="N718" s="33"/>
      <c r="O718" s="33"/>
      <c r="P718" s="33"/>
      <c r="Q718" s="33"/>
      <c r="R718" s="33"/>
      <c r="S718" s="33"/>
      <c r="T718" s="33"/>
      <c r="U718" s="33"/>
      <c r="V718" s="33"/>
      <c r="W718" s="33"/>
      <c r="X718" s="34"/>
      <c r="Y718" s="33"/>
      <c r="Z718" s="34"/>
      <c r="AA718" s="33"/>
    </row>
    <row r="719" ht="15.75" customHeight="1">
      <c r="H719" s="33"/>
      <c r="I719" s="33"/>
      <c r="M719" s="33"/>
      <c r="N719" s="33"/>
      <c r="O719" s="33"/>
      <c r="P719" s="33"/>
      <c r="Q719" s="33"/>
      <c r="R719" s="33"/>
      <c r="S719" s="33"/>
      <c r="T719" s="33"/>
      <c r="U719" s="33"/>
      <c r="V719" s="33"/>
      <c r="W719" s="33"/>
      <c r="X719" s="34"/>
      <c r="Y719" s="33"/>
      <c r="Z719" s="34"/>
      <c r="AA719" s="33"/>
    </row>
    <row r="720" ht="15.75" customHeight="1">
      <c r="H720" s="33"/>
      <c r="I720" s="33"/>
      <c r="M720" s="33"/>
      <c r="N720" s="33"/>
      <c r="O720" s="33"/>
      <c r="P720" s="33"/>
      <c r="Q720" s="33"/>
      <c r="R720" s="33"/>
      <c r="S720" s="33"/>
      <c r="T720" s="33"/>
      <c r="U720" s="33"/>
      <c r="V720" s="33"/>
      <c r="W720" s="33"/>
      <c r="X720" s="34"/>
      <c r="Y720" s="33"/>
      <c r="Z720" s="34"/>
      <c r="AA720" s="33"/>
    </row>
    <row r="721" ht="15.75" customHeight="1">
      <c r="H721" s="33"/>
      <c r="I721" s="33"/>
      <c r="M721" s="33"/>
      <c r="N721" s="33"/>
      <c r="O721" s="33"/>
      <c r="P721" s="33"/>
      <c r="Q721" s="33"/>
      <c r="R721" s="33"/>
      <c r="S721" s="33"/>
      <c r="T721" s="33"/>
      <c r="U721" s="33"/>
      <c r="V721" s="33"/>
      <c r="W721" s="33"/>
      <c r="X721" s="34"/>
      <c r="Y721" s="33"/>
      <c r="Z721" s="34"/>
      <c r="AA721" s="33"/>
    </row>
    <row r="722" ht="15.75" customHeight="1">
      <c r="H722" s="33"/>
      <c r="I722" s="33"/>
      <c r="M722" s="33"/>
      <c r="N722" s="33"/>
      <c r="O722" s="33"/>
      <c r="P722" s="33"/>
      <c r="Q722" s="33"/>
      <c r="R722" s="33"/>
      <c r="S722" s="33"/>
      <c r="T722" s="33"/>
      <c r="U722" s="33"/>
      <c r="V722" s="33"/>
      <c r="W722" s="33"/>
      <c r="X722" s="34"/>
      <c r="Y722" s="33"/>
      <c r="Z722" s="34"/>
      <c r="AA722" s="33"/>
    </row>
    <row r="723" ht="15.75" customHeight="1">
      <c r="H723" s="33"/>
      <c r="I723" s="33"/>
      <c r="M723" s="33"/>
      <c r="N723" s="33"/>
      <c r="O723" s="33"/>
      <c r="P723" s="33"/>
      <c r="Q723" s="33"/>
      <c r="R723" s="33"/>
      <c r="S723" s="33"/>
      <c r="T723" s="33"/>
      <c r="U723" s="33"/>
      <c r="V723" s="33"/>
      <c r="W723" s="33"/>
      <c r="X723" s="34"/>
      <c r="Y723" s="33"/>
      <c r="Z723" s="34"/>
      <c r="AA723" s="33"/>
    </row>
    <row r="724" ht="15.75" customHeight="1">
      <c r="H724" s="33"/>
      <c r="I724" s="33"/>
      <c r="M724" s="33"/>
      <c r="N724" s="33"/>
      <c r="O724" s="33"/>
      <c r="P724" s="33"/>
      <c r="Q724" s="33"/>
      <c r="R724" s="33"/>
      <c r="S724" s="33"/>
      <c r="T724" s="33"/>
      <c r="U724" s="33"/>
      <c r="V724" s="33"/>
      <c r="W724" s="33"/>
      <c r="X724" s="34"/>
      <c r="Y724" s="33"/>
      <c r="Z724" s="34"/>
      <c r="AA724" s="33"/>
    </row>
    <row r="725" ht="15.75" customHeight="1">
      <c r="H725" s="33"/>
      <c r="I725" s="33"/>
      <c r="M725" s="33"/>
      <c r="N725" s="33"/>
      <c r="O725" s="33"/>
      <c r="P725" s="33"/>
      <c r="Q725" s="33"/>
      <c r="R725" s="33"/>
      <c r="S725" s="33"/>
      <c r="T725" s="33"/>
      <c r="U725" s="33"/>
      <c r="V725" s="33"/>
      <c r="W725" s="33"/>
      <c r="X725" s="34"/>
      <c r="Y725" s="33"/>
      <c r="Z725" s="34"/>
      <c r="AA725" s="33"/>
    </row>
    <row r="726" ht="15.75" customHeight="1">
      <c r="H726" s="33"/>
      <c r="I726" s="33"/>
      <c r="M726" s="33"/>
      <c r="N726" s="33"/>
      <c r="O726" s="33"/>
      <c r="P726" s="33"/>
      <c r="Q726" s="33"/>
      <c r="R726" s="33"/>
      <c r="S726" s="33"/>
      <c r="T726" s="33"/>
      <c r="U726" s="33"/>
      <c r="V726" s="33"/>
      <c r="W726" s="33"/>
      <c r="X726" s="34"/>
      <c r="Y726" s="33"/>
      <c r="Z726" s="34"/>
      <c r="AA726" s="33"/>
    </row>
    <row r="727" ht="15.75" customHeight="1">
      <c r="H727" s="33"/>
      <c r="I727" s="33"/>
      <c r="M727" s="33"/>
      <c r="N727" s="33"/>
      <c r="O727" s="33"/>
      <c r="P727" s="33"/>
      <c r="Q727" s="33"/>
      <c r="R727" s="33"/>
      <c r="S727" s="33"/>
      <c r="T727" s="33"/>
      <c r="U727" s="33"/>
      <c r="V727" s="33"/>
      <c r="W727" s="33"/>
      <c r="X727" s="34"/>
      <c r="Y727" s="33"/>
      <c r="Z727" s="34"/>
      <c r="AA727" s="33"/>
    </row>
    <row r="728" ht="15.75" customHeight="1">
      <c r="H728" s="33"/>
      <c r="I728" s="33"/>
      <c r="M728" s="33"/>
      <c r="N728" s="33"/>
      <c r="O728" s="33"/>
      <c r="P728" s="33"/>
      <c r="Q728" s="33"/>
      <c r="R728" s="33"/>
      <c r="S728" s="33"/>
      <c r="T728" s="33"/>
      <c r="U728" s="33"/>
      <c r="V728" s="33"/>
      <c r="W728" s="33"/>
      <c r="X728" s="34"/>
      <c r="Y728" s="33"/>
      <c r="Z728" s="34"/>
      <c r="AA728" s="33"/>
    </row>
    <row r="729" ht="15.75" customHeight="1">
      <c r="H729" s="33"/>
      <c r="I729" s="33"/>
      <c r="M729" s="33"/>
      <c r="N729" s="33"/>
      <c r="O729" s="33"/>
      <c r="P729" s="33"/>
      <c r="Q729" s="33"/>
      <c r="R729" s="33"/>
      <c r="S729" s="33"/>
      <c r="T729" s="33"/>
      <c r="U729" s="33"/>
      <c r="V729" s="33"/>
      <c r="W729" s="33"/>
      <c r="X729" s="34"/>
      <c r="Y729" s="33"/>
      <c r="Z729" s="34"/>
      <c r="AA729" s="33"/>
    </row>
    <row r="730" ht="15.75" customHeight="1">
      <c r="H730" s="33"/>
      <c r="I730" s="33"/>
      <c r="M730" s="33"/>
      <c r="N730" s="33"/>
      <c r="O730" s="33"/>
      <c r="P730" s="33"/>
      <c r="Q730" s="33"/>
      <c r="R730" s="33"/>
      <c r="S730" s="33"/>
      <c r="T730" s="33"/>
      <c r="U730" s="33"/>
      <c r="V730" s="33"/>
      <c r="W730" s="33"/>
      <c r="X730" s="34"/>
      <c r="Y730" s="33"/>
      <c r="Z730" s="34"/>
      <c r="AA730" s="33"/>
    </row>
    <row r="731" ht="15.75" customHeight="1">
      <c r="H731" s="33"/>
      <c r="I731" s="33"/>
      <c r="M731" s="33"/>
      <c r="N731" s="33"/>
      <c r="O731" s="33"/>
      <c r="P731" s="33"/>
      <c r="Q731" s="33"/>
      <c r="R731" s="33"/>
      <c r="S731" s="33"/>
      <c r="T731" s="33"/>
      <c r="U731" s="33"/>
      <c r="V731" s="33"/>
      <c r="W731" s="33"/>
      <c r="X731" s="34"/>
      <c r="Y731" s="33"/>
      <c r="Z731" s="34"/>
      <c r="AA731" s="33"/>
    </row>
    <row r="732" ht="15.75" customHeight="1">
      <c r="H732" s="33"/>
      <c r="I732" s="33"/>
      <c r="M732" s="33"/>
      <c r="N732" s="33"/>
      <c r="O732" s="33"/>
      <c r="P732" s="33"/>
      <c r="Q732" s="33"/>
      <c r="R732" s="33"/>
      <c r="S732" s="33"/>
      <c r="T732" s="33"/>
      <c r="U732" s="33"/>
      <c r="V732" s="33"/>
      <c r="W732" s="33"/>
      <c r="X732" s="34"/>
      <c r="Y732" s="33"/>
      <c r="Z732" s="34"/>
      <c r="AA732" s="33"/>
    </row>
    <row r="733" ht="15.75" customHeight="1">
      <c r="H733" s="33"/>
      <c r="I733" s="33"/>
      <c r="M733" s="33"/>
      <c r="N733" s="33"/>
      <c r="O733" s="33"/>
      <c r="P733" s="33"/>
      <c r="Q733" s="33"/>
      <c r="R733" s="33"/>
      <c r="S733" s="33"/>
      <c r="T733" s="33"/>
      <c r="U733" s="33"/>
      <c r="V733" s="33"/>
      <c r="W733" s="33"/>
      <c r="X733" s="34"/>
      <c r="Y733" s="33"/>
      <c r="Z733" s="34"/>
      <c r="AA733" s="33"/>
    </row>
    <row r="734" ht="15.75" customHeight="1">
      <c r="H734" s="33"/>
      <c r="I734" s="33"/>
      <c r="M734" s="33"/>
      <c r="N734" s="33"/>
      <c r="O734" s="33"/>
      <c r="P734" s="33"/>
      <c r="Q734" s="33"/>
      <c r="R734" s="33"/>
      <c r="S734" s="33"/>
      <c r="T734" s="33"/>
      <c r="U734" s="33"/>
      <c r="V734" s="33"/>
      <c r="W734" s="33"/>
      <c r="X734" s="34"/>
      <c r="Y734" s="33"/>
      <c r="Z734" s="34"/>
      <c r="AA734" s="33"/>
    </row>
    <row r="735" ht="15.75" customHeight="1">
      <c r="H735" s="33"/>
      <c r="I735" s="33"/>
      <c r="M735" s="33"/>
      <c r="N735" s="33"/>
      <c r="O735" s="33"/>
      <c r="P735" s="33"/>
      <c r="Q735" s="33"/>
      <c r="R735" s="33"/>
      <c r="S735" s="33"/>
      <c r="T735" s="33"/>
      <c r="U735" s="33"/>
      <c r="V735" s="33"/>
      <c r="W735" s="33"/>
      <c r="X735" s="34"/>
      <c r="Y735" s="33"/>
      <c r="Z735" s="34"/>
      <c r="AA735" s="33"/>
    </row>
    <row r="736" ht="15.75" customHeight="1">
      <c r="H736" s="33"/>
      <c r="I736" s="33"/>
      <c r="M736" s="33"/>
      <c r="N736" s="33"/>
      <c r="O736" s="33"/>
      <c r="P736" s="33"/>
      <c r="Q736" s="33"/>
      <c r="R736" s="33"/>
      <c r="S736" s="33"/>
      <c r="T736" s="33"/>
      <c r="U736" s="33"/>
      <c r="V736" s="33"/>
      <c r="W736" s="33"/>
      <c r="X736" s="34"/>
      <c r="Y736" s="33"/>
      <c r="Z736" s="34"/>
      <c r="AA736" s="33"/>
    </row>
    <row r="737" ht="15.75" customHeight="1">
      <c r="H737" s="33"/>
      <c r="I737" s="33"/>
      <c r="M737" s="33"/>
      <c r="N737" s="33"/>
      <c r="O737" s="33"/>
      <c r="P737" s="33"/>
      <c r="Q737" s="33"/>
      <c r="R737" s="33"/>
      <c r="S737" s="33"/>
      <c r="T737" s="33"/>
      <c r="U737" s="33"/>
      <c r="V737" s="33"/>
      <c r="W737" s="33"/>
      <c r="X737" s="34"/>
      <c r="Y737" s="33"/>
      <c r="Z737" s="34"/>
      <c r="AA737" s="33"/>
    </row>
    <row r="738" ht="15.75" customHeight="1">
      <c r="H738" s="33"/>
      <c r="I738" s="33"/>
      <c r="M738" s="33"/>
      <c r="N738" s="33"/>
      <c r="O738" s="33"/>
      <c r="P738" s="33"/>
      <c r="Q738" s="33"/>
      <c r="R738" s="33"/>
      <c r="S738" s="33"/>
      <c r="T738" s="33"/>
      <c r="U738" s="33"/>
      <c r="V738" s="33"/>
      <c r="W738" s="33"/>
      <c r="X738" s="34"/>
      <c r="Y738" s="33"/>
      <c r="Z738" s="34"/>
      <c r="AA738" s="33"/>
    </row>
    <row r="739" ht="15.75" customHeight="1">
      <c r="H739" s="33"/>
      <c r="I739" s="33"/>
      <c r="M739" s="33"/>
      <c r="N739" s="33"/>
      <c r="O739" s="33"/>
      <c r="P739" s="33"/>
      <c r="Q739" s="33"/>
      <c r="R739" s="33"/>
      <c r="S739" s="33"/>
      <c r="T739" s="33"/>
      <c r="U739" s="33"/>
      <c r="V739" s="33"/>
      <c r="W739" s="33"/>
      <c r="X739" s="34"/>
      <c r="Y739" s="33"/>
      <c r="Z739" s="34"/>
      <c r="AA739" s="33"/>
    </row>
    <row r="740" ht="15.75" customHeight="1">
      <c r="H740" s="33"/>
      <c r="I740" s="33"/>
      <c r="M740" s="33"/>
      <c r="N740" s="33"/>
      <c r="O740" s="33"/>
      <c r="P740" s="33"/>
      <c r="Q740" s="33"/>
      <c r="R740" s="33"/>
      <c r="S740" s="33"/>
      <c r="T740" s="33"/>
      <c r="U740" s="33"/>
      <c r="V740" s="33"/>
      <c r="W740" s="33"/>
      <c r="X740" s="34"/>
      <c r="Y740" s="33"/>
      <c r="Z740" s="34"/>
      <c r="AA740" s="33"/>
    </row>
    <row r="741" ht="15.75" customHeight="1">
      <c r="H741" s="33"/>
      <c r="I741" s="33"/>
      <c r="M741" s="33"/>
      <c r="N741" s="33"/>
      <c r="O741" s="33"/>
      <c r="P741" s="33"/>
      <c r="Q741" s="33"/>
      <c r="R741" s="33"/>
      <c r="S741" s="33"/>
      <c r="T741" s="33"/>
      <c r="U741" s="33"/>
      <c r="V741" s="33"/>
      <c r="W741" s="33"/>
      <c r="X741" s="34"/>
      <c r="Y741" s="33"/>
      <c r="Z741" s="34"/>
      <c r="AA741" s="33"/>
    </row>
    <row r="742" ht="15.75" customHeight="1">
      <c r="H742" s="33"/>
      <c r="I742" s="33"/>
      <c r="M742" s="33"/>
      <c r="N742" s="33"/>
      <c r="O742" s="33"/>
      <c r="P742" s="33"/>
      <c r="Q742" s="33"/>
      <c r="R742" s="33"/>
      <c r="S742" s="33"/>
      <c r="T742" s="33"/>
      <c r="U742" s="33"/>
      <c r="V742" s="33"/>
      <c r="W742" s="33"/>
      <c r="X742" s="34"/>
      <c r="Y742" s="33"/>
      <c r="Z742" s="34"/>
      <c r="AA742" s="33"/>
    </row>
    <row r="743" ht="15.75" customHeight="1">
      <c r="H743" s="33"/>
      <c r="I743" s="33"/>
      <c r="M743" s="33"/>
      <c r="N743" s="33"/>
      <c r="O743" s="33"/>
      <c r="P743" s="33"/>
      <c r="Q743" s="33"/>
      <c r="R743" s="33"/>
      <c r="S743" s="33"/>
      <c r="T743" s="33"/>
      <c r="U743" s="33"/>
      <c r="V743" s="33"/>
      <c r="W743" s="33"/>
      <c r="X743" s="34"/>
      <c r="Y743" s="33"/>
      <c r="Z743" s="34"/>
      <c r="AA743" s="33"/>
    </row>
    <row r="744" ht="15.75" customHeight="1">
      <c r="H744" s="33"/>
      <c r="I744" s="33"/>
      <c r="M744" s="33"/>
      <c r="N744" s="33"/>
      <c r="O744" s="33"/>
      <c r="P744" s="33"/>
      <c r="Q744" s="33"/>
      <c r="R744" s="33"/>
      <c r="S744" s="33"/>
      <c r="T744" s="33"/>
      <c r="U744" s="33"/>
      <c r="V744" s="33"/>
      <c r="W744" s="33"/>
      <c r="X744" s="34"/>
      <c r="Y744" s="33"/>
      <c r="Z744" s="34"/>
      <c r="AA744" s="33"/>
    </row>
    <row r="745" ht="15.75" customHeight="1">
      <c r="H745" s="33"/>
      <c r="I745" s="33"/>
      <c r="M745" s="33"/>
      <c r="N745" s="33"/>
      <c r="O745" s="33"/>
      <c r="P745" s="33"/>
      <c r="Q745" s="33"/>
      <c r="R745" s="33"/>
      <c r="S745" s="33"/>
      <c r="T745" s="33"/>
      <c r="U745" s="33"/>
      <c r="V745" s="33"/>
      <c r="W745" s="33"/>
      <c r="X745" s="34"/>
      <c r="Y745" s="33"/>
      <c r="Z745" s="34"/>
      <c r="AA745" s="33"/>
    </row>
    <row r="746" ht="15.75" customHeight="1">
      <c r="H746" s="33"/>
      <c r="I746" s="33"/>
      <c r="M746" s="33"/>
      <c r="N746" s="33"/>
      <c r="O746" s="33"/>
      <c r="P746" s="33"/>
      <c r="Q746" s="33"/>
      <c r="R746" s="33"/>
      <c r="S746" s="33"/>
      <c r="T746" s="33"/>
      <c r="U746" s="33"/>
      <c r="V746" s="33"/>
      <c r="W746" s="33"/>
      <c r="X746" s="34"/>
      <c r="Y746" s="33"/>
      <c r="Z746" s="34"/>
      <c r="AA746" s="33"/>
    </row>
    <row r="747" ht="15.75" customHeight="1">
      <c r="H747" s="33"/>
      <c r="I747" s="33"/>
      <c r="M747" s="33"/>
      <c r="N747" s="33"/>
      <c r="O747" s="33"/>
      <c r="P747" s="33"/>
      <c r="Q747" s="33"/>
      <c r="R747" s="33"/>
      <c r="S747" s="33"/>
      <c r="T747" s="33"/>
      <c r="U747" s="33"/>
      <c r="V747" s="33"/>
      <c r="W747" s="33"/>
      <c r="X747" s="34"/>
      <c r="Y747" s="33"/>
      <c r="Z747" s="34"/>
      <c r="AA747" s="33"/>
    </row>
    <row r="748" ht="15.75" customHeight="1">
      <c r="H748" s="33"/>
      <c r="I748" s="33"/>
      <c r="M748" s="33"/>
      <c r="N748" s="33"/>
      <c r="O748" s="33"/>
      <c r="P748" s="33"/>
      <c r="Q748" s="33"/>
      <c r="R748" s="33"/>
      <c r="S748" s="33"/>
      <c r="T748" s="33"/>
      <c r="U748" s="33"/>
      <c r="V748" s="33"/>
      <c r="W748" s="33"/>
      <c r="X748" s="34"/>
      <c r="Y748" s="33"/>
      <c r="Z748" s="34"/>
      <c r="AA748" s="33"/>
    </row>
    <row r="749" ht="15.75" customHeight="1">
      <c r="H749" s="33"/>
      <c r="I749" s="33"/>
      <c r="M749" s="33"/>
      <c r="N749" s="33"/>
      <c r="O749" s="33"/>
      <c r="P749" s="33"/>
      <c r="Q749" s="33"/>
      <c r="R749" s="33"/>
      <c r="S749" s="33"/>
      <c r="T749" s="33"/>
      <c r="U749" s="33"/>
      <c r="V749" s="33"/>
      <c r="W749" s="33"/>
      <c r="X749" s="34"/>
      <c r="Y749" s="33"/>
      <c r="Z749" s="34"/>
      <c r="AA749" s="33"/>
    </row>
    <row r="750" ht="15.75" customHeight="1">
      <c r="H750" s="33"/>
      <c r="I750" s="33"/>
      <c r="M750" s="33"/>
      <c r="N750" s="33"/>
      <c r="O750" s="33"/>
      <c r="P750" s="33"/>
      <c r="Q750" s="33"/>
      <c r="R750" s="33"/>
      <c r="S750" s="33"/>
      <c r="T750" s="33"/>
      <c r="U750" s="33"/>
      <c r="V750" s="33"/>
      <c r="W750" s="33"/>
      <c r="X750" s="34"/>
      <c r="Y750" s="33"/>
      <c r="Z750" s="34"/>
      <c r="AA750" s="33"/>
    </row>
    <row r="751" ht="15.75" customHeight="1">
      <c r="H751" s="33"/>
      <c r="I751" s="33"/>
      <c r="M751" s="33"/>
      <c r="N751" s="33"/>
      <c r="O751" s="33"/>
      <c r="P751" s="33"/>
      <c r="Q751" s="33"/>
      <c r="R751" s="33"/>
      <c r="S751" s="33"/>
      <c r="T751" s="33"/>
      <c r="U751" s="33"/>
      <c r="V751" s="33"/>
      <c r="W751" s="33"/>
      <c r="X751" s="34"/>
      <c r="Y751" s="33"/>
      <c r="Z751" s="34"/>
      <c r="AA751" s="33"/>
    </row>
    <row r="752" ht="15.75" customHeight="1">
      <c r="H752" s="33"/>
      <c r="I752" s="33"/>
      <c r="M752" s="33"/>
      <c r="N752" s="33"/>
      <c r="O752" s="33"/>
      <c r="P752" s="33"/>
      <c r="Q752" s="33"/>
      <c r="R752" s="33"/>
      <c r="S752" s="33"/>
      <c r="T752" s="33"/>
      <c r="U752" s="33"/>
      <c r="V752" s="33"/>
      <c r="W752" s="33"/>
      <c r="X752" s="34"/>
      <c r="Y752" s="33"/>
      <c r="Z752" s="34"/>
      <c r="AA752" s="33"/>
    </row>
    <row r="753" ht="15.75" customHeight="1">
      <c r="H753" s="33"/>
      <c r="I753" s="33"/>
      <c r="M753" s="33"/>
      <c r="N753" s="33"/>
      <c r="O753" s="33"/>
      <c r="P753" s="33"/>
      <c r="Q753" s="33"/>
      <c r="R753" s="33"/>
      <c r="S753" s="33"/>
      <c r="T753" s="33"/>
      <c r="U753" s="33"/>
      <c r="V753" s="33"/>
      <c r="W753" s="33"/>
      <c r="X753" s="34"/>
      <c r="Y753" s="33"/>
      <c r="Z753" s="34"/>
      <c r="AA753" s="33"/>
    </row>
    <row r="754" ht="15.75" customHeight="1">
      <c r="H754" s="33"/>
      <c r="I754" s="33"/>
      <c r="M754" s="33"/>
      <c r="N754" s="33"/>
      <c r="O754" s="33"/>
      <c r="P754" s="33"/>
      <c r="Q754" s="33"/>
      <c r="R754" s="33"/>
      <c r="S754" s="33"/>
      <c r="T754" s="33"/>
      <c r="U754" s="33"/>
      <c r="V754" s="33"/>
      <c r="W754" s="33"/>
      <c r="X754" s="34"/>
      <c r="Y754" s="33"/>
      <c r="Z754" s="34"/>
      <c r="AA754" s="33"/>
    </row>
    <row r="755" ht="15.75" customHeight="1">
      <c r="H755" s="33"/>
      <c r="I755" s="33"/>
      <c r="M755" s="33"/>
      <c r="N755" s="33"/>
      <c r="O755" s="33"/>
      <c r="P755" s="33"/>
      <c r="Q755" s="33"/>
      <c r="R755" s="33"/>
      <c r="S755" s="33"/>
      <c r="T755" s="33"/>
      <c r="U755" s="33"/>
      <c r="V755" s="33"/>
      <c r="W755" s="33"/>
      <c r="X755" s="34"/>
      <c r="Y755" s="33"/>
      <c r="Z755" s="34"/>
      <c r="AA755" s="33"/>
    </row>
    <row r="756" ht="15.75" customHeight="1">
      <c r="H756" s="33"/>
      <c r="I756" s="33"/>
      <c r="M756" s="33"/>
      <c r="N756" s="33"/>
      <c r="O756" s="33"/>
      <c r="P756" s="33"/>
      <c r="Q756" s="33"/>
      <c r="R756" s="33"/>
      <c r="S756" s="33"/>
      <c r="T756" s="33"/>
      <c r="U756" s="33"/>
      <c r="V756" s="33"/>
      <c r="W756" s="33"/>
      <c r="X756" s="34"/>
      <c r="Y756" s="33"/>
      <c r="Z756" s="34"/>
      <c r="AA756" s="33"/>
    </row>
    <row r="757" ht="15.75" customHeight="1">
      <c r="H757" s="33"/>
      <c r="I757" s="33"/>
      <c r="M757" s="33"/>
      <c r="N757" s="33"/>
      <c r="O757" s="33"/>
      <c r="P757" s="33"/>
      <c r="Q757" s="33"/>
      <c r="R757" s="33"/>
      <c r="S757" s="33"/>
      <c r="T757" s="33"/>
      <c r="U757" s="33"/>
      <c r="V757" s="33"/>
      <c r="W757" s="33"/>
      <c r="X757" s="34"/>
      <c r="Y757" s="33"/>
      <c r="Z757" s="34"/>
      <c r="AA757" s="33"/>
    </row>
    <row r="758" ht="15.75" customHeight="1">
      <c r="H758" s="33"/>
      <c r="I758" s="33"/>
      <c r="M758" s="33"/>
      <c r="N758" s="33"/>
      <c r="O758" s="33"/>
      <c r="P758" s="33"/>
      <c r="Q758" s="33"/>
      <c r="R758" s="33"/>
      <c r="S758" s="33"/>
      <c r="T758" s="33"/>
      <c r="U758" s="33"/>
      <c r="V758" s="33"/>
      <c r="W758" s="33"/>
      <c r="X758" s="34"/>
      <c r="Y758" s="33"/>
      <c r="Z758" s="34"/>
      <c r="AA758" s="33"/>
    </row>
    <row r="759" ht="15.75" customHeight="1">
      <c r="H759" s="33"/>
      <c r="I759" s="33"/>
      <c r="M759" s="33"/>
      <c r="N759" s="33"/>
      <c r="O759" s="33"/>
      <c r="P759" s="33"/>
      <c r="Q759" s="33"/>
      <c r="R759" s="33"/>
      <c r="S759" s="33"/>
      <c r="T759" s="33"/>
      <c r="U759" s="33"/>
      <c r="V759" s="33"/>
      <c r="W759" s="33"/>
      <c r="X759" s="34"/>
      <c r="Y759" s="33"/>
      <c r="Z759" s="34"/>
      <c r="AA759" s="33"/>
    </row>
    <row r="760" ht="15.75" customHeight="1">
      <c r="H760" s="33"/>
      <c r="I760" s="33"/>
      <c r="M760" s="33"/>
      <c r="N760" s="33"/>
      <c r="O760" s="33"/>
      <c r="P760" s="33"/>
      <c r="Q760" s="33"/>
      <c r="R760" s="33"/>
      <c r="S760" s="33"/>
      <c r="T760" s="33"/>
      <c r="U760" s="33"/>
      <c r="V760" s="33"/>
      <c r="W760" s="33"/>
      <c r="X760" s="34"/>
      <c r="Y760" s="33"/>
      <c r="Z760" s="34"/>
      <c r="AA760" s="33"/>
    </row>
    <row r="761" ht="15.75" customHeight="1">
      <c r="H761" s="33"/>
      <c r="I761" s="33"/>
      <c r="M761" s="33"/>
      <c r="N761" s="33"/>
      <c r="O761" s="33"/>
      <c r="P761" s="33"/>
      <c r="Q761" s="33"/>
      <c r="R761" s="33"/>
      <c r="S761" s="33"/>
      <c r="T761" s="33"/>
      <c r="U761" s="33"/>
      <c r="V761" s="33"/>
      <c r="W761" s="33"/>
      <c r="X761" s="34"/>
      <c r="Y761" s="33"/>
      <c r="Z761" s="34"/>
      <c r="AA761" s="33"/>
    </row>
    <row r="762" ht="15.75" customHeight="1">
      <c r="H762" s="33"/>
      <c r="I762" s="33"/>
      <c r="M762" s="33"/>
      <c r="N762" s="33"/>
      <c r="O762" s="33"/>
      <c r="P762" s="33"/>
      <c r="Q762" s="33"/>
      <c r="R762" s="33"/>
      <c r="S762" s="33"/>
      <c r="T762" s="33"/>
      <c r="U762" s="33"/>
      <c r="V762" s="33"/>
      <c r="W762" s="33"/>
      <c r="X762" s="34"/>
      <c r="Y762" s="33"/>
      <c r="Z762" s="34"/>
      <c r="AA762" s="33"/>
    </row>
    <row r="763" ht="15.75" customHeight="1">
      <c r="H763" s="33"/>
      <c r="I763" s="33"/>
      <c r="M763" s="33"/>
      <c r="N763" s="33"/>
      <c r="O763" s="33"/>
      <c r="P763" s="33"/>
      <c r="Q763" s="33"/>
      <c r="R763" s="33"/>
      <c r="S763" s="33"/>
      <c r="T763" s="33"/>
      <c r="U763" s="33"/>
      <c r="V763" s="33"/>
      <c r="W763" s="33"/>
      <c r="X763" s="34"/>
      <c r="Y763" s="33"/>
      <c r="Z763" s="34"/>
      <c r="AA763" s="33"/>
    </row>
    <row r="764" ht="15.75" customHeight="1">
      <c r="H764" s="33"/>
      <c r="I764" s="33"/>
      <c r="M764" s="33"/>
      <c r="N764" s="33"/>
      <c r="O764" s="33"/>
      <c r="P764" s="33"/>
      <c r="Q764" s="33"/>
      <c r="R764" s="33"/>
      <c r="S764" s="33"/>
      <c r="T764" s="33"/>
      <c r="U764" s="33"/>
      <c r="V764" s="33"/>
      <c r="W764" s="33"/>
      <c r="X764" s="34"/>
      <c r="Y764" s="33"/>
      <c r="Z764" s="34"/>
      <c r="AA764" s="33"/>
    </row>
    <row r="765" ht="15.75" customHeight="1">
      <c r="H765" s="33"/>
      <c r="I765" s="33"/>
      <c r="M765" s="33"/>
      <c r="N765" s="33"/>
      <c r="O765" s="33"/>
      <c r="P765" s="33"/>
      <c r="Q765" s="33"/>
      <c r="R765" s="33"/>
      <c r="S765" s="33"/>
      <c r="T765" s="33"/>
      <c r="U765" s="33"/>
      <c r="V765" s="33"/>
      <c r="W765" s="33"/>
      <c r="X765" s="34"/>
      <c r="Y765" s="33"/>
      <c r="Z765" s="34"/>
      <c r="AA765" s="33"/>
    </row>
    <row r="766" ht="15.75" customHeight="1">
      <c r="H766" s="33"/>
      <c r="I766" s="33"/>
      <c r="M766" s="33"/>
      <c r="N766" s="33"/>
      <c r="O766" s="33"/>
      <c r="P766" s="33"/>
      <c r="Q766" s="33"/>
      <c r="R766" s="33"/>
      <c r="S766" s="33"/>
      <c r="T766" s="33"/>
      <c r="U766" s="33"/>
      <c r="V766" s="33"/>
      <c r="W766" s="33"/>
      <c r="X766" s="34"/>
      <c r="Y766" s="33"/>
      <c r="Z766" s="34"/>
      <c r="AA766" s="33"/>
    </row>
    <row r="767" ht="15.75" customHeight="1">
      <c r="H767" s="33"/>
      <c r="I767" s="33"/>
      <c r="M767" s="33"/>
      <c r="N767" s="33"/>
      <c r="O767" s="33"/>
      <c r="P767" s="33"/>
      <c r="Q767" s="33"/>
      <c r="R767" s="33"/>
      <c r="S767" s="33"/>
      <c r="T767" s="33"/>
      <c r="U767" s="33"/>
      <c r="V767" s="33"/>
      <c r="W767" s="33"/>
      <c r="X767" s="34"/>
      <c r="Y767" s="33"/>
      <c r="Z767" s="34"/>
      <c r="AA767" s="33"/>
    </row>
    <row r="768" ht="15.75" customHeight="1">
      <c r="H768" s="33"/>
      <c r="I768" s="33"/>
      <c r="M768" s="33"/>
      <c r="N768" s="33"/>
      <c r="O768" s="33"/>
      <c r="P768" s="33"/>
      <c r="Q768" s="33"/>
      <c r="R768" s="33"/>
      <c r="S768" s="33"/>
      <c r="T768" s="33"/>
      <c r="U768" s="33"/>
      <c r="V768" s="33"/>
      <c r="W768" s="33"/>
      <c r="X768" s="34"/>
      <c r="Y768" s="33"/>
      <c r="Z768" s="34"/>
      <c r="AA768" s="33"/>
    </row>
    <row r="769" ht="15.75" customHeight="1">
      <c r="H769" s="33"/>
      <c r="I769" s="33"/>
      <c r="M769" s="33"/>
      <c r="N769" s="33"/>
      <c r="O769" s="33"/>
      <c r="P769" s="33"/>
      <c r="Q769" s="33"/>
      <c r="R769" s="33"/>
      <c r="S769" s="33"/>
      <c r="T769" s="33"/>
      <c r="U769" s="33"/>
      <c r="V769" s="33"/>
      <c r="W769" s="33"/>
      <c r="X769" s="34"/>
      <c r="Y769" s="33"/>
      <c r="Z769" s="34"/>
      <c r="AA769" s="33"/>
    </row>
    <row r="770" ht="15.75" customHeight="1">
      <c r="H770" s="33"/>
      <c r="I770" s="33"/>
      <c r="M770" s="33"/>
      <c r="N770" s="33"/>
      <c r="O770" s="33"/>
      <c r="P770" s="33"/>
      <c r="Q770" s="33"/>
      <c r="R770" s="33"/>
      <c r="S770" s="33"/>
      <c r="T770" s="33"/>
      <c r="U770" s="33"/>
      <c r="V770" s="33"/>
      <c r="W770" s="33"/>
      <c r="X770" s="34"/>
      <c r="Y770" s="33"/>
      <c r="Z770" s="34"/>
      <c r="AA770" s="33"/>
    </row>
    <row r="771" ht="15.75" customHeight="1">
      <c r="H771" s="33"/>
      <c r="I771" s="33"/>
      <c r="M771" s="33"/>
      <c r="N771" s="33"/>
      <c r="O771" s="33"/>
      <c r="P771" s="33"/>
      <c r="Q771" s="33"/>
      <c r="R771" s="33"/>
      <c r="S771" s="33"/>
      <c r="T771" s="33"/>
      <c r="U771" s="33"/>
      <c r="V771" s="33"/>
      <c r="W771" s="33"/>
      <c r="X771" s="34"/>
      <c r="Y771" s="33"/>
      <c r="Z771" s="34"/>
      <c r="AA771" s="33"/>
    </row>
    <row r="772" ht="15.75" customHeight="1">
      <c r="H772" s="33"/>
      <c r="I772" s="33"/>
      <c r="M772" s="33"/>
      <c r="N772" s="33"/>
      <c r="O772" s="33"/>
      <c r="P772" s="33"/>
      <c r="Q772" s="33"/>
      <c r="R772" s="33"/>
      <c r="S772" s="33"/>
      <c r="T772" s="33"/>
      <c r="U772" s="33"/>
      <c r="V772" s="33"/>
      <c r="W772" s="33"/>
      <c r="X772" s="34"/>
      <c r="Y772" s="33"/>
      <c r="Z772" s="34"/>
      <c r="AA772" s="33"/>
    </row>
    <row r="773" ht="15.75" customHeight="1">
      <c r="H773" s="33"/>
      <c r="I773" s="33"/>
      <c r="M773" s="33"/>
      <c r="N773" s="33"/>
      <c r="O773" s="33"/>
      <c r="P773" s="33"/>
      <c r="Q773" s="33"/>
      <c r="R773" s="33"/>
      <c r="S773" s="33"/>
      <c r="T773" s="33"/>
      <c r="U773" s="33"/>
      <c r="V773" s="33"/>
      <c r="W773" s="33"/>
      <c r="X773" s="34"/>
      <c r="Y773" s="33"/>
      <c r="Z773" s="34"/>
      <c r="AA773" s="33"/>
    </row>
    <row r="774" ht="15.75" customHeight="1">
      <c r="H774" s="33"/>
      <c r="I774" s="33"/>
      <c r="M774" s="33"/>
      <c r="N774" s="33"/>
      <c r="O774" s="33"/>
      <c r="P774" s="33"/>
      <c r="Q774" s="33"/>
      <c r="R774" s="33"/>
      <c r="S774" s="33"/>
      <c r="T774" s="33"/>
      <c r="U774" s="33"/>
      <c r="V774" s="33"/>
      <c r="W774" s="33"/>
      <c r="X774" s="34"/>
      <c r="Y774" s="33"/>
      <c r="Z774" s="34"/>
      <c r="AA774" s="33"/>
    </row>
    <row r="775" ht="15.75" customHeight="1">
      <c r="H775" s="33"/>
      <c r="I775" s="33"/>
      <c r="M775" s="33"/>
      <c r="N775" s="33"/>
      <c r="O775" s="33"/>
      <c r="P775" s="33"/>
      <c r="Q775" s="33"/>
      <c r="R775" s="33"/>
      <c r="S775" s="33"/>
      <c r="T775" s="33"/>
      <c r="U775" s="33"/>
      <c r="V775" s="33"/>
      <c r="W775" s="33"/>
      <c r="X775" s="34"/>
      <c r="Y775" s="33"/>
      <c r="Z775" s="34"/>
      <c r="AA775" s="33"/>
    </row>
    <row r="776" ht="15.75" customHeight="1">
      <c r="H776" s="33"/>
      <c r="I776" s="33"/>
      <c r="M776" s="33"/>
      <c r="N776" s="33"/>
      <c r="O776" s="33"/>
      <c r="P776" s="33"/>
      <c r="Q776" s="33"/>
      <c r="R776" s="33"/>
      <c r="S776" s="33"/>
      <c r="T776" s="33"/>
      <c r="U776" s="33"/>
      <c r="V776" s="33"/>
      <c r="W776" s="33"/>
      <c r="X776" s="34"/>
      <c r="Y776" s="33"/>
      <c r="Z776" s="34"/>
      <c r="AA776" s="33"/>
    </row>
    <row r="777" ht="15.75" customHeight="1">
      <c r="H777" s="33"/>
      <c r="I777" s="33"/>
      <c r="M777" s="33"/>
      <c r="N777" s="33"/>
      <c r="O777" s="33"/>
      <c r="P777" s="33"/>
      <c r="Q777" s="33"/>
      <c r="R777" s="33"/>
      <c r="S777" s="33"/>
      <c r="T777" s="33"/>
      <c r="U777" s="33"/>
      <c r="V777" s="33"/>
      <c r="W777" s="33"/>
      <c r="X777" s="34"/>
      <c r="Y777" s="33"/>
      <c r="Z777" s="34"/>
      <c r="AA777" s="33"/>
    </row>
    <row r="778" ht="15.75" customHeight="1">
      <c r="H778" s="33"/>
      <c r="I778" s="33"/>
      <c r="M778" s="33"/>
      <c r="N778" s="33"/>
      <c r="O778" s="33"/>
      <c r="P778" s="33"/>
      <c r="Q778" s="33"/>
      <c r="R778" s="33"/>
      <c r="S778" s="33"/>
      <c r="T778" s="33"/>
      <c r="U778" s="33"/>
      <c r="V778" s="33"/>
      <c r="W778" s="33"/>
      <c r="X778" s="34"/>
      <c r="Y778" s="33"/>
      <c r="Z778" s="34"/>
      <c r="AA778" s="33"/>
    </row>
    <row r="779" ht="15.75" customHeight="1">
      <c r="H779" s="33"/>
      <c r="I779" s="33"/>
      <c r="M779" s="33"/>
      <c r="N779" s="33"/>
      <c r="O779" s="33"/>
      <c r="P779" s="33"/>
      <c r="Q779" s="33"/>
      <c r="R779" s="33"/>
      <c r="S779" s="33"/>
      <c r="T779" s="33"/>
      <c r="U779" s="33"/>
      <c r="V779" s="33"/>
      <c r="W779" s="33"/>
      <c r="X779" s="34"/>
      <c r="Y779" s="33"/>
      <c r="Z779" s="34"/>
      <c r="AA779" s="33"/>
    </row>
    <row r="780" ht="15.75" customHeight="1">
      <c r="H780" s="33"/>
      <c r="I780" s="33"/>
      <c r="M780" s="33"/>
      <c r="N780" s="33"/>
      <c r="O780" s="33"/>
      <c r="P780" s="33"/>
      <c r="Q780" s="33"/>
      <c r="R780" s="33"/>
      <c r="S780" s="33"/>
      <c r="T780" s="33"/>
      <c r="U780" s="33"/>
      <c r="V780" s="33"/>
      <c r="W780" s="33"/>
      <c r="X780" s="34"/>
      <c r="Y780" s="33"/>
      <c r="Z780" s="34"/>
      <c r="AA780" s="33"/>
    </row>
    <row r="781" ht="15.75" customHeight="1">
      <c r="H781" s="33"/>
      <c r="I781" s="33"/>
      <c r="M781" s="33"/>
      <c r="N781" s="33"/>
      <c r="O781" s="33"/>
      <c r="P781" s="33"/>
      <c r="Q781" s="33"/>
      <c r="R781" s="33"/>
      <c r="S781" s="33"/>
      <c r="T781" s="33"/>
      <c r="U781" s="33"/>
      <c r="V781" s="33"/>
      <c r="W781" s="33"/>
      <c r="X781" s="34"/>
      <c r="Y781" s="33"/>
      <c r="Z781" s="34"/>
      <c r="AA781" s="33"/>
    </row>
    <row r="782" ht="15.75" customHeight="1">
      <c r="H782" s="33"/>
      <c r="I782" s="33"/>
      <c r="M782" s="33"/>
      <c r="N782" s="33"/>
      <c r="O782" s="33"/>
      <c r="P782" s="33"/>
      <c r="Q782" s="33"/>
      <c r="R782" s="33"/>
      <c r="S782" s="33"/>
      <c r="T782" s="33"/>
      <c r="U782" s="33"/>
      <c r="V782" s="33"/>
      <c r="W782" s="33"/>
      <c r="X782" s="34"/>
      <c r="Y782" s="33"/>
      <c r="Z782" s="34"/>
      <c r="AA782" s="33"/>
    </row>
    <row r="783" ht="15.75" customHeight="1">
      <c r="H783" s="33"/>
      <c r="I783" s="33"/>
      <c r="M783" s="33"/>
      <c r="N783" s="33"/>
      <c r="O783" s="33"/>
      <c r="P783" s="33"/>
      <c r="Q783" s="33"/>
      <c r="R783" s="33"/>
      <c r="S783" s="33"/>
      <c r="T783" s="33"/>
      <c r="U783" s="33"/>
      <c r="V783" s="33"/>
      <c r="W783" s="33"/>
      <c r="X783" s="34"/>
      <c r="Y783" s="33"/>
      <c r="Z783" s="34"/>
      <c r="AA783" s="33"/>
    </row>
    <row r="784" ht="15.75" customHeight="1">
      <c r="H784" s="33"/>
      <c r="I784" s="33"/>
      <c r="M784" s="33"/>
      <c r="N784" s="33"/>
      <c r="O784" s="33"/>
      <c r="P784" s="33"/>
      <c r="Q784" s="33"/>
      <c r="R784" s="33"/>
      <c r="S784" s="33"/>
      <c r="T784" s="33"/>
      <c r="U784" s="33"/>
      <c r="V784" s="33"/>
      <c r="W784" s="33"/>
      <c r="X784" s="34"/>
      <c r="Y784" s="33"/>
      <c r="Z784" s="34"/>
      <c r="AA784" s="33"/>
    </row>
    <row r="785" ht="15.75" customHeight="1">
      <c r="H785" s="33"/>
      <c r="I785" s="33"/>
      <c r="M785" s="33"/>
      <c r="N785" s="33"/>
      <c r="O785" s="33"/>
      <c r="P785" s="33"/>
      <c r="Q785" s="33"/>
      <c r="R785" s="33"/>
      <c r="S785" s="33"/>
      <c r="T785" s="33"/>
      <c r="U785" s="33"/>
      <c r="V785" s="33"/>
      <c r="W785" s="33"/>
      <c r="X785" s="34"/>
      <c r="Y785" s="33"/>
      <c r="Z785" s="34"/>
      <c r="AA785" s="33"/>
    </row>
    <row r="786" ht="15.75" customHeight="1">
      <c r="H786" s="33"/>
      <c r="I786" s="33"/>
      <c r="M786" s="33"/>
      <c r="N786" s="33"/>
      <c r="O786" s="33"/>
      <c r="P786" s="33"/>
      <c r="Q786" s="33"/>
      <c r="R786" s="33"/>
      <c r="S786" s="33"/>
      <c r="T786" s="33"/>
      <c r="U786" s="33"/>
      <c r="V786" s="33"/>
      <c r="W786" s="33"/>
      <c r="X786" s="34"/>
      <c r="Y786" s="33"/>
      <c r="Z786" s="34"/>
      <c r="AA786" s="33"/>
    </row>
    <row r="787" ht="15.75" customHeight="1">
      <c r="H787" s="33"/>
      <c r="I787" s="33"/>
      <c r="M787" s="33"/>
      <c r="N787" s="33"/>
      <c r="O787" s="33"/>
      <c r="P787" s="33"/>
      <c r="Q787" s="33"/>
      <c r="R787" s="33"/>
      <c r="S787" s="33"/>
      <c r="T787" s="33"/>
      <c r="U787" s="33"/>
      <c r="V787" s="33"/>
      <c r="W787" s="33"/>
      <c r="X787" s="34"/>
      <c r="Y787" s="33"/>
      <c r="Z787" s="34"/>
      <c r="AA787" s="33"/>
    </row>
    <row r="788" ht="15.75" customHeight="1">
      <c r="H788" s="33"/>
      <c r="I788" s="33"/>
      <c r="M788" s="33"/>
      <c r="N788" s="33"/>
      <c r="O788" s="33"/>
      <c r="P788" s="33"/>
      <c r="Q788" s="33"/>
      <c r="R788" s="33"/>
      <c r="S788" s="33"/>
      <c r="T788" s="33"/>
      <c r="U788" s="33"/>
      <c r="V788" s="33"/>
      <c r="W788" s="33"/>
      <c r="X788" s="34"/>
      <c r="Y788" s="33"/>
      <c r="Z788" s="34"/>
      <c r="AA788" s="33"/>
    </row>
    <row r="789" ht="15.75" customHeight="1">
      <c r="H789" s="33"/>
      <c r="I789" s="33"/>
      <c r="M789" s="33"/>
      <c r="N789" s="33"/>
      <c r="O789" s="33"/>
      <c r="P789" s="33"/>
      <c r="Q789" s="33"/>
      <c r="R789" s="33"/>
      <c r="S789" s="33"/>
      <c r="T789" s="33"/>
      <c r="U789" s="33"/>
      <c r="V789" s="33"/>
      <c r="W789" s="33"/>
      <c r="X789" s="34"/>
      <c r="Y789" s="33"/>
      <c r="Z789" s="34"/>
      <c r="AA789" s="33"/>
    </row>
    <row r="790" ht="15.75" customHeight="1">
      <c r="H790" s="33"/>
      <c r="I790" s="33"/>
      <c r="M790" s="33"/>
      <c r="N790" s="33"/>
      <c r="O790" s="33"/>
      <c r="P790" s="33"/>
      <c r="Q790" s="33"/>
      <c r="R790" s="33"/>
      <c r="S790" s="33"/>
      <c r="T790" s="33"/>
      <c r="U790" s="33"/>
      <c r="V790" s="33"/>
      <c r="W790" s="33"/>
      <c r="X790" s="34"/>
      <c r="Y790" s="33"/>
      <c r="Z790" s="34"/>
      <c r="AA790" s="33"/>
    </row>
    <row r="791" ht="15.75" customHeight="1">
      <c r="H791" s="33"/>
      <c r="I791" s="33"/>
      <c r="M791" s="33"/>
      <c r="N791" s="33"/>
      <c r="O791" s="33"/>
      <c r="P791" s="33"/>
      <c r="Q791" s="33"/>
      <c r="R791" s="33"/>
      <c r="S791" s="33"/>
      <c r="T791" s="33"/>
      <c r="U791" s="33"/>
      <c r="V791" s="33"/>
      <c r="W791" s="33"/>
      <c r="X791" s="34"/>
      <c r="Y791" s="33"/>
      <c r="Z791" s="34"/>
      <c r="AA791" s="33"/>
    </row>
    <row r="792" ht="15.75" customHeight="1">
      <c r="H792" s="33"/>
      <c r="I792" s="33"/>
      <c r="M792" s="33"/>
      <c r="N792" s="33"/>
      <c r="O792" s="33"/>
      <c r="P792" s="33"/>
      <c r="Q792" s="33"/>
      <c r="R792" s="33"/>
      <c r="S792" s="33"/>
      <c r="T792" s="33"/>
      <c r="U792" s="33"/>
      <c r="V792" s="33"/>
      <c r="W792" s="33"/>
      <c r="X792" s="34"/>
      <c r="Y792" s="33"/>
      <c r="Z792" s="34"/>
      <c r="AA792" s="33"/>
    </row>
    <row r="793" ht="15.75" customHeight="1">
      <c r="H793" s="33"/>
      <c r="I793" s="33"/>
      <c r="M793" s="33"/>
      <c r="N793" s="33"/>
      <c r="O793" s="33"/>
      <c r="P793" s="33"/>
      <c r="Q793" s="33"/>
      <c r="R793" s="33"/>
      <c r="S793" s="33"/>
      <c r="T793" s="33"/>
      <c r="U793" s="33"/>
      <c r="V793" s="33"/>
      <c r="W793" s="33"/>
      <c r="X793" s="34"/>
      <c r="Y793" s="33"/>
      <c r="Z793" s="34"/>
      <c r="AA793" s="33"/>
    </row>
    <row r="794" ht="15.75" customHeight="1">
      <c r="H794" s="33"/>
      <c r="I794" s="33"/>
      <c r="M794" s="33"/>
      <c r="N794" s="33"/>
      <c r="O794" s="33"/>
      <c r="P794" s="33"/>
      <c r="Q794" s="33"/>
      <c r="R794" s="33"/>
      <c r="S794" s="33"/>
      <c r="T794" s="33"/>
      <c r="U794" s="33"/>
      <c r="V794" s="33"/>
      <c r="W794" s="33"/>
      <c r="X794" s="34"/>
      <c r="Y794" s="33"/>
      <c r="Z794" s="34"/>
      <c r="AA794" s="33"/>
    </row>
    <row r="795" ht="15.75" customHeight="1">
      <c r="H795" s="33"/>
      <c r="I795" s="33"/>
      <c r="M795" s="33"/>
      <c r="N795" s="33"/>
      <c r="O795" s="33"/>
      <c r="P795" s="33"/>
      <c r="Q795" s="33"/>
      <c r="R795" s="33"/>
      <c r="S795" s="33"/>
      <c r="T795" s="33"/>
      <c r="U795" s="33"/>
      <c r="V795" s="33"/>
      <c r="W795" s="33"/>
      <c r="X795" s="34"/>
      <c r="Y795" s="33"/>
      <c r="Z795" s="34"/>
      <c r="AA795" s="33"/>
    </row>
    <row r="796" ht="15.75" customHeight="1">
      <c r="H796" s="33"/>
      <c r="I796" s="33"/>
      <c r="M796" s="33"/>
      <c r="N796" s="33"/>
      <c r="O796" s="33"/>
      <c r="P796" s="33"/>
      <c r="Q796" s="33"/>
      <c r="R796" s="33"/>
      <c r="S796" s="33"/>
      <c r="T796" s="33"/>
      <c r="U796" s="33"/>
      <c r="V796" s="33"/>
      <c r="W796" s="33"/>
      <c r="X796" s="34"/>
      <c r="Y796" s="33"/>
      <c r="Z796" s="34"/>
      <c r="AA796" s="33"/>
    </row>
    <row r="797" ht="15.75" customHeight="1">
      <c r="H797" s="33"/>
      <c r="I797" s="33"/>
      <c r="M797" s="33"/>
      <c r="N797" s="33"/>
      <c r="O797" s="33"/>
      <c r="P797" s="33"/>
      <c r="Q797" s="33"/>
      <c r="R797" s="33"/>
      <c r="S797" s="33"/>
      <c r="T797" s="33"/>
      <c r="U797" s="33"/>
      <c r="V797" s="33"/>
      <c r="W797" s="33"/>
      <c r="X797" s="34"/>
      <c r="Y797" s="33"/>
      <c r="Z797" s="34"/>
      <c r="AA797" s="33"/>
    </row>
    <row r="798" ht="15.75" customHeight="1">
      <c r="H798" s="33"/>
      <c r="I798" s="33"/>
      <c r="M798" s="33"/>
      <c r="N798" s="33"/>
      <c r="O798" s="33"/>
      <c r="P798" s="33"/>
      <c r="Q798" s="33"/>
      <c r="R798" s="33"/>
      <c r="S798" s="33"/>
      <c r="T798" s="33"/>
      <c r="U798" s="33"/>
      <c r="V798" s="33"/>
      <c r="W798" s="33"/>
      <c r="X798" s="34"/>
      <c r="Y798" s="33"/>
      <c r="Z798" s="34"/>
      <c r="AA798" s="33"/>
    </row>
    <row r="799" ht="15.75" customHeight="1">
      <c r="H799" s="33"/>
      <c r="I799" s="33"/>
      <c r="M799" s="33"/>
      <c r="N799" s="33"/>
      <c r="O799" s="33"/>
      <c r="P799" s="33"/>
      <c r="Q799" s="33"/>
      <c r="R799" s="33"/>
      <c r="S799" s="33"/>
      <c r="T799" s="33"/>
      <c r="U799" s="33"/>
      <c r="V799" s="33"/>
      <c r="W799" s="33"/>
      <c r="X799" s="34"/>
      <c r="Y799" s="33"/>
      <c r="Z799" s="34"/>
      <c r="AA799" s="33"/>
    </row>
    <row r="800" ht="15.75" customHeight="1">
      <c r="H800" s="33"/>
      <c r="I800" s="33"/>
      <c r="M800" s="33"/>
      <c r="N800" s="33"/>
      <c r="O800" s="33"/>
      <c r="P800" s="33"/>
      <c r="Q800" s="33"/>
      <c r="R800" s="33"/>
      <c r="S800" s="33"/>
      <c r="T800" s="33"/>
      <c r="U800" s="33"/>
      <c r="V800" s="33"/>
      <c r="W800" s="33"/>
      <c r="X800" s="34"/>
      <c r="Y800" s="33"/>
      <c r="Z800" s="34"/>
      <c r="AA800" s="33"/>
    </row>
    <row r="801" ht="15.75" customHeight="1">
      <c r="H801" s="33"/>
      <c r="I801" s="33"/>
      <c r="M801" s="33"/>
      <c r="N801" s="33"/>
      <c r="O801" s="33"/>
      <c r="P801" s="33"/>
      <c r="Q801" s="33"/>
      <c r="R801" s="33"/>
      <c r="S801" s="33"/>
      <c r="T801" s="33"/>
      <c r="U801" s="33"/>
      <c r="V801" s="33"/>
      <c r="W801" s="33"/>
      <c r="X801" s="34"/>
      <c r="Y801" s="33"/>
      <c r="Z801" s="34"/>
      <c r="AA801" s="33"/>
    </row>
    <row r="802" ht="15.75" customHeight="1">
      <c r="H802" s="33"/>
      <c r="I802" s="33"/>
      <c r="M802" s="33"/>
      <c r="N802" s="33"/>
      <c r="O802" s="33"/>
      <c r="P802" s="33"/>
      <c r="Q802" s="33"/>
      <c r="R802" s="33"/>
      <c r="S802" s="33"/>
      <c r="T802" s="33"/>
      <c r="U802" s="33"/>
      <c r="V802" s="33"/>
      <c r="W802" s="33"/>
      <c r="X802" s="34"/>
      <c r="Y802" s="33"/>
      <c r="Z802" s="34"/>
      <c r="AA802" s="33"/>
    </row>
    <row r="803" ht="15.75" customHeight="1">
      <c r="H803" s="33"/>
      <c r="I803" s="33"/>
      <c r="M803" s="33"/>
      <c r="N803" s="33"/>
      <c r="O803" s="33"/>
      <c r="P803" s="33"/>
      <c r="Q803" s="33"/>
      <c r="R803" s="33"/>
      <c r="S803" s="33"/>
      <c r="T803" s="33"/>
      <c r="U803" s="33"/>
      <c r="V803" s="33"/>
      <c r="W803" s="33"/>
      <c r="X803" s="34"/>
      <c r="Y803" s="33"/>
      <c r="Z803" s="34"/>
      <c r="AA803" s="33"/>
    </row>
    <row r="804" ht="15.75" customHeight="1">
      <c r="H804" s="33"/>
      <c r="I804" s="33"/>
      <c r="M804" s="33"/>
      <c r="N804" s="33"/>
      <c r="O804" s="33"/>
      <c r="P804" s="33"/>
      <c r="Q804" s="33"/>
      <c r="R804" s="33"/>
      <c r="S804" s="33"/>
      <c r="T804" s="33"/>
      <c r="U804" s="33"/>
      <c r="V804" s="33"/>
      <c r="W804" s="33"/>
      <c r="X804" s="34"/>
      <c r="Y804" s="33"/>
      <c r="Z804" s="34"/>
      <c r="AA804" s="33"/>
    </row>
    <row r="805" ht="15.75" customHeight="1">
      <c r="H805" s="33"/>
      <c r="I805" s="33"/>
      <c r="M805" s="33"/>
      <c r="N805" s="33"/>
      <c r="O805" s="33"/>
      <c r="P805" s="33"/>
      <c r="Q805" s="33"/>
      <c r="R805" s="33"/>
      <c r="S805" s="33"/>
      <c r="T805" s="33"/>
      <c r="U805" s="33"/>
      <c r="V805" s="33"/>
      <c r="W805" s="33"/>
      <c r="X805" s="34"/>
      <c r="Y805" s="33"/>
      <c r="Z805" s="34"/>
      <c r="AA805" s="33"/>
    </row>
    <row r="806" ht="15.75" customHeight="1">
      <c r="H806" s="33"/>
      <c r="I806" s="33"/>
      <c r="M806" s="33"/>
      <c r="N806" s="33"/>
      <c r="O806" s="33"/>
      <c r="P806" s="33"/>
      <c r="Q806" s="33"/>
      <c r="R806" s="33"/>
      <c r="S806" s="33"/>
      <c r="T806" s="33"/>
      <c r="U806" s="33"/>
      <c r="V806" s="33"/>
      <c r="W806" s="33"/>
      <c r="X806" s="34"/>
      <c r="Y806" s="33"/>
      <c r="Z806" s="34"/>
      <c r="AA806" s="33"/>
    </row>
    <row r="807" ht="15.75" customHeight="1">
      <c r="H807" s="33"/>
      <c r="I807" s="33"/>
      <c r="M807" s="33"/>
      <c r="N807" s="33"/>
      <c r="O807" s="33"/>
      <c r="P807" s="33"/>
      <c r="Q807" s="33"/>
      <c r="R807" s="33"/>
      <c r="S807" s="33"/>
      <c r="T807" s="33"/>
      <c r="U807" s="33"/>
      <c r="V807" s="33"/>
      <c r="W807" s="33"/>
      <c r="X807" s="34"/>
      <c r="Y807" s="33"/>
      <c r="Z807" s="34"/>
      <c r="AA807" s="33"/>
    </row>
    <row r="808" ht="15.75" customHeight="1">
      <c r="H808" s="33"/>
      <c r="I808" s="33"/>
      <c r="M808" s="33"/>
      <c r="N808" s="33"/>
      <c r="O808" s="33"/>
      <c r="P808" s="33"/>
      <c r="Q808" s="33"/>
      <c r="R808" s="33"/>
      <c r="S808" s="33"/>
      <c r="T808" s="33"/>
      <c r="U808" s="33"/>
      <c r="V808" s="33"/>
      <c r="W808" s="33"/>
      <c r="X808" s="34"/>
      <c r="Y808" s="33"/>
      <c r="Z808" s="34"/>
      <c r="AA808" s="33"/>
    </row>
    <row r="809" ht="15.75" customHeight="1">
      <c r="H809" s="33"/>
      <c r="I809" s="33"/>
      <c r="M809" s="33"/>
      <c r="N809" s="33"/>
      <c r="O809" s="33"/>
      <c r="P809" s="33"/>
      <c r="Q809" s="33"/>
      <c r="R809" s="33"/>
      <c r="S809" s="33"/>
      <c r="T809" s="33"/>
      <c r="U809" s="33"/>
      <c r="V809" s="33"/>
      <c r="W809" s="33"/>
      <c r="X809" s="34"/>
      <c r="Y809" s="33"/>
      <c r="Z809" s="34"/>
      <c r="AA809" s="33"/>
    </row>
    <row r="810" ht="15.75" customHeight="1">
      <c r="H810" s="33"/>
      <c r="I810" s="33"/>
      <c r="M810" s="33"/>
      <c r="N810" s="33"/>
      <c r="O810" s="33"/>
      <c r="P810" s="33"/>
      <c r="Q810" s="33"/>
      <c r="R810" s="33"/>
      <c r="S810" s="33"/>
      <c r="T810" s="33"/>
      <c r="U810" s="33"/>
      <c r="V810" s="33"/>
      <c r="W810" s="33"/>
      <c r="X810" s="34"/>
      <c r="Y810" s="33"/>
      <c r="Z810" s="34"/>
      <c r="AA810" s="33"/>
    </row>
    <row r="811" ht="15.75" customHeight="1">
      <c r="H811" s="33"/>
      <c r="I811" s="33"/>
      <c r="M811" s="33"/>
      <c r="N811" s="33"/>
      <c r="O811" s="33"/>
      <c r="P811" s="33"/>
      <c r="Q811" s="33"/>
      <c r="R811" s="33"/>
      <c r="S811" s="33"/>
      <c r="T811" s="33"/>
      <c r="U811" s="33"/>
      <c r="V811" s="33"/>
      <c r="W811" s="33"/>
      <c r="X811" s="34"/>
      <c r="Y811" s="33"/>
      <c r="Z811" s="34"/>
      <c r="AA811" s="33"/>
    </row>
    <row r="812" ht="15.75" customHeight="1">
      <c r="H812" s="33"/>
      <c r="I812" s="33"/>
      <c r="M812" s="33"/>
      <c r="N812" s="33"/>
      <c r="O812" s="33"/>
      <c r="P812" s="33"/>
      <c r="Q812" s="33"/>
      <c r="R812" s="33"/>
      <c r="S812" s="33"/>
      <c r="T812" s="33"/>
      <c r="U812" s="33"/>
      <c r="V812" s="33"/>
      <c r="W812" s="33"/>
      <c r="X812" s="34"/>
      <c r="Y812" s="33"/>
      <c r="Z812" s="34"/>
      <c r="AA812" s="33"/>
    </row>
    <row r="813" ht="15.75" customHeight="1">
      <c r="H813" s="33"/>
      <c r="I813" s="33"/>
      <c r="M813" s="33"/>
      <c r="N813" s="33"/>
      <c r="O813" s="33"/>
      <c r="P813" s="33"/>
      <c r="Q813" s="33"/>
      <c r="R813" s="33"/>
      <c r="S813" s="33"/>
      <c r="T813" s="33"/>
      <c r="U813" s="33"/>
      <c r="V813" s="33"/>
      <c r="W813" s="33"/>
      <c r="X813" s="34"/>
      <c r="Y813" s="33"/>
      <c r="Z813" s="34"/>
      <c r="AA813" s="33"/>
    </row>
    <row r="814" ht="15.75" customHeight="1">
      <c r="H814" s="33"/>
      <c r="I814" s="33"/>
      <c r="M814" s="33"/>
      <c r="N814" s="33"/>
      <c r="O814" s="33"/>
      <c r="P814" s="33"/>
      <c r="Q814" s="33"/>
      <c r="R814" s="33"/>
      <c r="S814" s="33"/>
      <c r="T814" s="33"/>
      <c r="U814" s="33"/>
      <c r="V814" s="33"/>
      <c r="W814" s="33"/>
      <c r="X814" s="34"/>
      <c r="Y814" s="33"/>
      <c r="Z814" s="34"/>
      <c r="AA814" s="33"/>
    </row>
    <row r="815" ht="15.75" customHeight="1">
      <c r="H815" s="33"/>
      <c r="I815" s="33"/>
      <c r="M815" s="33"/>
      <c r="N815" s="33"/>
      <c r="O815" s="33"/>
      <c r="P815" s="33"/>
      <c r="Q815" s="33"/>
      <c r="R815" s="33"/>
      <c r="S815" s="33"/>
      <c r="T815" s="33"/>
      <c r="U815" s="33"/>
      <c r="V815" s="33"/>
      <c r="W815" s="33"/>
      <c r="X815" s="34"/>
      <c r="Y815" s="33"/>
      <c r="Z815" s="34"/>
      <c r="AA815" s="33"/>
    </row>
    <row r="816" ht="15.75" customHeight="1">
      <c r="H816" s="33"/>
      <c r="I816" s="33"/>
      <c r="M816" s="33"/>
      <c r="N816" s="33"/>
      <c r="O816" s="33"/>
      <c r="P816" s="33"/>
      <c r="Q816" s="33"/>
      <c r="R816" s="33"/>
      <c r="S816" s="33"/>
      <c r="T816" s="33"/>
      <c r="U816" s="33"/>
      <c r="V816" s="33"/>
      <c r="W816" s="33"/>
      <c r="X816" s="34"/>
      <c r="Y816" s="33"/>
      <c r="Z816" s="34"/>
      <c r="AA816" s="33"/>
    </row>
    <row r="817" ht="15.75" customHeight="1">
      <c r="H817" s="33"/>
      <c r="I817" s="33"/>
      <c r="M817" s="33"/>
      <c r="N817" s="33"/>
      <c r="O817" s="33"/>
      <c r="P817" s="33"/>
      <c r="Q817" s="33"/>
      <c r="R817" s="33"/>
      <c r="S817" s="33"/>
      <c r="T817" s="33"/>
      <c r="U817" s="33"/>
      <c r="V817" s="33"/>
      <c r="W817" s="33"/>
      <c r="X817" s="34"/>
      <c r="Y817" s="33"/>
      <c r="Z817" s="34"/>
      <c r="AA817" s="33"/>
    </row>
    <row r="818" ht="15.75" customHeight="1">
      <c r="H818" s="33"/>
      <c r="I818" s="33"/>
      <c r="M818" s="33"/>
      <c r="N818" s="33"/>
      <c r="O818" s="33"/>
      <c r="P818" s="33"/>
      <c r="Q818" s="33"/>
      <c r="R818" s="33"/>
      <c r="S818" s="33"/>
      <c r="T818" s="33"/>
      <c r="U818" s="33"/>
      <c r="V818" s="33"/>
      <c r="W818" s="33"/>
      <c r="X818" s="34"/>
      <c r="Y818" s="33"/>
      <c r="Z818" s="34"/>
      <c r="AA818" s="33"/>
    </row>
    <row r="819" ht="15.75" customHeight="1">
      <c r="H819" s="33"/>
      <c r="I819" s="33"/>
      <c r="M819" s="33"/>
      <c r="N819" s="33"/>
      <c r="O819" s="33"/>
      <c r="P819" s="33"/>
      <c r="Q819" s="33"/>
      <c r="R819" s="33"/>
      <c r="S819" s="33"/>
      <c r="T819" s="33"/>
      <c r="U819" s="33"/>
      <c r="V819" s="33"/>
      <c r="W819" s="33"/>
      <c r="X819" s="34"/>
      <c r="Y819" s="33"/>
      <c r="Z819" s="34"/>
      <c r="AA819" s="33"/>
    </row>
    <row r="820" ht="15.75" customHeight="1">
      <c r="H820" s="33"/>
      <c r="I820" s="33"/>
      <c r="M820" s="33"/>
      <c r="N820" s="33"/>
      <c r="O820" s="33"/>
      <c r="P820" s="33"/>
      <c r="Q820" s="33"/>
      <c r="R820" s="33"/>
      <c r="S820" s="33"/>
      <c r="T820" s="33"/>
      <c r="U820" s="33"/>
      <c r="V820" s="33"/>
      <c r="W820" s="33"/>
      <c r="X820" s="34"/>
      <c r="Y820" s="33"/>
      <c r="Z820" s="34"/>
      <c r="AA820" s="33"/>
    </row>
    <row r="821" ht="15.75" customHeight="1">
      <c r="H821" s="33"/>
      <c r="I821" s="33"/>
      <c r="M821" s="33"/>
      <c r="N821" s="33"/>
      <c r="O821" s="33"/>
      <c r="P821" s="33"/>
      <c r="Q821" s="33"/>
      <c r="R821" s="33"/>
      <c r="S821" s="33"/>
      <c r="T821" s="33"/>
      <c r="U821" s="33"/>
      <c r="V821" s="33"/>
      <c r="W821" s="33"/>
      <c r="X821" s="34"/>
      <c r="Y821" s="33"/>
      <c r="Z821" s="34"/>
      <c r="AA821" s="33"/>
    </row>
    <row r="822" ht="15.75" customHeight="1">
      <c r="H822" s="33"/>
      <c r="I822" s="33"/>
      <c r="M822" s="33"/>
      <c r="N822" s="33"/>
      <c r="O822" s="33"/>
      <c r="P822" s="33"/>
      <c r="Q822" s="33"/>
      <c r="R822" s="33"/>
      <c r="S822" s="33"/>
      <c r="T822" s="33"/>
      <c r="U822" s="33"/>
      <c r="V822" s="33"/>
      <c r="W822" s="33"/>
      <c r="X822" s="34"/>
      <c r="Y822" s="33"/>
      <c r="Z822" s="34"/>
      <c r="AA822" s="33"/>
    </row>
    <row r="823" ht="15.75" customHeight="1">
      <c r="H823" s="33"/>
      <c r="I823" s="33"/>
      <c r="M823" s="33"/>
      <c r="N823" s="33"/>
      <c r="O823" s="33"/>
      <c r="P823" s="33"/>
      <c r="Q823" s="33"/>
      <c r="R823" s="33"/>
      <c r="S823" s="33"/>
      <c r="T823" s="33"/>
      <c r="U823" s="33"/>
      <c r="V823" s="33"/>
      <c r="W823" s="33"/>
      <c r="X823" s="34"/>
      <c r="Y823" s="33"/>
      <c r="Z823" s="34"/>
      <c r="AA823" s="33"/>
    </row>
    <row r="824" ht="15.75" customHeight="1">
      <c r="H824" s="33"/>
      <c r="I824" s="33"/>
      <c r="M824" s="33"/>
      <c r="N824" s="33"/>
      <c r="O824" s="33"/>
      <c r="P824" s="33"/>
      <c r="Q824" s="33"/>
      <c r="R824" s="33"/>
      <c r="S824" s="33"/>
      <c r="T824" s="33"/>
      <c r="U824" s="33"/>
      <c r="V824" s="33"/>
      <c r="W824" s="33"/>
      <c r="X824" s="34"/>
      <c r="Y824" s="33"/>
      <c r="Z824" s="34"/>
      <c r="AA824" s="33"/>
    </row>
    <row r="825" ht="15.75" customHeight="1">
      <c r="H825" s="33"/>
      <c r="I825" s="33"/>
      <c r="M825" s="33"/>
      <c r="N825" s="33"/>
      <c r="O825" s="33"/>
      <c r="P825" s="33"/>
      <c r="Q825" s="33"/>
      <c r="R825" s="33"/>
      <c r="S825" s="33"/>
      <c r="T825" s="33"/>
      <c r="U825" s="33"/>
      <c r="V825" s="33"/>
      <c r="W825" s="33"/>
      <c r="X825" s="34"/>
      <c r="Y825" s="33"/>
      <c r="Z825" s="34"/>
      <c r="AA825" s="33"/>
    </row>
    <row r="826" ht="15.75" customHeight="1">
      <c r="H826" s="33"/>
      <c r="I826" s="33"/>
      <c r="M826" s="33"/>
      <c r="N826" s="33"/>
      <c r="O826" s="33"/>
      <c r="P826" s="33"/>
      <c r="Q826" s="33"/>
      <c r="R826" s="33"/>
      <c r="S826" s="33"/>
      <c r="T826" s="33"/>
      <c r="U826" s="33"/>
      <c r="V826" s="33"/>
      <c r="W826" s="33"/>
      <c r="X826" s="34"/>
      <c r="Y826" s="33"/>
      <c r="Z826" s="34"/>
      <c r="AA826" s="33"/>
    </row>
    <row r="827" ht="15.75" customHeight="1">
      <c r="H827" s="33"/>
      <c r="I827" s="33"/>
      <c r="M827" s="33"/>
      <c r="N827" s="33"/>
      <c r="O827" s="33"/>
      <c r="P827" s="33"/>
      <c r="Q827" s="33"/>
      <c r="R827" s="33"/>
      <c r="S827" s="33"/>
      <c r="T827" s="33"/>
      <c r="U827" s="33"/>
      <c r="V827" s="33"/>
      <c r="W827" s="33"/>
      <c r="X827" s="34"/>
      <c r="Y827" s="33"/>
      <c r="Z827" s="34"/>
      <c r="AA827" s="33"/>
    </row>
    <row r="828" ht="15.75" customHeight="1">
      <c r="H828" s="33"/>
      <c r="I828" s="33"/>
      <c r="M828" s="33"/>
      <c r="N828" s="33"/>
      <c r="O828" s="33"/>
      <c r="P828" s="33"/>
      <c r="Q828" s="33"/>
      <c r="R828" s="33"/>
      <c r="S828" s="33"/>
      <c r="T828" s="33"/>
      <c r="U828" s="33"/>
      <c r="V828" s="33"/>
      <c r="W828" s="33"/>
      <c r="X828" s="34"/>
      <c r="Y828" s="33"/>
      <c r="Z828" s="34"/>
      <c r="AA828" s="33"/>
    </row>
    <row r="829" ht="15.75" customHeight="1">
      <c r="H829" s="33"/>
      <c r="I829" s="33"/>
      <c r="M829" s="33"/>
      <c r="N829" s="33"/>
      <c r="O829" s="33"/>
      <c r="P829" s="33"/>
      <c r="Q829" s="33"/>
      <c r="R829" s="33"/>
      <c r="S829" s="33"/>
      <c r="T829" s="33"/>
      <c r="U829" s="33"/>
      <c r="V829" s="33"/>
      <c r="W829" s="33"/>
      <c r="X829" s="34"/>
      <c r="Y829" s="33"/>
      <c r="Z829" s="34"/>
      <c r="AA829" s="33"/>
    </row>
    <row r="830" ht="15.75" customHeight="1">
      <c r="H830" s="33"/>
      <c r="I830" s="33"/>
      <c r="M830" s="33"/>
      <c r="N830" s="33"/>
      <c r="O830" s="33"/>
      <c r="P830" s="33"/>
      <c r="Q830" s="33"/>
      <c r="R830" s="33"/>
      <c r="S830" s="33"/>
      <c r="T830" s="33"/>
      <c r="U830" s="33"/>
      <c r="V830" s="33"/>
      <c r="W830" s="33"/>
      <c r="X830" s="34"/>
      <c r="Y830" s="33"/>
      <c r="Z830" s="34"/>
      <c r="AA830" s="33"/>
    </row>
    <row r="831" ht="15.75" customHeight="1">
      <c r="H831" s="33"/>
      <c r="I831" s="33"/>
      <c r="M831" s="33"/>
      <c r="N831" s="33"/>
      <c r="O831" s="33"/>
      <c r="P831" s="33"/>
      <c r="Q831" s="33"/>
      <c r="R831" s="33"/>
      <c r="S831" s="33"/>
      <c r="T831" s="33"/>
      <c r="U831" s="33"/>
      <c r="V831" s="33"/>
      <c r="W831" s="33"/>
      <c r="X831" s="34"/>
      <c r="Y831" s="33"/>
      <c r="Z831" s="34"/>
      <c r="AA831" s="33"/>
    </row>
    <row r="832" ht="15.75" customHeight="1">
      <c r="H832" s="33"/>
      <c r="I832" s="33"/>
      <c r="M832" s="33"/>
      <c r="N832" s="33"/>
      <c r="O832" s="33"/>
      <c r="P832" s="33"/>
      <c r="Q832" s="33"/>
      <c r="R832" s="33"/>
      <c r="S832" s="33"/>
      <c r="T832" s="33"/>
      <c r="U832" s="33"/>
      <c r="V832" s="33"/>
      <c r="W832" s="33"/>
      <c r="X832" s="34"/>
      <c r="Y832" s="33"/>
      <c r="Z832" s="34"/>
      <c r="AA832" s="33"/>
    </row>
    <row r="833" ht="15.75" customHeight="1">
      <c r="H833" s="33"/>
      <c r="I833" s="33"/>
      <c r="M833" s="33"/>
      <c r="N833" s="33"/>
      <c r="O833" s="33"/>
      <c r="P833" s="33"/>
      <c r="Q833" s="33"/>
      <c r="R833" s="33"/>
      <c r="S833" s="33"/>
      <c r="T833" s="33"/>
      <c r="U833" s="33"/>
      <c r="V833" s="33"/>
      <c r="W833" s="33"/>
      <c r="X833" s="34"/>
      <c r="Y833" s="33"/>
      <c r="Z833" s="34"/>
      <c r="AA833" s="33"/>
    </row>
    <row r="834" ht="15.75" customHeight="1">
      <c r="H834" s="33"/>
      <c r="I834" s="33"/>
      <c r="M834" s="33"/>
      <c r="N834" s="33"/>
      <c r="O834" s="33"/>
      <c r="P834" s="33"/>
      <c r="Q834" s="33"/>
      <c r="R834" s="33"/>
      <c r="S834" s="33"/>
      <c r="T834" s="33"/>
      <c r="U834" s="33"/>
      <c r="V834" s="33"/>
      <c r="W834" s="33"/>
      <c r="X834" s="34"/>
      <c r="Y834" s="33"/>
      <c r="Z834" s="34"/>
      <c r="AA834" s="33"/>
    </row>
    <row r="835" ht="15.75" customHeight="1">
      <c r="H835" s="33"/>
      <c r="I835" s="33"/>
      <c r="M835" s="33"/>
      <c r="N835" s="33"/>
      <c r="O835" s="33"/>
      <c r="P835" s="33"/>
      <c r="Q835" s="33"/>
      <c r="R835" s="33"/>
      <c r="S835" s="33"/>
      <c r="T835" s="33"/>
      <c r="U835" s="33"/>
      <c r="V835" s="33"/>
      <c r="W835" s="33"/>
      <c r="X835" s="34"/>
      <c r="Y835" s="33"/>
      <c r="Z835" s="34"/>
      <c r="AA835" s="33"/>
    </row>
    <row r="836" ht="15.75" customHeight="1">
      <c r="H836" s="33"/>
      <c r="I836" s="33"/>
      <c r="M836" s="33"/>
      <c r="N836" s="33"/>
      <c r="O836" s="33"/>
      <c r="P836" s="33"/>
      <c r="Q836" s="33"/>
      <c r="R836" s="33"/>
      <c r="S836" s="33"/>
      <c r="T836" s="33"/>
      <c r="U836" s="33"/>
      <c r="V836" s="33"/>
      <c r="W836" s="33"/>
      <c r="X836" s="34"/>
      <c r="Y836" s="33"/>
      <c r="Z836" s="34"/>
      <c r="AA836" s="33"/>
    </row>
    <row r="837" ht="15.75" customHeight="1">
      <c r="H837" s="33"/>
      <c r="I837" s="33"/>
      <c r="M837" s="33"/>
      <c r="N837" s="33"/>
      <c r="O837" s="33"/>
      <c r="P837" s="33"/>
      <c r="Q837" s="33"/>
      <c r="R837" s="33"/>
      <c r="S837" s="33"/>
      <c r="T837" s="33"/>
      <c r="U837" s="33"/>
      <c r="V837" s="33"/>
      <c r="W837" s="33"/>
      <c r="X837" s="34"/>
      <c r="Y837" s="33"/>
      <c r="Z837" s="34"/>
      <c r="AA837" s="33"/>
    </row>
    <row r="838" ht="15.75" customHeight="1">
      <c r="H838" s="33"/>
      <c r="I838" s="33"/>
      <c r="M838" s="33"/>
      <c r="N838" s="33"/>
      <c r="O838" s="33"/>
      <c r="P838" s="33"/>
      <c r="Q838" s="33"/>
      <c r="R838" s="33"/>
      <c r="S838" s="33"/>
      <c r="T838" s="33"/>
      <c r="U838" s="33"/>
      <c r="V838" s="33"/>
      <c r="W838" s="33"/>
      <c r="X838" s="34"/>
      <c r="Y838" s="33"/>
      <c r="Z838" s="34"/>
      <c r="AA838" s="33"/>
    </row>
    <row r="839" ht="15.75" customHeight="1">
      <c r="H839" s="33"/>
      <c r="I839" s="33"/>
      <c r="M839" s="33"/>
      <c r="N839" s="33"/>
      <c r="O839" s="33"/>
      <c r="P839" s="33"/>
      <c r="Q839" s="33"/>
      <c r="R839" s="33"/>
      <c r="S839" s="33"/>
      <c r="T839" s="33"/>
      <c r="U839" s="33"/>
      <c r="V839" s="33"/>
      <c r="W839" s="33"/>
      <c r="X839" s="34"/>
      <c r="Y839" s="33"/>
      <c r="Z839" s="34"/>
      <c r="AA839" s="33"/>
    </row>
    <row r="840" ht="15.75" customHeight="1">
      <c r="H840" s="33"/>
      <c r="I840" s="33"/>
      <c r="M840" s="33"/>
      <c r="N840" s="33"/>
      <c r="O840" s="33"/>
      <c r="P840" s="33"/>
      <c r="Q840" s="33"/>
      <c r="R840" s="33"/>
      <c r="S840" s="33"/>
      <c r="T840" s="33"/>
      <c r="U840" s="33"/>
      <c r="V840" s="33"/>
      <c r="W840" s="33"/>
      <c r="X840" s="34"/>
      <c r="Y840" s="33"/>
      <c r="Z840" s="34"/>
      <c r="AA840" s="33"/>
    </row>
    <row r="841" ht="15.75" customHeight="1">
      <c r="H841" s="33"/>
      <c r="I841" s="33"/>
      <c r="M841" s="33"/>
      <c r="N841" s="33"/>
      <c r="O841" s="33"/>
      <c r="P841" s="33"/>
      <c r="Q841" s="33"/>
      <c r="R841" s="33"/>
      <c r="S841" s="33"/>
      <c r="T841" s="33"/>
      <c r="U841" s="33"/>
      <c r="V841" s="33"/>
      <c r="W841" s="33"/>
      <c r="X841" s="34"/>
      <c r="Y841" s="33"/>
      <c r="Z841" s="34"/>
      <c r="AA841" s="33"/>
    </row>
    <row r="842" ht="15.75" customHeight="1">
      <c r="H842" s="33"/>
      <c r="I842" s="33"/>
      <c r="M842" s="33"/>
      <c r="N842" s="33"/>
      <c r="O842" s="33"/>
      <c r="P842" s="33"/>
      <c r="Q842" s="33"/>
      <c r="R842" s="33"/>
      <c r="S842" s="33"/>
      <c r="T842" s="33"/>
      <c r="U842" s="33"/>
      <c r="V842" s="33"/>
      <c r="W842" s="33"/>
      <c r="X842" s="34"/>
      <c r="Y842" s="33"/>
      <c r="Z842" s="34"/>
      <c r="AA842" s="33"/>
    </row>
    <row r="843" ht="15.75" customHeight="1">
      <c r="H843" s="33"/>
      <c r="I843" s="33"/>
      <c r="M843" s="33"/>
      <c r="N843" s="33"/>
      <c r="O843" s="33"/>
      <c r="P843" s="33"/>
      <c r="Q843" s="33"/>
      <c r="R843" s="33"/>
      <c r="S843" s="33"/>
      <c r="T843" s="33"/>
      <c r="U843" s="33"/>
      <c r="V843" s="33"/>
      <c r="W843" s="33"/>
      <c r="X843" s="34"/>
      <c r="Y843" s="33"/>
      <c r="Z843" s="34"/>
      <c r="AA843" s="33"/>
    </row>
    <row r="844" ht="15.75" customHeight="1">
      <c r="H844" s="33"/>
      <c r="I844" s="33"/>
      <c r="M844" s="33"/>
      <c r="N844" s="33"/>
      <c r="O844" s="33"/>
      <c r="P844" s="33"/>
      <c r="Q844" s="33"/>
      <c r="R844" s="33"/>
      <c r="S844" s="33"/>
      <c r="T844" s="33"/>
      <c r="U844" s="33"/>
      <c r="V844" s="33"/>
      <c r="W844" s="33"/>
      <c r="X844" s="34"/>
      <c r="Y844" s="33"/>
      <c r="Z844" s="34"/>
      <c r="AA844" s="33"/>
    </row>
    <row r="845" ht="15.75" customHeight="1">
      <c r="H845" s="33"/>
      <c r="I845" s="33"/>
      <c r="M845" s="33"/>
      <c r="N845" s="33"/>
      <c r="O845" s="33"/>
      <c r="P845" s="33"/>
      <c r="Q845" s="33"/>
      <c r="R845" s="33"/>
      <c r="S845" s="33"/>
      <c r="T845" s="33"/>
      <c r="U845" s="33"/>
      <c r="V845" s="33"/>
      <c r="W845" s="33"/>
      <c r="X845" s="34"/>
      <c r="Y845" s="33"/>
      <c r="Z845" s="34"/>
      <c r="AA845" s="33"/>
    </row>
    <row r="846" ht="15.75" customHeight="1">
      <c r="H846" s="33"/>
      <c r="I846" s="33"/>
      <c r="M846" s="33"/>
      <c r="N846" s="33"/>
      <c r="O846" s="33"/>
      <c r="P846" s="33"/>
      <c r="Q846" s="33"/>
      <c r="R846" s="33"/>
      <c r="S846" s="33"/>
      <c r="T846" s="33"/>
      <c r="U846" s="33"/>
      <c r="V846" s="33"/>
      <c r="W846" s="33"/>
      <c r="X846" s="34"/>
      <c r="Y846" s="33"/>
      <c r="Z846" s="34"/>
      <c r="AA846" s="33"/>
    </row>
    <row r="847" ht="15.75" customHeight="1">
      <c r="H847" s="33"/>
      <c r="I847" s="33"/>
      <c r="M847" s="33"/>
      <c r="N847" s="33"/>
      <c r="O847" s="33"/>
      <c r="P847" s="33"/>
      <c r="Q847" s="33"/>
      <c r="R847" s="33"/>
      <c r="S847" s="33"/>
      <c r="T847" s="33"/>
      <c r="U847" s="33"/>
      <c r="V847" s="33"/>
      <c r="W847" s="33"/>
      <c r="X847" s="34"/>
      <c r="Y847" s="33"/>
      <c r="Z847" s="34"/>
      <c r="AA847" s="33"/>
    </row>
    <row r="848" ht="15.75" customHeight="1">
      <c r="H848" s="33"/>
      <c r="I848" s="33"/>
      <c r="M848" s="33"/>
      <c r="N848" s="33"/>
      <c r="O848" s="33"/>
      <c r="P848" s="33"/>
      <c r="Q848" s="33"/>
      <c r="R848" s="33"/>
      <c r="S848" s="33"/>
      <c r="T848" s="33"/>
      <c r="U848" s="33"/>
      <c r="V848" s="33"/>
      <c r="W848" s="33"/>
      <c r="X848" s="34"/>
      <c r="Y848" s="33"/>
      <c r="Z848" s="34"/>
      <c r="AA848" s="33"/>
    </row>
    <row r="849" ht="15.75" customHeight="1">
      <c r="H849" s="33"/>
      <c r="I849" s="33"/>
      <c r="M849" s="33"/>
      <c r="N849" s="33"/>
      <c r="O849" s="33"/>
      <c r="P849" s="33"/>
      <c r="Q849" s="33"/>
      <c r="R849" s="33"/>
      <c r="S849" s="33"/>
      <c r="T849" s="33"/>
      <c r="U849" s="33"/>
      <c r="V849" s="33"/>
      <c r="W849" s="33"/>
      <c r="X849" s="34"/>
      <c r="Y849" s="33"/>
      <c r="Z849" s="34"/>
      <c r="AA849" s="33"/>
    </row>
    <row r="850" ht="15.75" customHeight="1">
      <c r="H850" s="33"/>
      <c r="I850" s="33"/>
      <c r="M850" s="33"/>
      <c r="N850" s="33"/>
      <c r="O850" s="33"/>
      <c r="P850" s="33"/>
      <c r="Q850" s="33"/>
      <c r="R850" s="33"/>
      <c r="S850" s="33"/>
      <c r="T850" s="33"/>
      <c r="U850" s="33"/>
      <c r="V850" s="33"/>
      <c r="W850" s="33"/>
      <c r="X850" s="34"/>
      <c r="Y850" s="33"/>
      <c r="Z850" s="34"/>
      <c r="AA850" s="33"/>
    </row>
    <row r="851" ht="15.75" customHeight="1">
      <c r="H851" s="33"/>
      <c r="I851" s="33"/>
      <c r="M851" s="33"/>
      <c r="N851" s="33"/>
      <c r="O851" s="33"/>
      <c r="P851" s="33"/>
      <c r="Q851" s="33"/>
      <c r="R851" s="33"/>
      <c r="S851" s="33"/>
      <c r="T851" s="33"/>
      <c r="U851" s="33"/>
      <c r="V851" s="33"/>
      <c r="W851" s="33"/>
      <c r="X851" s="34"/>
      <c r="Y851" s="33"/>
      <c r="Z851" s="34"/>
      <c r="AA851" s="33"/>
    </row>
    <row r="852" ht="15.75" customHeight="1">
      <c r="H852" s="33"/>
      <c r="I852" s="33"/>
      <c r="M852" s="33"/>
      <c r="N852" s="33"/>
      <c r="O852" s="33"/>
      <c r="P852" s="33"/>
      <c r="Q852" s="33"/>
      <c r="R852" s="33"/>
      <c r="S852" s="33"/>
      <c r="T852" s="33"/>
      <c r="U852" s="33"/>
      <c r="V852" s="33"/>
      <c r="W852" s="33"/>
      <c r="X852" s="34"/>
      <c r="Y852" s="33"/>
      <c r="Z852" s="34"/>
      <c r="AA852" s="33"/>
    </row>
    <row r="853" ht="15.75" customHeight="1">
      <c r="H853" s="33"/>
      <c r="I853" s="33"/>
      <c r="M853" s="33"/>
      <c r="N853" s="33"/>
      <c r="O853" s="33"/>
      <c r="P853" s="33"/>
      <c r="Q853" s="33"/>
      <c r="R853" s="33"/>
      <c r="S853" s="33"/>
      <c r="T853" s="33"/>
      <c r="U853" s="33"/>
      <c r="V853" s="33"/>
      <c r="W853" s="33"/>
      <c r="X853" s="34"/>
      <c r="Y853" s="33"/>
      <c r="Z853" s="34"/>
      <c r="AA853" s="33"/>
    </row>
    <row r="854" ht="15.75" customHeight="1">
      <c r="H854" s="33"/>
      <c r="I854" s="33"/>
      <c r="M854" s="33"/>
      <c r="N854" s="33"/>
      <c r="O854" s="33"/>
      <c r="P854" s="33"/>
      <c r="Q854" s="33"/>
      <c r="R854" s="33"/>
      <c r="S854" s="33"/>
      <c r="T854" s="33"/>
      <c r="U854" s="33"/>
      <c r="V854" s="33"/>
      <c r="W854" s="33"/>
      <c r="X854" s="34"/>
      <c r="Y854" s="33"/>
      <c r="Z854" s="34"/>
      <c r="AA854" s="33"/>
    </row>
    <row r="855" ht="15.75" customHeight="1">
      <c r="H855" s="33"/>
      <c r="I855" s="33"/>
      <c r="M855" s="33"/>
      <c r="N855" s="33"/>
      <c r="O855" s="33"/>
      <c r="P855" s="33"/>
      <c r="Q855" s="33"/>
      <c r="R855" s="33"/>
      <c r="S855" s="33"/>
      <c r="T855" s="33"/>
      <c r="U855" s="33"/>
      <c r="V855" s="33"/>
      <c r="W855" s="33"/>
      <c r="X855" s="34"/>
      <c r="Y855" s="33"/>
      <c r="Z855" s="34"/>
      <c r="AA855" s="33"/>
    </row>
    <row r="856" ht="15.75" customHeight="1">
      <c r="H856" s="33"/>
      <c r="I856" s="33"/>
      <c r="M856" s="33"/>
      <c r="N856" s="33"/>
      <c r="O856" s="33"/>
      <c r="P856" s="33"/>
      <c r="Q856" s="33"/>
      <c r="R856" s="33"/>
      <c r="S856" s="33"/>
      <c r="T856" s="33"/>
      <c r="U856" s="33"/>
      <c r="V856" s="33"/>
      <c r="W856" s="33"/>
      <c r="X856" s="34"/>
      <c r="Y856" s="33"/>
      <c r="Z856" s="34"/>
      <c r="AA856" s="33"/>
    </row>
    <row r="857" ht="15.75" customHeight="1">
      <c r="H857" s="33"/>
      <c r="I857" s="33"/>
      <c r="M857" s="33"/>
      <c r="N857" s="33"/>
      <c r="O857" s="33"/>
      <c r="P857" s="33"/>
      <c r="Q857" s="33"/>
      <c r="R857" s="33"/>
      <c r="S857" s="33"/>
      <c r="T857" s="33"/>
      <c r="U857" s="33"/>
      <c r="V857" s="33"/>
      <c r="W857" s="33"/>
      <c r="X857" s="34"/>
      <c r="Y857" s="33"/>
      <c r="Z857" s="34"/>
      <c r="AA857" s="33"/>
    </row>
    <row r="858" ht="15.75" customHeight="1">
      <c r="H858" s="33"/>
      <c r="I858" s="33"/>
      <c r="M858" s="33"/>
      <c r="N858" s="33"/>
      <c r="O858" s="33"/>
      <c r="P858" s="33"/>
      <c r="Q858" s="33"/>
      <c r="R858" s="33"/>
      <c r="S858" s="33"/>
      <c r="T858" s="33"/>
      <c r="U858" s="33"/>
      <c r="V858" s="33"/>
      <c r="W858" s="33"/>
      <c r="X858" s="34"/>
      <c r="Y858" s="33"/>
      <c r="Z858" s="34"/>
      <c r="AA858" s="33"/>
    </row>
    <row r="859" ht="15.75" customHeight="1">
      <c r="H859" s="33"/>
      <c r="I859" s="33"/>
      <c r="M859" s="33"/>
      <c r="N859" s="33"/>
      <c r="O859" s="33"/>
      <c r="P859" s="33"/>
      <c r="Q859" s="33"/>
      <c r="R859" s="33"/>
      <c r="S859" s="33"/>
      <c r="T859" s="33"/>
      <c r="U859" s="33"/>
      <c r="V859" s="33"/>
      <c r="W859" s="33"/>
      <c r="X859" s="34"/>
      <c r="Y859" s="33"/>
      <c r="Z859" s="34"/>
      <c r="AA859" s="33"/>
    </row>
    <row r="860" ht="15.75" customHeight="1">
      <c r="H860" s="33"/>
      <c r="I860" s="33"/>
      <c r="M860" s="33"/>
      <c r="N860" s="33"/>
      <c r="O860" s="33"/>
      <c r="P860" s="33"/>
      <c r="Q860" s="33"/>
      <c r="R860" s="33"/>
      <c r="S860" s="33"/>
      <c r="T860" s="33"/>
      <c r="U860" s="33"/>
      <c r="V860" s="33"/>
      <c r="W860" s="33"/>
      <c r="X860" s="34"/>
      <c r="Y860" s="33"/>
      <c r="Z860" s="34"/>
      <c r="AA860" s="33"/>
    </row>
    <row r="861" ht="15.75" customHeight="1">
      <c r="H861" s="33"/>
      <c r="I861" s="33"/>
      <c r="M861" s="33"/>
      <c r="N861" s="33"/>
      <c r="O861" s="33"/>
      <c r="P861" s="33"/>
      <c r="Q861" s="33"/>
      <c r="R861" s="33"/>
      <c r="S861" s="33"/>
      <c r="T861" s="33"/>
      <c r="U861" s="33"/>
      <c r="V861" s="33"/>
      <c r="W861" s="33"/>
      <c r="X861" s="34"/>
      <c r="Y861" s="33"/>
      <c r="Z861" s="34"/>
      <c r="AA861" s="33"/>
    </row>
    <row r="862" ht="15.75" customHeight="1">
      <c r="H862" s="33"/>
      <c r="I862" s="33"/>
      <c r="M862" s="33"/>
      <c r="N862" s="33"/>
      <c r="O862" s="33"/>
      <c r="P862" s="33"/>
      <c r="Q862" s="33"/>
      <c r="R862" s="33"/>
      <c r="S862" s="33"/>
      <c r="T862" s="33"/>
      <c r="U862" s="33"/>
      <c r="V862" s="33"/>
      <c r="W862" s="33"/>
      <c r="X862" s="34"/>
      <c r="Y862" s="33"/>
      <c r="Z862" s="34"/>
      <c r="AA862" s="33"/>
    </row>
    <row r="863" ht="15.75" customHeight="1">
      <c r="H863" s="33"/>
      <c r="I863" s="33"/>
      <c r="M863" s="33"/>
      <c r="N863" s="33"/>
      <c r="O863" s="33"/>
      <c r="P863" s="33"/>
      <c r="Q863" s="33"/>
      <c r="R863" s="33"/>
      <c r="S863" s="33"/>
      <c r="T863" s="33"/>
      <c r="U863" s="33"/>
      <c r="V863" s="33"/>
      <c r="W863" s="33"/>
      <c r="X863" s="34"/>
      <c r="Y863" s="33"/>
      <c r="Z863" s="34"/>
      <c r="AA863" s="33"/>
    </row>
    <row r="864" ht="15.75" customHeight="1">
      <c r="H864" s="33"/>
      <c r="I864" s="33"/>
      <c r="M864" s="33"/>
      <c r="N864" s="33"/>
      <c r="O864" s="33"/>
      <c r="P864" s="33"/>
      <c r="Q864" s="33"/>
      <c r="R864" s="33"/>
      <c r="S864" s="33"/>
      <c r="T864" s="33"/>
      <c r="U864" s="33"/>
      <c r="V864" s="33"/>
      <c r="W864" s="33"/>
      <c r="X864" s="34"/>
      <c r="Y864" s="33"/>
      <c r="Z864" s="34"/>
      <c r="AA864" s="33"/>
    </row>
    <row r="865" ht="15.75" customHeight="1">
      <c r="H865" s="33"/>
      <c r="I865" s="33"/>
      <c r="M865" s="33"/>
      <c r="N865" s="33"/>
      <c r="O865" s="33"/>
      <c r="P865" s="33"/>
      <c r="Q865" s="33"/>
      <c r="R865" s="33"/>
      <c r="S865" s="33"/>
      <c r="T865" s="33"/>
      <c r="U865" s="33"/>
      <c r="V865" s="33"/>
      <c r="W865" s="33"/>
      <c r="X865" s="34"/>
      <c r="Y865" s="33"/>
      <c r="Z865" s="34"/>
      <c r="AA865" s="33"/>
    </row>
    <row r="866" ht="15.75" customHeight="1">
      <c r="H866" s="33"/>
      <c r="I866" s="33"/>
      <c r="M866" s="33"/>
      <c r="N866" s="33"/>
      <c r="O866" s="33"/>
      <c r="P866" s="33"/>
      <c r="Q866" s="33"/>
      <c r="R866" s="33"/>
      <c r="S866" s="33"/>
      <c r="T866" s="33"/>
      <c r="U866" s="33"/>
      <c r="V866" s="33"/>
      <c r="W866" s="33"/>
      <c r="X866" s="34"/>
      <c r="Y866" s="33"/>
      <c r="Z866" s="34"/>
      <c r="AA866" s="33"/>
    </row>
    <row r="867" ht="15.75" customHeight="1">
      <c r="H867" s="33"/>
      <c r="I867" s="33"/>
      <c r="M867" s="33"/>
      <c r="N867" s="33"/>
      <c r="O867" s="33"/>
      <c r="P867" s="33"/>
      <c r="Q867" s="33"/>
      <c r="R867" s="33"/>
      <c r="S867" s="33"/>
      <c r="T867" s="33"/>
      <c r="U867" s="33"/>
      <c r="V867" s="33"/>
      <c r="W867" s="33"/>
      <c r="X867" s="34"/>
      <c r="Y867" s="33"/>
      <c r="Z867" s="34"/>
      <c r="AA867" s="33"/>
    </row>
    <row r="868" ht="15.75" customHeight="1">
      <c r="H868" s="33"/>
      <c r="I868" s="33"/>
      <c r="M868" s="33"/>
      <c r="N868" s="33"/>
      <c r="O868" s="33"/>
      <c r="P868" s="33"/>
      <c r="Q868" s="33"/>
      <c r="R868" s="33"/>
      <c r="S868" s="33"/>
      <c r="T868" s="33"/>
      <c r="U868" s="33"/>
      <c r="V868" s="33"/>
      <c r="W868" s="33"/>
      <c r="X868" s="34"/>
      <c r="Y868" s="33"/>
      <c r="Z868" s="34"/>
      <c r="AA868" s="33"/>
    </row>
    <row r="869" ht="15.75" customHeight="1">
      <c r="H869" s="33"/>
      <c r="I869" s="33"/>
      <c r="M869" s="33"/>
      <c r="N869" s="33"/>
      <c r="O869" s="33"/>
      <c r="P869" s="33"/>
      <c r="Q869" s="33"/>
      <c r="R869" s="33"/>
      <c r="S869" s="33"/>
      <c r="T869" s="33"/>
      <c r="U869" s="33"/>
      <c r="V869" s="33"/>
      <c r="W869" s="33"/>
      <c r="X869" s="34"/>
      <c r="Y869" s="33"/>
      <c r="Z869" s="34"/>
      <c r="AA869" s="33"/>
    </row>
    <row r="870" ht="15.75" customHeight="1">
      <c r="H870" s="33"/>
      <c r="I870" s="33"/>
      <c r="M870" s="33"/>
      <c r="N870" s="33"/>
      <c r="O870" s="33"/>
      <c r="P870" s="33"/>
      <c r="Q870" s="33"/>
      <c r="R870" s="33"/>
      <c r="S870" s="33"/>
      <c r="T870" s="33"/>
      <c r="U870" s="33"/>
      <c r="V870" s="33"/>
      <c r="W870" s="33"/>
      <c r="X870" s="34"/>
      <c r="Y870" s="33"/>
      <c r="Z870" s="34"/>
      <c r="AA870" s="33"/>
    </row>
    <row r="871" ht="15.75" customHeight="1">
      <c r="H871" s="33"/>
      <c r="I871" s="33"/>
      <c r="M871" s="33"/>
      <c r="N871" s="33"/>
      <c r="O871" s="33"/>
      <c r="P871" s="33"/>
      <c r="Q871" s="33"/>
      <c r="R871" s="33"/>
      <c r="S871" s="33"/>
      <c r="T871" s="33"/>
      <c r="U871" s="33"/>
      <c r="V871" s="33"/>
      <c r="W871" s="33"/>
      <c r="X871" s="34"/>
      <c r="Y871" s="33"/>
      <c r="Z871" s="34"/>
      <c r="AA871" s="33"/>
    </row>
    <row r="872" ht="15.75" customHeight="1">
      <c r="H872" s="33"/>
      <c r="I872" s="33"/>
      <c r="M872" s="33"/>
      <c r="N872" s="33"/>
      <c r="O872" s="33"/>
      <c r="P872" s="33"/>
      <c r="Q872" s="33"/>
      <c r="R872" s="33"/>
      <c r="S872" s="33"/>
      <c r="T872" s="33"/>
      <c r="U872" s="33"/>
      <c r="V872" s="33"/>
      <c r="W872" s="33"/>
      <c r="X872" s="34"/>
      <c r="Y872" s="33"/>
      <c r="Z872" s="34"/>
      <c r="AA872" s="33"/>
    </row>
    <row r="873" ht="15.75" customHeight="1">
      <c r="H873" s="33"/>
      <c r="I873" s="33"/>
      <c r="M873" s="33"/>
      <c r="N873" s="33"/>
      <c r="O873" s="33"/>
      <c r="P873" s="33"/>
      <c r="Q873" s="33"/>
      <c r="R873" s="33"/>
      <c r="S873" s="33"/>
      <c r="T873" s="33"/>
      <c r="U873" s="33"/>
      <c r="V873" s="33"/>
      <c r="W873" s="33"/>
      <c r="X873" s="34"/>
      <c r="Y873" s="33"/>
      <c r="Z873" s="34"/>
      <c r="AA873" s="33"/>
    </row>
    <row r="874" ht="15.75" customHeight="1">
      <c r="H874" s="33"/>
      <c r="I874" s="33"/>
      <c r="M874" s="33"/>
      <c r="N874" s="33"/>
      <c r="O874" s="33"/>
      <c r="P874" s="33"/>
      <c r="Q874" s="33"/>
      <c r="R874" s="33"/>
      <c r="S874" s="33"/>
      <c r="T874" s="33"/>
      <c r="U874" s="33"/>
      <c r="V874" s="33"/>
      <c r="W874" s="33"/>
      <c r="X874" s="34"/>
      <c r="Y874" s="33"/>
      <c r="Z874" s="34"/>
      <c r="AA874" s="33"/>
    </row>
    <row r="875" ht="15.75" customHeight="1">
      <c r="H875" s="33"/>
      <c r="I875" s="33"/>
      <c r="M875" s="33"/>
      <c r="N875" s="33"/>
      <c r="O875" s="33"/>
      <c r="P875" s="33"/>
      <c r="Q875" s="33"/>
      <c r="R875" s="33"/>
      <c r="S875" s="33"/>
      <c r="T875" s="33"/>
      <c r="U875" s="33"/>
      <c r="V875" s="33"/>
      <c r="W875" s="33"/>
      <c r="X875" s="34"/>
      <c r="Y875" s="33"/>
      <c r="Z875" s="34"/>
      <c r="AA875" s="33"/>
    </row>
    <row r="876" ht="15.75" customHeight="1">
      <c r="H876" s="33"/>
      <c r="I876" s="33"/>
      <c r="M876" s="33"/>
      <c r="N876" s="33"/>
      <c r="O876" s="33"/>
      <c r="P876" s="33"/>
      <c r="Q876" s="33"/>
      <c r="R876" s="33"/>
      <c r="S876" s="33"/>
      <c r="T876" s="33"/>
      <c r="U876" s="33"/>
      <c r="V876" s="33"/>
      <c r="W876" s="33"/>
      <c r="X876" s="34"/>
      <c r="Y876" s="33"/>
      <c r="Z876" s="34"/>
      <c r="AA876" s="33"/>
    </row>
    <row r="877" ht="15.75" customHeight="1">
      <c r="H877" s="33"/>
      <c r="I877" s="33"/>
      <c r="M877" s="33"/>
      <c r="N877" s="33"/>
      <c r="O877" s="33"/>
      <c r="P877" s="33"/>
      <c r="Q877" s="33"/>
      <c r="R877" s="33"/>
      <c r="S877" s="33"/>
      <c r="T877" s="33"/>
      <c r="U877" s="33"/>
      <c r="V877" s="33"/>
      <c r="W877" s="33"/>
      <c r="X877" s="34"/>
      <c r="Y877" s="33"/>
      <c r="Z877" s="34"/>
      <c r="AA877" s="33"/>
    </row>
    <row r="878" ht="15.75" customHeight="1">
      <c r="H878" s="33"/>
      <c r="I878" s="33"/>
      <c r="M878" s="33"/>
      <c r="N878" s="33"/>
      <c r="O878" s="33"/>
      <c r="P878" s="33"/>
      <c r="Q878" s="33"/>
      <c r="R878" s="33"/>
      <c r="S878" s="33"/>
      <c r="T878" s="33"/>
      <c r="U878" s="33"/>
      <c r="V878" s="33"/>
      <c r="W878" s="33"/>
      <c r="X878" s="34"/>
      <c r="Y878" s="33"/>
      <c r="Z878" s="34"/>
      <c r="AA878" s="33"/>
    </row>
    <row r="879" ht="15.75" customHeight="1">
      <c r="H879" s="33"/>
      <c r="I879" s="33"/>
      <c r="M879" s="33"/>
      <c r="N879" s="33"/>
      <c r="O879" s="33"/>
      <c r="P879" s="33"/>
      <c r="Q879" s="33"/>
      <c r="R879" s="33"/>
      <c r="S879" s="33"/>
      <c r="T879" s="33"/>
      <c r="U879" s="33"/>
      <c r="V879" s="33"/>
      <c r="W879" s="33"/>
      <c r="X879" s="34"/>
      <c r="Y879" s="33"/>
      <c r="Z879" s="34"/>
      <c r="AA879" s="33"/>
    </row>
    <row r="880" ht="15.75" customHeight="1">
      <c r="H880" s="33"/>
      <c r="I880" s="33"/>
      <c r="M880" s="33"/>
      <c r="N880" s="33"/>
      <c r="O880" s="33"/>
      <c r="P880" s="33"/>
      <c r="Q880" s="33"/>
      <c r="R880" s="33"/>
      <c r="S880" s="33"/>
      <c r="T880" s="33"/>
      <c r="U880" s="33"/>
      <c r="V880" s="33"/>
      <c r="W880" s="33"/>
      <c r="X880" s="34"/>
      <c r="Y880" s="33"/>
      <c r="Z880" s="34"/>
      <c r="AA880" s="33"/>
    </row>
    <row r="881" ht="15.75" customHeight="1">
      <c r="H881" s="33"/>
      <c r="I881" s="33"/>
      <c r="M881" s="33"/>
      <c r="N881" s="33"/>
      <c r="O881" s="33"/>
      <c r="P881" s="33"/>
      <c r="Q881" s="33"/>
      <c r="R881" s="33"/>
      <c r="S881" s="33"/>
      <c r="T881" s="33"/>
      <c r="U881" s="33"/>
      <c r="V881" s="33"/>
      <c r="W881" s="33"/>
      <c r="X881" s="34"/>
      <c r="Y881" s="33"/>
      <c r="Z881" s="34"/>
      <c r="AA881" s="33"/>
    </row>
    <row r="882" ht="15.75" customHeight="1">
      <c r="H882" s="33"/>
      <c r="I882" s="33"/>
      <c r="M882" s="33"/>
      <c r="N882" s="33"/>
      <c r="O882" s="33"/>
      <c r="P882" s="33"/>
      <c r="Q882" s="33"/>
      <c r="R882" s="33"/>
      <c r="S882" s="33"/>
      <c r="T882" s="33"/>
      <c r="U882" s="33"/>
      <c r="V882" s="33"/>
      <c r="W882" s="33"/>
      <c r="X882" s="34"/>
      <c r="Y882" s="33"/>
      <c r="Z882" s="34"/>
      <c r="AA882" s="33"/>
    </row>
    <row r="883" ht="15.75" customHeight="1">
      <c r="H883" s="33"/>
      <c r="I883" s="33"/>
      <c r="M883" s="33"/>
      <c r="N883" s="33"/>
      <c r="O883" s="33"/>
      <c r="P883" s="33"/>
      <c r="Q883" s="33"/>
      <c r="R883" s="33"/>
      <c r="S883" s="33"/>
      <c r="T883" s="33"/>
      <c r="U883" s="33"/>
      <c r="V883" s="33"/>
      <c r="W883" s="33"/>
      <c r="X883" s="34"/>
      <c r="Y883" s="33"/>
      <c r="Z883" s="34"/>
      <c r="AA883" s="33"/>
    </row>
    <row r="884" ht="15.75" customHeight="1">
      <c r="H884" s="33"/>
      <c r="I884" s="33"/>
      <c r="M884" s="33"/>
      <c r="N884" s="33"/>
      <c r="O884" s="33"/>
      <c r="P884" s="33"/>
      <c r="Q884" s="33"/>
      <c r="R884" s="33"/>
      <c r="S884" s="33"/>
      <c r="T884" s="33"/>
      <c r="U884" s="33"/>
      <c r="V884" s="33"/>
      <c r="W884" s="33"/>
      <c r="X884" s="34"/>
      <c r="Y884" s="33"/>
      <c r="Z884" s="34"/>
      <c r="AA884" s="33"/>
    </row>
    <row r="885" ht="15.75" customHeight="1">
      <c r="H885" s="33"/>
      <c r="I885" s="33"/>
      <c r="M885" s="33"/>
      <c r="N885" s="33"/>
      <c r="O885" s="33"/>
      <c r="P885" s="33"/>
      <c r="Q885" s="33"/>
      <c r="R885" s="33"/>
      <c r="S885" s="33"/>
      <c r="T885" s="33"/>
      <c r="U885" s="33"/>
      <c r="V885" s="33"/>
      <c r="W885" s="33"/>
      <c r="X885" s="34"/>
      <c r="Y885" s="33"/>
      <c r="Z885" s="34"/>
      <c r="AA885" s="33"/>
    </row>
    <row r="886" ht="15.75" customHeight="1">
      <c r="H886" s="33"/>
      <c r="I886" s="33"/>
      <c r="M886" s="33"/>
      <c r="N886" s="33"/>
      <c r="O886" s="33"/>
      <c r="P886" s="33"/>
      <c r="Q886" s="33"/>
      <c r="R886" s="33"/>
      <c r="S886" s="33"/>
      <c r="T886" s="33"/>
      <c r="U886" s="33"/>
      <c r="V886" s="33"/>
      <c r="W886" s="33"/>
      <c r="X886" s="34"/>
      <c r="Y886" s="33"/>
      <c r="Z886" s="34"/>
      <c r="AA886" s="33"/>
    </row>
    <row r="887" ht="15.75" customHeight="1">
      <c r="H887" s="33"/>
      <c r="I887" s="33"/>
      <c r="M887" s="33"/>
      <c r="N887" s="33"/>
      <c r="O887" s="33"/>
      <c r="P887" s="33"/>
      <c r="Q887" s="33"/>
      <c r="R887" s="33"/>
      <c r="S887" s="33"/>
      <c r="T887" s="33"/>
      <c r="U887" s="33"/>
      <c r="V887" s="33"/>
      <c r="W887" s="33"/>
      <c r="X887" s="34"/>
      <c r="Y887" s="33"/>
      <c r="Z887" s="34"/>
      <c r="AA887" s="33"/>
    </row>
    <row r="888" ht="15.75" customHeight="1">
      <c r="H888" s="33"/>
      <c r="I888" s="33"/>
      <c r="M888" s="33"/>
      <c r="N888" s="33"/>
      <c r="O888" s="33"/>
      <c r="P888" s="33"/>
      <c r="Q888" s="33"/>
      <c r="R888" s="33"/>
      <c r="S888" s="33"/>
      <c r="T888" s="33"/>
      <c r="U888" s="33"/>
      <c r="V888" s="33"/>
      <c r="W888" s="33"/>
      <c r="X888" s="34"/>
      <c r="Y888" s="33"/>
      <c r="Z888" s="34"/>
      <c r="AA888" s="33"/>
    </row>
    <row r="889" ht="15.75" customHeight="1">
      <c r="H889" s="33"/>
      <c r="I889" s="33"/>
      <c r="M889" s="33"/>
      <c r="N889" s="33"/>
      <c r="O889" s="33"/>
      <c r="P889" s="33"/>
      <c r="Q889" s="33"/>
      <c r="R889" s="33"/>
      <c r="S889" s="33"/>
      <c r="T889" s="33"/>
      <c r="U889" s="33"/>
      <c r="V889" s="33"/>
      <c r="W889" s="33"/>
      <c r="X889" s="34"/>
      <c r="Y889" s="33"/>
      <c r="Z889" s="34"/>
      <c r="AA889" s="33"/>
    </row>
    <row r="890" ht="15.75" customHeight="1">
      <c r="H890" s="33"/>
      <c r="I890" s="33"/>
      <c r="M890" s="33"/>
      <c r="N890" s="33"/>
      <c r="O890" s="33"/>
      <c r="P890" s="33"/>
      <c r="Q890" s="33"/>
      <c r="R890" s="33"/>
      <c r="S890" s="33"/>
      <c r="T890" s="33"/>
      <c r="U890" s="33"/>
      <c r="V890" s="33"/>
      <c r="W890" s="33"/>
      <c r="X890" s="34"/>
      <c r="Y890" s="33"/>
      <c r="Z890" s="34"/>
      <c r="AA890" s="33"/>
    </row>
    <row r="891" ht="15.75" customHeight="1">
      <c r="H891" s="33"/>
      <c r="I891" s="33"/>
      <c r="M891" s="33"/>
      <c r="N891" s="33"/>
      <c r="O891" s="33"/>
      <c r="P891" s="33"/>
      <c r="Q891" s="33"/>
      <c r="R891" s="33"/>
      <c r="S891" s="33"/>
      <c r="T891" s="33"/>
      <c r="U891" s="33"/>
      <c r="V891" s="33"/>
      <c r="W891" s="33"/>
      <c r="X891" s="34"/>
      <c r="Y891" s="33"/>
      <c r="Z891" s="34"/>
      <c r="AA891" s="33"/>
    </row>
    <row r="892" ht="15.75" customHeight="1">
      <c r="H892" s="33"/>
      <c r="I892" s="33"/>
      <c r="M892" s="33"/>
      <c r="N892" s="33"/>
      <c r="O892" s="33"/>
      <c r="P892" s="33"/>
      <c r="Q892" s="33"/>
      <c r="R892" s="33"/>
      <c r="S892" s="33"/>
      <c r="T892" s="33"/>
      <c r="U892" s="33"/>
      <c r="V892" s="33"/>
      <c r="W892" s="33"/>
      <c r="X892" s="34"/>
      <c r="Y892" s="33"/>
      <c r="Z892" s="34"/>
      <c r="AA892" s="33"/>
    </row>
    <row r="893" ht="15.75" customHeight="1">
      <c r="H893" s="33"/>
      <c r="I893" s="33"/>
      <c r="M893" s="33"/>
      <c r="N893" s="33"/>
      <c r="O893" s="33"/>
      <c r="P893" s="33"/>
      <c r="Q893" s="33"/>
      <c r="R893" s="33"/>
      <c r="S893" s="33"/>
      <c r="T893" s="33"/>
      <c r="U893" s="33"/>
      <c r="V893" s="33"/>
      <c r="W893" s="33"/>
      <c r="X893" s="34"/>
      <c r="Y893" s="33"/>
      <c r="Z893" s="34"/>
      <c r="AA893" s="33"/>
    </row>
    <row r="894" ht="15.75" customHeight="1">
      <c r="H894" s="33"/>
      <c r="I894" s="33"/>
      <c r="M894" s="33"/>
      <c r="N894" s="33"/>
      <c r="O894" s="33"/>
      <c r="P894" s="33"/>
      <c r="Q894" s="33"/>
      <c r="R894" s="33"/>
      <c r="S894" s="33"/>
      <c r="T894" s="33"/>
      <c r="U894" s="33"/>
      <c r="V894" s="33"/>
      <c r="W894" s="33"/>
      <c r="X894" s="34"/>
      <c r="Y894" s="33"/>
      <c r="Z894" s="34"/>
      <c r="AA894" s="33"/>
    </row>
    <row r="895" ht="15.75" customHeight="1">
      <c r="H895" s="33"/>
      <c r="I895" s="33"/>
      <c r="M895" s="33"/>
      <c r="N895" s="33"/>
      <c r="O895" s="33"/>
      <c r="P895" s="33"/>
      <c r="Q895" s="33"/>
      <c r="R895" s="33"/>
      <c r="S895" s="33"/>
      <c r="T895" s="33"/>
      <c r="U895" s="33"/>
      <c r="V895" s="33"/>
      <c r="W895" s="33"/>
      <c r="X895" s="34"/>
      <c r="Y895" s="33"/>
      <c r="Z895" s="34"/>
      <c r="AA895" s="33"/>
    </row>
    <row r="896" ht="15.75" customHeight="1">
      <c r="H896" s="33"/>
      <c r="I896" s="33"/>
      <c r="M896" s="33"/>
      <c r="N896" s="33"/>
      <c r="O896" s="33"/>
      <c r="P896" s="33"/>
      <c r="Q896" s="33"/>
      <c r="R896" s="33"/>
      <c r="S896" s="33"/>
      <c r="T896" s="33"/>
      <c r="U896" s="33"/>
      <c r="V896" s="33"/>
      <c r="W896" s="33"/>
      <c r="X896" s="34"/>
      <c r="Y896" s="33"/>
      <c r="Z896" s="34"/>
      <c r="AA896" s="33"/>
    </row>
    <row r="897" ht="15.75" customHeight="1">
      <c r="H897" s="33"/>
      <c r="I897" s="33"/>
      <c r="M897" s="33"/>
      <c r="N897" s="33"/>
      <c r="O897" s="33"/>
      <c r="P897" s="33"/>
      <c r="Q897" s="33"/>
      <c r="R897" s="33"/>
      <c r="S897" s="33"/>
      <c r="T897" s="33"/>
      <c r="U897" s="33"/>
      <c r="V897" s="33"/>
      <c r="W897" s="33"/>
      <c r="X897" s="34"/>
      <c r="Y897" s="33"/>
      <c r="Z897" s="34"/>
      <c r="AA897" s="33"/>
    </row>
    <row r="898" ht="15.75" customHeight="1">
      <c r="H898" s="33"/>
      <c r="I898" s="33"/>
      <c r="M898" s="33"/>
      <c r="N898" s="33"/>
      <c r="O898" s="33"/>
      <c r="P898" s="33"/>
      <c r="Q898" s="33"/>
      <c r="R898" s="33"/>
      <c r="S898" s="33"/>
      <c r="T898" s="33"/>
      <c r="U898" s="33"/>
      <c r="V898" s="33"/>
      <c r="W898" s="33"/>
      <c r="X898" s="34"/>
      <c r="Y898" s="33"/>
      <c r="Z898" s="34"/>
      <c r="AA898" s="33"/>
    </row>
    <row r="899" ht="15.75" customHeight="1">
      <c r="H899" s="33"/>
      <c r="I899" s="33"/>
      <c r="M899" s="33"/>
      <c r="N899" s="33"/>
      <c r="O899" s="33"/>
      <c r="P899" s="33"/>
      <c r="Q899" s="33"/>
      <c r="R899" s="33"/>
      <c r="S899" s="33"/>
      <c r="T899" s="33"/>
      <c r="U899" s="33"/>
      <c r="V899" s="33"/>
      <c r="W899" s="33"/>
      <c r="X899" s="34"/>
      <c r="Y899" s="33"/>
      <c r="Z899" s="34"/>
      <c r="AA899" s="33"/>
    </row>
    <row r="900" ht="15.75" customHeight="1">
      <c r="H900" s="33"/>
      <c r="I900" s="33"/>
      <c r="M900" s="33"/>
      <c r="N900" s="33"/>
      <c r="O900" s="33"/>
      <c r="P900" s="33"/>
      <c r="Q900" s="33"/>
      <c r="R900" s="33"/>
      <c r="S900" s="33"/>
      <c r="T900" s="33"/>
      <c r="U900" s="33"/>
      <c r="V900" s="33"/>
      <c r="W900" s="33"/>
      <c r="X900" s="34"/>
      <c r="Y900" s="33"/>
      <c r="Z900" s="34"/>
      <c r="AA900" s="33"/>
    </row>
    <row r="901" ht="15.75" customHeight="1">
      <c r="H901" s="33"/>
      <c r="I901" s="33"/>
      <c r="M901" s="33"/>
      <c r="N901" s="33"/>
      <c r="O901" s="33"/>
      <c r="P901" s="33"/>
      <c r="Q901" s="33"/>
      <c r="R901" s="33"/>
      <c r="S901" s="33"/>
      <c r="T901" s="33"/>
      <c r="U901" s="33"/>
      <c r="V901" s="33"/>
      <c r="W901" s="33"/>
      <c r="X901" s="34"/>
      <c r="Y901" s="33"/>
      <c r="Z901" s="34"/>
      <c r="AA901" s="33"/>
    </row>
    <row r="902" ht="15.75" customHeight="1">
      <c r="H902" s="33"/>
      <c r="I902" s="33"/>
      <c r="M902" s="33"/>
      <c r="N902" s="33"/>
      <c r="O902" s="33"/>
      <c r="P902" s="33"/>
      <c r="Q902" s="33"/>
      <c r="R902" s="33"/>
      <c r="S902" s="33"/>
      <c r="T902" s="33"/>
      <c r="U902" s="33"/>
      <c r="V902" s="33"/>
      <c r="W902" s="33"/>
      <c r="X902" s="34"/>
      <c r="Y902" s="33"/>
      <c r="Z902" s="34"/>
      <c r="AA902" s="33"/>
    </row>
    <row r="903" ht="15.75" customHeight="1">
      <c r="H903" s="33"/>
      <c r="I903" s="33"/>
      <c r="M903" s="33"/>
      <c r="N903" s="33"/>
      <c r="O903" s="33"/>
      <c r="P903" s="33"/>
      <c r="Q903" s="33"/>
      <c r="R903" s="33"/>
      <c r="S903" s="33"/>
      <c r="T903" s="33"/>
      <c r="U903" s="33"/>
      <c r="V903" s="33"/>
      <c r="W903" s="33"/>
      <c r="X903" s="34"/>
      <c r="Y903" s="33"/>
      <c r="Z903" s="34"/>
      <c r="AA903" s="33"/>
    </row>
    <row r="904" ht="15.75" customHeight="1">
      <c r="H904" s="33"/>
      <c r="I904" s="33"/>
      <c r="M904" s="33"/>
      <c r="N904" s="33"/>
      <c r="O904" s="33"/>
      <c r="P904" s="33"/>
      <c r="Q904" s="33"/>
      <c r="R904" s="33"/>
      <c r="S904" s="33"/>
      <c r="T904" s="33"/>
      <c r="U904" s="33"/>
      <c r="V904" s="33"/>
      <c r="W904" s="33"/>
      <c r="X904" s="34"/>
      <c r="Y904" s="33"/>
      <c r="Z904" s="34"/>
      <c r="AA904" s="33"/>
    </row>
    <row r="905" ht="15.75" customHeight="1">
      <c r="H905" s="33"/>
      <c r="I905" s="33"/>
      <c r="M905" s="33"/>
      <c r="N905" s="33"/>
      <c r="O905" s="33"/>
      <c r="P905" s="33"/>
      <c r="Q905" s="33"/>
      <c r="R905" s="33"/>
      <c r="S905" s="33"/>
      <c r="T905" s="33"/>
      <c r="U905" s="33"/>
      <c r="V905" s="33"/>
      <c r="W905" s="33"/>
      <c r="X905" s="34"/>
      <c r="Y905" s="33"/>
      <c r="Z905" s="34"/>
      <c r="AA905" s="33"/>
    </row>
    <row r="906" ht="15.75" customHeight="1">
      <c r="H906" s="33"/>
      <c r="I906" s="33"/>
      <c r="M906" s="33"/>
      <c r="N906" s="33"/>
      <c r="O906" s="33"/>
      <c r="P906" s="33"/>
      <c r="Q906" s="33"/>
      <c r="R906" s="33"/>
      <c r="S906" s="33"/>
      <c r="T906" s="33"/>
      <c r="U906" s="33"/>
      <c r="V906" s="33"/>
      <c r="W906" s="33"/>
      <c r="X906" s="34"/>
      <c r="Y906" s="33"/>
      <c r="Z906" s="34"/>
      <c r="AA906" s="33"/>
    </row>
    <row r="907" ht="15.75" customHeight="1">
      <c r="H907" s="33"/>
      <c r="I907" s="33"/>
      <c r="M907" s="33"/>
      <c r="N907" s="33"/>
      <c r="O907" s="33"/>
      <c r="P907" s="33"/>
      <c r="Q907" s="33"/>
      <c r="R907" s="33"/>
      <c r="S907" s="33"/>
      <c r="T907" s="33"/>
      <c r="U907" s="33"/>
      <c r="V907" s="33"/>
      <c r="W907" s="33"/>
      <c r="X907" s="34"/>
      <c r="Y907" s="33"/>
      <c r="Z907" s="34"/>
      <c r="AA907" s="33"/>
    </row>
    <row r="908" ht="15.75" customHeight="1">
      <c r="H908" s="33"/>
      <c r="I908" s="33"/>
      <c r="M908" s="33"/>
      <c r="N908" s="33"/>
      <c r="O908" s="33"/>
      <c r="P908" s="33"/>
      <c r="Q908" s="33"/>
      <c r="R908" s="33"/>
      <c r="S908" s="33"/>
      <c r="T908" s="33"/>
      <c r="U908" s="33"/>
      <c r="V908" s="33"/>
      <c r="W908" s="33"/>
      <c r="X908" s="34"/>
      <c r="Y908" s="33"/>
      <c r="Z908" s="34"/>
      <c r="AA908" s="33"/>
    </row>
    <row r="909" ht="15.75" customHeight="1">
      <c r="H909" s="33"/>
      <c r="I909" s="33"/>
      <c r="M909" s="33"/>
      <c r="N909" s="33"/>
      <c r="O909" s="33"/>
      <c r="P909" s="33"/>
      <c r="Q909" s="33"/>
      <c r="R909" s="33"/>
      <c r="S909" s="33"/>
      <c r="T909" s="33"/>
      <c r="U909" s="33"/>
      <c r="V909" s="33"/>
      <c r="W909" s="33"/>
      <c r="X909" s="34"/>
      <c r="Y909" s="33"/>
      <c r="Z909" s="34"/>
      <c r="AA909" s="33"/>
    </row>
    <row r="910" ht="15.75" customHeight="1">
      <c r="H910" s="33"/>
      <c r="I910" s="33"/>
      <c r="M910" s="33"/>
      <c r="N910" s="33"/>
      <c r="O910" s="33"/>
      <c r="P910" s="33"/>
      <c r="Q910" s="33"/>
      <c r="R910" s="33"/>
      <c r="S910" s="33"/>
      <c r="T910" s="33"/>
      <c r="U910" s="33"/>
      <c r="V910" s="33"/>
      <c r="W910" s="33"/>
      <c r="X910" s="34"/>
      <c r="Y910" s="33"/>
      <c r="Z910" s="34"/>
      <c r="AA910" s="33"/>
    </row>
    <row r="911" ht="15.75" customHeight="1">
      <c r="H911" s="33"/>
      <c r="I911" s="33"/>
      <c r="M911" s="33"/>
      <c r="N911" s="33"/>
      <c r="O911" s="33"/>
      <c r="P911" s="33"/>
      <c r="Q911" s="33"/>
      <c r="R911" s="33"/>
      <c r="S911" s="33"/>
      <c r="T911" s="33"/>
      <c r="U911" s="33"/>
      <c r="V911" s="33"/>
      <c r="W911" s="33"/>
      <c r="X911" s="34"/>
      <c r="Y911" s="33"/>
      <c r="Z911" s="34"/>
      <c r="AA911" s="33"/>
    </row>
    <row r="912" ht="15.75" customHeight="1">
      <c r="H912" s="33"/>
      <c r="I912" s="33"/>
      <c r="M912" s="33"/>
      <c r="N912" s="33"/>
      <c r="O912" s="33"/>
      <c r="P912" s="33"/>
      <c r="Q912" s="33"/>
      <c r="R912" s="33"/>
      <c r="S912" s="33"/>
      <c r="T912" s="33"/>
      <c r="U912" s="33"/>
      <c r="V912" s="33"/>
      <c r="W912" s="33"/>
      <c r="X912" s="34"/>
      <c r="Y912" s="33"/>
      <c r="Z912" s="34"/>
      <c r="AA912" s="33"/>
    </row>
    <row r="913" ht="15.75" customHeight="1">
      <c r="H913" s="33"/>
      <c r="I913" s="33"/>
      <c r="M913" s="33"/>
      <c r="N913" s="33"/>
      <c r="O913" s="33"/>
      <c r="P913" s="33"/>
      <c r="Q913" s="33"/>
      <c r="R913" s="33"/>
      <c r="S913" s="33"/>
      <c r="T913" s="33"/>
      <c r="U913" s="33"/>
      <c r="V913" s="33"/>
      <c r="W913" s="33"/>
      <c r="X913" s="34"/>
      <c r="Y913" s="33"/>
      <c r="Z913" s="34"/>
      <c r="AA913" s="33"/>
    </row>
    <row r="914" ht="15.75" customHeight="1">
      <c r="H914" s="33"/>
      <c r="I914" s="33"/>
      <c r="M914" s="33"/>
      <c r="N914" s="33"/>
      <c r="O914" s="33"/>
      <c r="P914" s="33"/>
      <c r="Q914" s="33"/>
      <c r="R914" s="33"/>
      <c r="S914" s="33"/>
      <c r="T914" s="33"/>
      <c r="U914" s="33"/>
      <c r="V914" s="33"/>
      <c r="W914" s="33"/>
      <c r="X914" s="34"/>
      <c r="Y914" s="33"/>
      <c r="Z914" s="34"/>
      <c r="AA914" s="33"/>
    </row>
    <row r="915" ht="15.75" customHeight="1">
      <c r="H915" s="33"/>
      <c r="I915" s="33"/>
      <c r="M915" s="33"/>
      <c r="N915" s="33"/>
      <c r="O915" s="33"/>
      <c r="P915" s="33"/>
      <c r="Q915" s="33"/>
      <c r="R915" s="33"/>
      <c r="S915" s="33"/>
      <c r="T915" s="33"/>
      <c r="U915" s="33"/>
      <c r="V915" s="33"/>
      <c r="W915" s="33"/>
      <c r="X915" s="34"/>
      <c r="Y915" s="33"/>
      <c r="Z915" s="34"/>
      <c r="AA915" s="33"/>
    </row>
    <row r="916" ht="15.75" customHeight="1">
      <c r="H916" s="33"/>
      <c r="I916" s="33"/>
      <c r="M916" s="33"/>
      <c r="N916" s="33"/>
      <c r="O916" s="33"/>
      <c r="P916" s="33"/>
      <c r="Q916" s="33"/>
      <c r="R916" s="33"/>
      <c r="S916" s="33"/>
      <c r="T916" s="33"/>
      <c r="U916" s="33"/>
      <c r="V916" s="33"/>
      <c r="W916" s="33"/>
      <c r="X916" s="34"/>
      <c r="Y916" s="33"/>
      <c r="Z916" s="34"/>
      <c r="AA916" s="33"/>
    </row>
    <row r="917" ht="15.75" customHeight="1">
      <c r="H917" s="33"/>
      <c r="I917" s="33"/>
      <c r="M917" s="33"/>
      <c r="N917" s="33"/>
      <c r="O917" s="33"/>
      <c r="P917" s="33"/>
      <c r="Q917" s="33"/>
      <c r="R917" s="33"/>
      <c r="S917" s="33"/>
      <c r="T917" s="33"/>
      <c r="U917" s="33"/>
      <c r="V917" s="33"/>
      <c r="W917" s="33"/>
      <c r="X917" s="34"/>
      <c r="Y917" s="33"/>
      <c r="Z917" s="34"/>
      <c r="AA917" s="33"/>
    </row>
    <row r="918" ht="15.75" customHeight="1">
      <c r="H918" s="33"/>
      <c r="I918" s="33"/>
      <c r="M918" s="33"/>
      <c r="N918" s="33"/>
      <c r="O918" s="33"/>
      <c r="P918" s="33"/>
      <c r="Q918" s="33"/>
      <c r="R918" s="33"/>
      <c r="S918" s="33"/>
      <c r="T918" s="33"/>
      <c r="U918" s="33"/>
      <c r="V918" s="33"/>
      <c r="W918" s="33"/>
      <c r="X918" s="34"/>
      <c r="Y918" s="33"/>
      <c r="Z918" s="34"/>
      <c r="AA918" s="33"/>
    </row>
    <row r="919" ht="15.75" customHeight="1">
      <c r="H919" s="33"/>
      <c r="I919" s="33"/>
      <c r="M919" s="33"/>
      <c r="N919" s="33"/>
      <c r="O919" s="33"/>
      <c r="P919" s="33"/>
      <c r="Q919" s="33"/>
      <c r="R919" s="33"/>
      <c r="S919" s="33"/>
      <c r="T919" s="33"/>
      <c r="U919" s="33"/>
      <c r="V919" s="33"/>
      <c r="W919" s="33"/>
      <c r="X919" s="34"/>
      <c r="Y919" s="33"/>
      <c r="Z919" s="34"/>
      <c r="AA919" s="33"/>
    </row>
    <row r="920" ht="15.75" customHeight="1">
      <c r="H920" s="33"/>
      <c r="I920" s="33"/>
      <c r="M920" s="33"/>
      <c r="N920" s="33"/>
      <c r="O920" s="33"/>
      <c r="P920" s="33"/>
      <c r="Q920" s="33"/>
      <c r="R920" s="33"/>
      <c r="S920" s="33"/>
      <c r="T920" s="33"/>
      <c r="U920" s="33"/>
      <c r="V920" s="33"/>
      <c r="W920" s="33"/>
      <c r="X920" s="34"/>
      <c r="Y920" s="33"/>
      <c r="Z920" s="34"/>
      <c r="AA920" s="33"/>
    </row>
    <row r="921" ht="15.75" customHeight="1">
      <c r="H921" s="33"/>
      <c r="I921" s="33"/>
      <c r="M921" s="33"/>
      <c r="N921" s="33"/>
      <c r="O921" s="33"/>
      <c r="P921" s="33"/>
      <c r="Q921" s="33"/>
      <c r="R921" s="33"/>
      <c r="S921" s="33"/>
      <c r="T921" s="33"/>
      <c r="U921" s="33"/>
      <c r="V921" s="33"/>
      <c r="W921" s="33"/>
      <c r="X921" s="34"/>
      <c r="Y921" s="33"/>
      <c r="Z921" s="34"/>
      <c r="AA921" s="33"/>
    </row>
    <row r="922" ht="15.75" customHeight="1">
      <c r="H922" s="33"/>
      <c r="I922" s="33"/>
      <c r="M922" s="33"/>
      <c r="N922" s="33"/>
      <c r="O922" s="33"/>
      <c r="P922" s="33"/>
      <c r="Q922" s="33"/>
      <c r="R922" s="33"/>
      <c r="S922" s="33"/>
      <c r="T922" s="33"/>
      <c r="U922" s="33"/>
      <c r="V922" s="33"/>
      <c r="W922" s="33"/>
      <c r="X922" s="34"/>
      <c r="Y922" s="33"/>
      <c r="Z922" s="34"/>
      <c r="AA922" s="33"/>
    </row>
    <row r="923" ht="15.75" customHeight="1">
      <c r="H923" s="33"/>
      <c r="I923" s="33"/>
      <c r="M923" s="33"/>
      <c r="N923" s="33"/>
      <c r="O923" s="33"/>
      <c r="P923" s="33"/>
      <c r="Q923" s="33"/>
      <c r="R923" s="33"/>
      <c r="S923" s="33"/>
      <c r="T923" s="33"/>
      <c r="U923" s="33"/>
      <c r="V923" s="33"/>
      <c r="W923" s="33"/>
      <c r="X923" s="34"/>
      <c r="Y923" s="33"/>
      <c r="Z923" s="34"/>
      <c r="AA923" s="33"/>
    </row>
    <row r="924" ht="15.75" customHeight="1">
      <c r="H924" s="33"/>
      <c r="I924" s="33"/>
      <c r="M924" s="33"/>
      <c r="N924" s="33"/>
      <c r="O924" s="33"/>
      <c r="P924" s="33"/>
      <c r="Q924" s="33"/>
      <c r="R924" s="33"/>
      <c r="S924" s="33"/>
      <c r="T924" s="33"/>
      <c r="U924" s="33"/>
      <c r="V924" s="33"/>
      <c r="W924" s="33"/>
      <c r="X924" s="34"/>
      <c r="Y924" s="33"/>
      <c r="Z924" s="34"/>
      <c r="AA924" s="33"/>
    </row>
    <row r="925" ht="15.75" customHeight="1">
      <c r="H925" s="33"/>
      <c r="I925" s="33"/>
      <c r="M925" s="33"/>
      <c r="N925" s="33"/>
      <c r="O925" s="33"/>
      <c r="P925" s="33"/>
      <c r="Q925" s="33"/>
      <c r="R925" s="33"/>
      <c r="S925" s="33"/>
      <c r="T925" s="33"/>
      <c r="U925" s="33"/>
      <c r="V925" s="33"/>
      <c r="W925" s="33"/>
      <c r="X925" s="34"/>
      <c r="Y925" s="33"/>
      <c r="Z925" s="34"/>
      <c r="AA925" s="33"/>
    </row>
    <row r="926" ht="15.75" customHeight="1">
      <c r="H926" s="33"/>
      <c r="I926" s="33"/>
      <c r="M926" s="33"/>
      <c r="N926" s="33"/>
      <c r="O926" s="33"/>
      <c r="P926" s="33"/>
      <c r="Q926" s="33"/>
      <c r="R926" s="33"/>
      <c r="S926" s="33"/>
      <c r="T926" s="33"/>
      <c r="U926" s="33"/>
      <c r="V926" s="33"/>
      <c r="W926" s="33"/>
      <c r="X926" s="34"/>
      <c r="Y926" s="33"/>
      <c r="Z926" s="34"/>
      <c r="AA926" s="33"/>
    </row>
    <row r="927" ht="15.75" customHeight="1">
      <c r="H927" s="33"/>
      <c r="I927" s="33"/>
      <c r="M927" s="33"/>
      <c r="N927" s="33"/>
      <c r="O927" s="33"/>
      <c r="P927" s="33"/>
      <c r="Q927" s="33"/>
      <c r="R927" s="33"/>
      <c r="S927" s="33"/>
      <c r="T927" s="33"/>
      <c r="U927" s="33"/>
      <c r="V927" s="33"/>
      <c r="W927" s="33"/>
      <c r="X927" s="34"/>
      <c r="Y927" s="33"/>
      <c r="Z927" s="34"/>
      <c r="AA927" s="33"/>
    </row>
    <row r="928" ht="15.75" customHeight="1">
      <c r="H928" s="33"/>
      <c r="I928" s="33"/>
      <c r="M928" s="33"/>
      <c r="N928" s="33"/>
      <c r="O928" s="33"/>
      <c r="P928" s="33"/>
      <c r="Q928" s="33"/>
      <c r="R928" s="33"/>
      <c r="S928" s="33"/>
      <c r="T928" s="33"/>
      <c r="U928" s="33"/>
      <c r="V928" s="33"/>
      <c r="W928" s="33"/>
      <c r="X928" s="34"/>
      <c r="Y928" s="33"/>
      <c r="Z928" s="34"/>
      <c r="AA928" s="33"/>
    </row>
    <row r="929" ht="15.75" customHeight="1">
      <c r="H929" s="33"/>
      <c r="I929" s="33"/>
      <c r="M929" s="33"/>
      <c r="N929" s="33"/>
      <c r="O929" s="33"/>
      <c r="P929" s="33"/>
      <c r="Q929" s="33"/>
      <c r="R929" s="33"/>
      <c r="S929" s="33"/>
      <c r="T929" s="33"/>
      <c r="U929" s="33"/>
      <c r="V929" s="33"/>
      <c r="W929" s="33"/>
      <c r="X929" s="34"/>
      <c r="Y929" s="33"/>
      <c r="Z929" s="34"/>
      <c r="AA929" s="33"/>
    </row>
    <row r="930" ht="15.75" customHeight="1">
      <c r="H930" s="33"/>
      <c r="I930" s="33"/>
      <c r="M930" s="33"/>
      <c r="N930" s="33"/>
      <c r="O930" s="33"/>
      <c r="P930" s="33"/>
      <c r="Q930" s="33"/>
      <c r="R930" s="33"/>
      <c r="S930" s="33"/>
      <c r="T930" s="33"/>
      <c r="U930" s="33"/>
      <c r="V930" s="33"/>
      <c r="W930" s="33"/>
      <c r="X930" s="34"/>
      <c r="Y930" s="33"/>
      <c r="Z930" s="34"/>
      <c r="AA930" s="33"/>
    </row>
    <row r="931" ht="15.75" customHeight="1">
      <c r="H931" s="33"/>
      <c r="I931" s="33"/>
      <c r="M931" s="33"/>
      <c r="N931" s="33"/>
      <c r="O931" s="33"/>
      <c r="P931" s="33"/>
      <c r="Q931" s="33"/>
      <c r="R931" s="33"/>
      <c r="S931" s="33"/>
      <c r="T931" s="33"/>
      <c r="U931" s="33"/>
      <c r="V931" s="33"/>
      <c r="W931" s="33"/>
      <c r="X931" s="34"/>
      <c r="Y931" s="33"/>
      <c r="Z931" s="34"/>
      <c r="AA931" s="33"/>
    </row>
    <row r="932" ht="15.75" customHeight="1">
      <c r="H932" s="33"/>
      <c r="I932" s="33"/>
      <c r="M932" s="33"/>
      <c r="N932" s="33"/>
      <c r="O932" s="33"/>
      <c r="P932" s="33"/>
      <c r="Q932" s="33"/>
      <c r="R932" s="33"/>
      <c r="S932" s="33"/>
      <c r="T932" s="33"/>
      <c r="U932" s="33"/>
      <c r="V932" s="33"/>
      <c r="W932" s="33"/>
      <c r="X932" s="34"/>
      <c r="Y932" s="33"/>
      <c r="Z932" s="34"/>
      <c r="AA932" s="33"/>
    </row>
    <row r="933" ht="15.75" customHeight="1">
      <c r="H933" s="33"/>
      <c r="I933" s="33"/>
      <c r="M933" s="33"/>
      <c r="N933" s="33"/>
      <c r="O933" s="33"/>
      <c r="P933" s="33"/>
      <c r="Q933" s="33"/>
      <c r="R933" s="33"/>
      <c r="S933" s="33"/>
      <c r="T933" s="33"/>
      <c r="U933" s="33"/>
      <c r="V933" s="33"/>
      <c r="W933" s="33"/>
      <c r="X933" s="34"/>
      <c r="Y933" s="33"/>
      <c r="Z933" s="34"/>
      <c r="AA933" s="33"/>
    </row>
    <row r="934" ht="15.75" customHeight="1">
      <c r="H934" s="33"/>
      <c r="I934" s="33"/>
      <c r="M934" s="33"/>
      <c r="N934" s="33"/>
      <c r="O934" s="33"/>
      <c r="P934" s="33"/>
      <c r="Q934" s="33"/>
      <c r="R934" s="33"/>
      <c r="S934" s="33"/>
      <c r="T934" s="33"/>
      <c r="U934" s="33"/>
      <c r="V934" s="33"/>
      <c r="W934" s="33"/>
      <c r="X934" s="34"/>
      <c r="Y934" s="33"/>
      <c r="Z934" s="34"/>
      <c r="AA934" s="33"/>
    </row>
    <row r="935" ht="15.75" customHeight="1">
      <c r="H935" s="33"/>
      <c r="I935" s="33"/>
      <c r="M935" s="33"/>
      <c r="N935" s="33"/>
      <c r="O935" s="33"/>
      <c r="P935" s="33"/>
      <c r="Q935" s="33"/>
      <c r="R935" s="33"/>
      <c r="S935" s="33"/>
      <c r="T935" s="33"/>
      <c r="U935" s="33"/>
      <c r="V935" s="33"/>
      <c r="W935" s="33"/>
      <c r="X935" s="34"/>
      <c r="Y935" s="33"/>
      <c r="Z935" s="34"/>
      <c r="AA935" s="33"/>
    </row>
    <row r="936" ht="15.75" customHeight="1">
      <c r="H936" s="33"/>
      <c r="I936" s="33"/>
      <c r="M936" s="33"/>
      <c r="N936" s="33"/>
      <c r="O936" s="33"/>
      <c r="P936" s="33"/>
      <c r="Q936" s="33"/>
      <c r="R936" s="33"/>
      <c r="S936" s="33"/>
      <c r="T936" s="33"/>
      <c r="U936" s="33"/>
      <c r="V936" s="33"/>
      <c r="W936" s="33"/>
      <c r="X936" s="34"/>
      <c r="Y936" s="33"/>
      <c r="Z936" s="34"/>
      <c r="AA936" s="33"/>
    </row>
    <row r="937" ht="15.75" customHeight="1">
      <c r="H937" s="33"/>
      <c r="I937" s="33"/>
      <c r="M937" s="33"/>
      <c r="N937" s="33"/>
      <c r="O937" s="33"/>
      <c r="P937" s="33"/>
      <c r="Q937" s="33"/>
      <c r="R937" s="33"/>
      <c r="S937" s="33"/>
      <c r="T937" s="33"/>
      <c r="U937" s="33"/>
      <c r="V937" s="33"/>
      <c r="W937" s="33"/>
      <c r="X937" s="34"/>
      <c r="Y937" s="33"/>
      <c r="Z937" s="34"/>
      <c r="AA937" s="33"/>
    </row>
    <row r="938" ht="15.75" customHeight="1">
      <c r="H938" s="33"/>
      <c r="I938" s="33"/>
      <c r="M938" s="33"/>
      <c r="N938" s="33"/>
      <c r="O938" s="33"/>
      <c r="P938" s="33"/>
      <c r="Q938" s="33"/>
      <c r="R938" s="33"/>
      <c r="S938" s="33"/>
      <c r="T938" s="33"/>
      <c r="U938" s="33"/>
      <c r="V938" s="33"/>
      <c r="W938" s="33"/>
      <c r="X938" s="34"/>
      <c r="Y938" s="33"/>
      <c r="Z938" s="34"/>
      <c r="AA938" s="33"/>
    </row>
    <row r="939" ht="15.75" customHeight="1">
      <c r="H939" s="33"/>
      <c r="I939" s="33"/>
      <c r="M939" s="33"/>
      <c r="N939" s="33"/>
      <c r="O939" s="33"/>
      <c r="P939" s="33"/>
      <c r="Q939" s="33"/>
      <c r="R939" s="33"/>
      <c r="S939" s="33"/>
      <c r="T939" s="33"/>
      <c r="U939" s="33"/>
      <c r="V939" s="33"/>
      <c r="W939" s="33"/>
      <c r="X939" s="34"/>
      <c r="Y939" s="33"/>
      <c r="Z939" s="34"/>
      <c r="AA939" s="33"/>
    </row>
    <row r="940" ht="15.75" customHeight="1">
      <c r="H940" s="33"/>
      <c r="I940" s="33"/>
      <c r="M940" s="33"/>
      <c r="N940" s="33"/>
      <c r="O940" s="33"/>
      <c r="P940" s="33"/>
      <c r="Q940" s="33"/>
      <c r="R940" s="33"/>
      <c r="S940" s="33"/>
      <c r="T940" s="33"/>
      <c r="U940" s="33"/>
      <c r="V940" s="33"/>
      <c r="W940" s="33"/>
      <c r="X940" s="34"/>
      <c r="Y940" s="33"/>
      <c r="Z940" s="34"/>
      <c r="AA940" s="33"/>
    </row>
    <row r="941" ht="15.75" customHeight="1">
      <c r="H941" s="33"/>
      <c r="I941" s="33"/>
      <c r="M941" s="33"/>
      <c r="N941" s="33"/>
      <c r="O941" s="33"/>
      <c r="P941" s="33"/>
      <c r="Q941" s="33"/>
      <c r="R941" s="33"/>
      <c r="S941" s="33"/>
      <c r="T941" s="33"/>
      <c r="U941" s="33"/>
      <c r="V941" s="33"/>
      <c r="W941" s="33"/>
      <c r="X941" s="34"/>
      <c r="Y941" s="33"/>
      <c r="Z941" s="34"/>
      <c r="AA941" s="33"/>
    </row>
    <row r="942" ht="15.75" customHeight="1">
      <c r="H942" s="33"/>
      <c r="I942" s="33"/>
      <c r="M942" s="33"/>
      <c r="N942" s="33"/>
      <c r="O942" s="33"/>
      <c r="P942" s="33"/>
      <c r="Q942" s="33"/>
      <c r="R942" s="33"/>
      <c r="S942" s="33"/>
      <c r="T942" s="33"/>
      <c r="U942" s="33"/>
      <c r="V942" s="33"/>
      <c r="W942" s="33"/>
      <c r="X942" s="34"/>
      <c r="Y942" s="33"/>
      <c r="Z942" s="34"/>
      <c r="AA942" s="33"/>
    </row>
    <row r="943" ht="15.75" customHeight="1">
      <c r="H943" s="33"/>
      <c r="I943" s="33"/>
      <c r="M943" s="33"/>
      <c r="N943" s="33"/>
      <c r="O943" s="33"/>
      <c r="P943" s="33"/>
      <c r="Q943" s="33"/>
      <c r="R943" s="33"/>
      <c r="S943" s="33"/>
      <c r="T943" s="33"/>
      <c r="U943" s="33"/>
      <c r="V943" s="33"/>
      <c r="W943" s="33"/>
      <c r="X943" s="34"/>
      <c r="Y943" s="33"/>
      <c r="Z943" s="34"/>
      <c r="AA943" s="33"/>
    </row>
    <row r="944" ht="15.75" customHeight="1">
      <c r="H944" s="33"/>
      <c r="I944" s="33"/>
      <c r="M944" s="33"/>
      <c r="N944" s="33"/>
      <c r="O944" s="33"/>
      <c r="P944" s="33"/>
      <c r="Q944" s="33"/>
      <c r="R944" s="33"/>
      <c r="S944" s="33"/>
      <c r="T944" s="33"/>
      <c r="U944" s="33"/>
      <c r="V944" s="33"/>
      <c r="W944" s="33"/>
      <c r="X944" s="34"/>
      <c r="Y944" s="33"/>
      <c r="Z944" s="34"/>
      <c r="AA944" s="33"/>
    </row>
    <row r="945" ht="15.75" customHeight="1">
      <c r="H945" s="33"/>
      <c r="I945" s="33"/>
      <c r="M945" s="33"/>
      <c r="N945" s="33"/>
      <c r="O945" s="33"/>
      <c r="P945" s="33"/>
      <c r="Q945" s="33"/>
      <c r="R945" s="33"/>
      <c r="S945" s="33"/>
      <c r="T945" s="33"/>
      <c r="U945" s="33"/>
      <c r="V945" s="33"/>
      <c r="W945" s="33"/>
      <c r="X945" s="34"/>
      <c r="Y945" s="33"/>
      <c r="Z945" s="34"/>
      <c r="AA945" s="33"/>
    </row>
    <row r="946" ht="15.75" customHeight="1">
      <c r="H946" s="33"/>
      <c r="I946" s="33"/>
      <c r="M946" s="33"/>
      <c r="N946" s="33"/>
      <c r="O946" s="33"/>
      <c r="P946" s="33"/>
      <c r="Q946" s="33"/>
      <c r="R946" s="33"/>
      <c r="S946" s="33"/>
      <c r="T946" s="33"/>
      <c r="U946" s="33"/>
      <c r="V946" s="33"/>
      <c r="W946" s="33"/>
      <c r="X946" s="34"/>
      <c r="Y946" s="33"/>
      <c r="Z946" s="34"/>
      <c r="AA946" s="33"/>
    </row>
    <row r="947" ht="15.75" customHeight="1">
      <c r="H947" s="33"/>
      <c r="I947" s="33"/>
      <c r="M947" s="33"/>
      <c r="N947" s="33"/>
      <c r="O947" s="33"/>
      <c r="P947" s="33"/>
      <c r="Q947" s="33"/>
      <c r="R947" s="33"/>
      <c r="S947" s="33"/>
      <c r="T947" s="33"/>
      <c r="U947" s="33"/>
      <c r="V947" s="33"/>
      <c r="W947" s="33"/>
      <c r="X947" s="34"/>
      <c r="Y947" s="33"/>
      <c r="Z947" s="34"/>
      <c r="AA947" s="33"/>
    </row>
    <row r="948" ht="15.75" customHeight="1">
      <c r="H948" s="33"/>
      <c r="I948" s="33"/>
      <c r="M948" s="33"/>
      <c r="N948" s="33"/>
      <c r="O948" s="33"/>
      <c r="P948" s="33"/>
      <c r="Q948" s="33"/>
      <c r="R948" s="33"/>
      <c r="S948" s="33"/>
      <c r="T948" s="33"/>
      <c r="U948" s="33"/>
      <c r="V948" s="33"/>
      <c r="W948" s="33"/>
      <c r="X948" s="34"/>
      <c r="Y948" s="33"/>
      <c r="Z948" s="34"/>
      <c r="AA948" s="33"/>
    </row>
    <row r="949" ht="15.75" customHeight="1">
      <c r="H949" s="33"/>
      <c r="I949" s="33"/>
      <c r="M949" s="33"/>
      <c r="N949" s="33"/>
      <c r="O949" s="33"/>
      <c r="P949" s="33"/>
      <c r="Q949" s="33"/>
      <c r="R949" s="33"/>
      <c r="S949" s="33"/>
      <c r="T949" s="33"/>
      <c r="U949" s="33"/>
      <c r="V949" s="33"/>
      <c r="W949" s="33"/>
      <c r="X949" s="34"/>
      <c r="Y949" s="33"/>
      <c r="Z949" s="34"/>
      <c r="AA949" s="33"/>
    </row>
    <row r="950" ht="15.75" customHeight="1">
      <c r="H950" s="33"/>
      <c r="I950" s="33"/>
      <c r="M950" s="33"/>
      <c r="N950" s="33"/>
      <c r="O950" s="33"/>
      <c r="P950" s="33"/>
      <c r="Q950" s="33"/>
      <c r="R950" s="33"/>
      <c r="S950" s="33"/>
      <c r="T950" s="33"/>
      <c r="U950" s="33"/>
      <c r="V950" s="33"/>
      <c r="W950" s="33"/>
      <c r="X950" s="34"/>
      <c r="Y950" s="33"/>
      <c r="Z950" s="34"/>
      <c r="AA950" s="33"/>
    </row>
    <row r="951" ht="15.75" customHeight="1">
      <c r="H951" s="33"/>
      <c r="I951" s="33"/>
      <c r="M951" s="33"/>
      <c r="N951" s="33"/>
      <c r="O951" s="33"/>
      <c r="P951" s="33"/>
      <c r="Q951" s="33"/>
      <c r="R951" s="33"/>
      <c r="S951" s="33"/>
      <c r="T951" s="33"/>
      <c r="U951" s="33"/>
      <c r="V951" s="33"/>
      <c r="W951" s="33"/>
      <c r="X951" s="34"/>
      <c r="Y951" s="33"/>
      <c r="Z951" s="34"/>
      <c r="AA951" s="33"/>
    </row>
    <row r="952" ht="15.75" customHeight="1">
      <c r="H952" s="33"/>
      <c r="I952" s="33"/>
      <c r="M952" s="33"/>
      <c r="N952" s="33"/>
      <c r="O952" s="33"/>
      <c r="P952" s="33"/>
      <c r="Q952" s="33"/>
      <c r="R952" s="33"/>
      <c r="S952" s="33"/>
      <c r="T952" s="33"/>
      <c r="U952" s="33"/>
      <c r="V952" s="33"/>
      <c r="W952" s="33"/>
      <c r="X952" s="34"/>
      <c r="Y952" s="33"/>
      <c r="Z952" s="34"/>
      <c r="AA952" s="33"/>
    </row>
    <row r="953" ht="15.75" customHeight="1">
      <c r="H953" s="33"/>
      <c r="I953" s="33"/>
      <c r="M953" s="33"/>
      <c r="N953" s="33"/>
      <c r="O953" s="33"/>
      <c r="P953" s="33"/>
      <c r="Q953" s="33"/>
      <c r="R953" s="33"/>
      <c r="S953" s="33"/>
      <c r="T953" s="33"/>
      <c r="U953" s="33"/>
      <c r="V953" s="33"/>
      <c r="W953" s="33"/>
      <c r="X953" s="34"/>
      <c r="Y953" s="33"/>
      <c r="Z953" s="34"/>
      <c r="AA953" s="33"/>
    </row>
    <row r="954" ht="15.75" customHeight="1">
      <c r="H954" s="33"/>
      <c r="I954" s="33"/>
      <c r="M954" s="33"/>
      <c r="N954" s="33"/>
      <c r="O954" s="33"/>
      <c r="P954" s="33"/>
      <c r="Q954" s="33"/>
      <c r="R954" s="33"/>
      <c r="S954" s="33"/>
      <c r="T954" s="33"/>
      <c r="U954" s="33"/>
      <c r="V954" s="33"/>
      <c r="W954" s="33"/>
      <c r="X954" s="34"/>
      <c r="Y954" s="33"/>
      <c r="Z954" s="34"/>
      <c r="AA954" s="33"/>
    </row>
    <row r="955" ht="15.75" customHeight="1">
      <c r="H955" s="33"/>
      <c r="I955" s="33"/>
      <c r="M955" s="33"/>
      <c r="N955" s="33"/>
      <c r="O955" s="33"/>
      <c r="P955" s="33"/>
      <c r="Q955" s="33"/>
      <c r="R955" s="33"/>
      <c r="S955" s="33"/>
      <c r="T955" s="33"/>
      <c r="U955" s="33"/>
      <c r="V955" s="33"/>
      <c r="W955" s="33"/>
      <c r="X955" s="34"/>
      <c r="Y955" s="33"/>
      <c r="Z955" s="34"/>
      <c r="AA955" s="33"/>
    </row>
    <row r="956" ht="15.75" customHeight="1">
      <c r="H956" s="33"/>
      <c r="I956" s="33"/>
      <c r="M956" s="33"/>
      <c r="N956" s="33"/>
      <c r="O956" s="33"/>
      <c r="P956" s="33"/>
      <c r="Q956" s="33"/>
      <c r="R956" s="33"/>
      <c r="S956" s="33"/>
      <c r="T956" s="33"/>
      <c r="U956" s="33"/>
      <c r="V956" s="33"/>
      <c r="W956" s="33"/>
      <c r="X956" s="34"/>
      <c r="Y956" s="33"/>
      <c r="Z956" s="34"/>
      <c r="AA956" s="33"/>
    </row>
    <row r="957" ht="15.75" customHeight="1">
      <c r="H957" s="33"/>
      <c r="I957" s="33"/>
      <c r="M957" s="33"/>
      <c r="N957" s="33"/>
      <c r="O957" s="33"/>
      <c r="P957" s="33"/>
      <c r="Q957" s="33"/>
      <c r="R957" s="33"/>
      <c r="S957" s="33"/>
      <c r="T957" s="33"/>
      <c r="U957" s="33"/>
      <c r="V957" s="33"/>
      <c r="W957" s="33"/>
      <c r="X957" s="34"/>
      <c r="Y957" s="33"/>
      <c r="Z957" s="34"/>
      <c r="AA957" s="33"/>
    </row>
    <row r="958" ht="15.75" customHeight="1">
      <c r="H958" s="33"/>
      <c r="I958" s="33"/>
      <c r="M958" s="33"/>
      <c r="N958" s="33"/>
      <c r="O958" s="33"/>
      <c r="P958" s="33"/>
      <c r="Q958" s="33"/>
      <c r="R958" s="33"/>
      <c r="S958" s="33"/>
      <c r="T958" s="33"/>
      <c r="U958" s="33"/>
      <c r="V958" s="33"/>
      <c r="W958" s="33"/>
      <c r="X958" s="34"/>
      <c r="Y958" s="33"/>
      <c r="Z958" s="34"/>
      <c r="AA958" s="33"/>
    </row>
    <row r="959" ht="15.75" customHeight="1">
      <c r="H959" s="33"/>
      <c r="I959" s="33"/>
      <c r="M959" s="33"/>
      <c r="N959" s="33"/>
      <c r="O959" s="33"/>
      <c r="P959" s="33"/>
      <c r="Q959" s="33"/>
      <c r="R959" s="33"/>
      <c r="S959" s="33"/>
      <c r="T959" s="33"/>
      <c r="U959" s="33"/>
      <c r="V959" s="33"/>
      <c r="W959" s="33"/>
      <c r="X959" s="34"/>
      <c r="Y959" s="33"/>
      <c r="Z959" s="34"/>
      <c r="AA959" s="33"/>
    </row>
    <row r="960" ht="15.75" customHeight="1">
      <c r="H960" s="33"/>
      <c r="I960" s="33"/>
      <c r="M960" s="33"/>
      <c r="N960" s="33"/>
      <c r="O960" s="33"/>
      <c r="P960" s="33"/>
      <c r="Q960" s="33"/>
      <c r="R960" s="33"/>
      <c r="S960" s="33"/>
      <c r="T960" s="33"/>
      <c r="U960" s="33"/>
      <c r="V960" s="33"/>
      <c r="W960" s="33"/>
      <c r="X960" s="34"/>
      <c r="Y960" s="33"/>
      <c r="Z960" s="34"/>
      <c r="AA960" s="33"/>
    </row>
    <row r="961" ht="15.75" customHeight="1">
      <c r="H961" s="33"/>
      <c r="I961" s="33"/>
      <c r="M961" s="33"/>
      <c r="N961" s="33"/>
      <c r="O961" s="33"/>
      <c r="P961" s="33"/>
      <c r="Q961" s="33"/>
      <c r="R961" s="33"/>
      <c r="S961" s="33"/>
      <c r="T961" s="33"/>
      <c r="U961" s="33"/>
      <c r="V961" s="33"/>
      <c r="W961" s="33"/>
      <c r="X961" s="34"/>
      <c r="Y961" s="33"/>
      <c r="Z961" s="34"/>
      <c r="AA961" s="33"/>
    </row>
    <row r="962" ht="15.75" customHeight="1">
      <c r="H962" s="33"/>
      <c r="I962" s="33"/>
      <c r="M962" s="33"/>
      <c r="N962" s="33"/>
      <c r="O962" s="33"/>
      <c r="P962" s="33"/>
      <c r="Q962" s="33"/>
      <c r="R962" s="33"/>
      <c r="S962" s="33"/>
      <c r="T962" s="33"/>
      <c r="U962" s="33"/>
      <c r="V962" s="33"/>
      <c r="W962" s="33"/>
      <c r="X962" s="34"/>
      <c r="Y962" s="33"/>
      <c r="Z962" s="34"/>
      <c r="AA962" s="33"/>
    </row>
    <row r="963" ht="15.75" customHeight="1">
      <c r="H963" s="33"/>
      <c r="I963" s="33"/>
      <c r="M963" s="33"/>
      <c r="N963" s="33"/>
      <c r="O963" s="33"/>
      <c r="P963" s="33"/>
      <c r="Q963" s="33"/>
      <c r="R963" s="33"/>
      <c r="S963" s="33"/>
      <c r="T963" s="33"/>
      <c r="U963" s="33"/>
      <c r="V963" s="33"/>
      <c r="W963" s="33"/>
      <c r="X963" s="34"/>
      <c r="Y963" s="33"/>
      <c r="Z963" s="34"/>
      <c r="AA963" s="33"/>
    </row>
    <row r="964" ht="15.75" customHeight="1">
      <c r="H964" s="33"/>
      <c r="I964" s="33"/>
      <c r="M964" s="33"/>
      <c r="N964" s="33"/>
      <c r="O964" s="33"/>
      <c r="P964" s="33"/>
      <c r="Q964" s="33"/>
      <c r="R964" s="33"/>
      <c r="S964" s="33"/>
      <c r="T964" s="33"/>
      <c r="U964" s="33"/>
      <c r="V964" s="33"/>
      <c r="W964" s="33"/>
      <c r="X964" s="34"/>
      <c r="Y964" s="33"/>
      <c r="Z964" s="34"/>
      <c r="AA964" s="33"/>
    </row>
    <row r="965" ht="15.75" customHeight="1">
      <c r="H965" s="33"/>
      <c r="I965" s="33"/>
      <c r="M965" s="33"/>
      <c r="N965" s="33"/>
      <c r="O965" s="33"/>
      <c r="P965" s="33"/>
      <c r="Q965" s="33"/>
      <c r="R965" s="33"/>
      <c r="S965" s="33"/>
      <c r="T965" s="33"/>
      <c r="U965" s="33"/>
      <c r="V965" s="33"/>
      <c r="W965" s="33"/>
      <c r="X965" s="34"/>
      <c r="Y965" s="33"/>
      <c r="Z965" s="34"/>
      <c r="AA965" s="33"/>
    </row>
    <row r="966" ht="15.75" customHeight="1">
      <c r="H966" s="33"/>
      <c r="I966" s="33"/>
      <c r="M966" s="33"/>
      <c r="N966" s="33"/>
      <c r="O966" s="33"/>
      <c r="P966" s="33"/>
      <c r="Q966" s="33"/>
      <c r="R966" s="33"/>
      <c r="S966" s="33"/>
      <c r="T966" s="33"/>
      <c r="U966" s="33"/>
      <c r="V966" s="33"/>
      <c r="W966" s="33"/>
      <c r="X966" s="34"/>
      <c r="Y966" s="33"/>
      <c r="Z966" s="34"/>
      <c r="AA966" s="33"/>
    </row>
    <row r="967" ht="15.75" customHeight="1">
      <c r="H967" s="33"/>
      <c r="I967" s="33"/>
      <c r="M967" s="33"/>
      <c r="N967" s="33"/>
      <c r="O967" s="33"/>
      <c r="P967" s="33"/>
      <c r="Q967" s="33"/>
      <c r="R967" s="33"/>
      <c r="S967" s="33"/>
      <c r="T967" s="33"/>
      <c r="U967" s="33"/>
      <c r="V967" s="33"/>
      <c r="W967" s="33"/>
      <c r="X967" s="34"/>
      <c r="Y967" s="33"/>
      <c r="Z967" s="34"/>
      <c r="AA967" s="33"/>
    </row>
    <row r="968" ht="15.75" customHeight="1">
      <c r="H968" s="33"/>
      <c r="I968" s="33"/>
      <c r="M968" s="33"/>
      <c r="N968" s="33"/>
      <c r="O968" s="33"/>
      <c r="P968" s="33"/>
      <c r="Q968" s="33"/>
      <c r="R968" s="33"/>
      <c r="S968" s="33"/>
      <c r="T968" s="33"/>
      <c r="U968" s="33"/>
      <c r="V968" s="33"/>
      <c r="W968" s="33"/>
      <c r="X968" s="34"/>
      <c r="Y968" s="33"/>
      <c r="Z968" s="34"/>
      <c r="AA968" s="33"/>
    </row>
    <row r="969" ht="15.75" customHeight="1">
      <c r="H969" s="33"/>
      <c r="I969" s="33"/>
      <c r="M969" s="33"/>
      <c r="N969" s="33"/>
      <c r="O969" s="33"/>
      <c r="P969" s="33"/>
      <c r="Q969" s="33"/>
      <c r="R969" s="33"/>
      <c r="S969" s="33"/>
      <c r="T969" s="33"/>
      <c r="U969" s="33"/>
      <c r="V969" s="33"/>
      <c r="W969" s="33"/>
      <c r="X969" s="34"/>
      <c r="Y969" s="33"/>
      <c r="Z969" s="34"/>
      <c r="AA969" s="33"/>
    </row>
    <row r="970" ht="15.75" customHeight="1">
      <c r="H970" s="33"/>
      <c r="I970" s="33"/>
      <c r="M970" s="33"/>
      <c r="N970" s="33"/>
      <c r="O970" s="33"/>
      <c r="P970" s="33"/>
      <c r="Q970" s="33"/>
      <c r="R970" s="33"/>
      <c r="S970" s="33"/>
      <c r="T970" s="33"/>
      <c r="U970" s="33"/>
      <c r="V970" s="33"/>
      <c r="W970" s="33"/>
      <c r="X970" s="34"/>
      <c r="Y970" s="33"/>
      <c r="Z970" s="34"/>
      <c r="AA970" s="33"/>
    </row>
    <row r="971" ht="15.75" customHeight="1">
      <c r="H971" s="33"/>
      <c r="I971" s="33"/>
      <c r="M971" s="33"/>
      <c r="N971" s="33"/>
      <c r="O971" s="33"/>
      <c r="P971" s="33"/>
      <c r="Q971" s="33"/>
      <c r="R971" s="33"/>
      <c r="S971" s="33"/>
      <c r="T971" s="33"/>
      <c r="U971" s="33"/>
      <c r="V971" s="33"/>
      <c r="W971" s="33"/>
      <c r="X971" s="34"/>
      <c r="Y971" s="33"/>
      <c r="Z971" s="34"/>
      <c r="AA971" s="33"/>
    </row>
    <row r="972" ht="15.75" customHeight="1">
      <c r="H972" s="33"/>
      <c r="I972" s="33"/>
      <c r="M972" s="33"/>
      <c r="N972" s="33"/>
      <c r="O972" s="33"/>
      <c r="P972" s="33"/>
      <c r="Q972" s="33"/>
      <c r="R972" s="33"/>
      <c r="S972" s="33"/>
      <c r="T972" s="33"/>
      <c r="U972" s="33"/>
      <c r="V972" s="33"/>
      <c r="W972" s="33"/>
      <c r="X972" s="34"/>
      <c r="Y972" s="33"/>
      <c r="Z972" s="34"/>
      <c r="AA972" s="33"/>
    </row>
    <row r="973" ht="15.75" customHeight="1">
      <c r="H973" s="33"/>
      <c r="I973" s="33"/>
      <c r="M973" s="33"/>
      <c r="N973" s="33"/>
      <c r="O973" s="33"/>
      <c r="P973" s="33"/>
      <c r="Q973" s="33"/>
      <c r="R973" s="33"/>
      <c r="S973" s="33"/>
      <c r="T973" s="33"/>
      <c r="U973" s="33"/>
      <c r="V973" s="33"/>
      <c r="W973" s="33"/>
      <c r="X973" s="34"/>
      <c r="Y973" s="33"/>
      <c r="Z973" s="34"/>
      <c r="AA973" s="33"/>
    </row>
    <row r="974" ht="15.75" customHeight="1">
      <c r="H974" s="33"/>
      <c r="I974" s="33"/>
      <c r="M974" s="33"/>
      <c r="N974" s="33"/>
      <c r="O974" s="33"/>
      <c r="P974" s="33"/>
      <c r="Q974" s="33"/>
      <c r="R974" s="33"/>
      <c r="S974" s="33"/>
      <c r="T974" s="33"/>
      <c r="U974" s="33"/>
      <c r="V974" s="33"/>
      <c r="W974" s="33"/>
      <c r="X974" s="34"/>
      <c r="Y974" s="33"/>
      <c r="Z974" s="34"/>
      <c r="AA974" s="33"/>
    </row>
    <row r="975" ht="15.75" customHeight="1">
      <c r="H975" s="33"/>
      <c r="I975" s="33"/>
      <c r="M975" s="33"/>
      <c r="N975" s="33"/>
      <c r="O975" s="33"/>
      <c r="P975" s="33"/>
      <c r="Q975" s="33"/>
      <c r="R975" s="33"/>
      <c r="S975" s="33"/>
      <c r="T975" s="33"/>
      <c r="U975" s="33"/>
      <c r="V975" s="33"/>
      <c r="W975" s="33"/>
      <c r="X975" s="34"/>
      <c r="Y975" s="33"/>
      <c r="Z975" s="34"/>
      <c r="AA975" s="33"/>
    </row>
    <row r="976" ht="15.75" customHeight="1">
      <c r="H976" s="33"/>
      <c r="I976" s="33"/>
      <c r="M976" s="33"/>
      <c r="N976" s="33"/>
      <c r="O976" s="33"/>
      <c r="P976" s="33"/>
      <c r="Q976" s="33"/>
      <c r="R976" s="33"/>
      <c r="S976" s="33"/>
      <c r="T976" s="33"/>
      <c r="U976" s="33"/>
      <c r="V976" s="33"/>
      <c r="W976" s="33"/>
      <c r="X976" s="34"/>
      <c r="Y976" s="33"/>
      <c r="Z976" s="34"/>
      <c r="AA976" s="33"/>
    </row>
    <row r="977" ht="15.75" customHeight="1">
      <c r="H977" s="33"/>
      <c r="I977" s="33"/>
      <c r="M977" s="33"/>
      <c r="N977" s="33"/>
      <c r="O977" s="33"/>
      <c r="P977" s="33"/>
      <c r="Q977" s="33"/>
      <c r="R977" s="33"/>
      <c r="S977" s="33"/>
      <c r="T977" s="33"/>
      <c r="U977" s="33"/>
      <c r="V977" s="33"/>
      <c r="W977" s="33"/>
      <c r="X977" s="34"/>
      <c r="Y977" s="33"/>
      <c r="Z977" s="34"/>
      <c r="AA977" s="33"/>
    </row>
    <row r="978" ht="15.75" customHeight="1">
      <c r="H978" s="33"/>
      <c r="I978" s="33"/>
      <c r="M978" s="33"/>
      <c r="N978" s="33"/>
      <c r="O978" s="33"/>
      <c r="P978" s="33"/>
      <c r="Q978" s="33"/>
      <c r="R978" s="33"/>
      <c r="S978" s="33"/>
      <c r="T978" s="33"/>
      <c r="U978" s="33"/>
      <c r="V978" s="33"/>
      <c r="W978" s="33"/>
      <c r="X978" s="34"/>
      <c r="Y978" s="33"/>
      <c r="Z978" s="34"/>
      <c r="AA978" s="33"/>
    </row>
    <row r="979" ht="15.75" customHeight="1">
      <c r="H979" s="33"/>
      <c r="I979" s="33"/>
      <c r="M979" s="33"/>
      <c r="N979" s="33"/>
      <c r="O979" s="33"/>
      <c r="P979" s="33"/>
      <c r="Q979" s="33"/>
      <c r="R979" s="33"/>
      <c r="S979" s="33"/>
      <c r="T979" s="33"/>
      <c r="U979" s="33"/>
      <c r="V979" s="33"/>
      <c r="W979" s="33"/>
      <c r="X979" s="34"/>
      <c r="Y979" s="33"/>
      <c r="Z979" s="34"/>
      <c r="AA979" s="33"/>
    </row>
    <row r="980" ht="15.75" customHeight="1">
      <c r="H980" s="33"/>
      <c r="I980" s="33"/>
      <c r="M980" s="33"/>
      <c r="N980" s="33"/>
      <c r="O980" s="33"/>
      <c r="P980" s="33"/>
      <c r="Q980" s="33"/>
      <c r="R980" s="33"/>
      <c r="S980" s="33"/>
      <c r="T980" s="33"/>
      <c r="U980" s="33"/>
      <c r="V980" s="33"/>
      <c r="W980" s="33"/>
      <c r="X980" s="34"/>
      <c r="Y980" s="33"/>
      <c r="Z980" s="34"/>
      <c r="AA980" s="33"/>
    </row>
    <row r="981" ht="15.75" customHeight="1">
      <c r="H981" s="33"/>
      <c r="I981" s="33"/>
      <c r="M981" s="33"/>
      <c r="N981" s="33"/>
      <c r="O981" s="33"/>
      <c r="P981" s="33"/>
      <c r="Q981" s="33"/>
      <c r="R981" s="33"/>
      <c r="S981" s="33"/>
      <c r="T981" s="33"/>
      <c r="U981" s="33"/>
      <c r="V981" s="33"/>
      <c r="W981" s="33"/>
      <c r="X981" s="34"/>
      <c r="Y981" s="33"/>
      <c r="Z981" s="34"/>
      <c r="AA981" s="33"/>
    </row>
    <row r="982" ht="15.75" customHeight="1">
      <c r="H982" s="33"/>
      <c r="I982" s="33"/>
      <c r="M982" s="33"/>
      <c r="N982" s="33"/>
      <c r="O982" s="33"/>
      <c r="P982" s="33"/>
      <c r="Q982" s="33"/>
      <c r="R982" s="33"/>
      <c r="S982" s="33"/>
      <c r="T982" s="33"/>
      <c r="U982" s="33"/>
      <c r="V982" s="33"/>
      <c r="W982" s="33"/>
      <c r="X982" s="34"/>
      <c r="Y982" s="33"/>
      <c r="Z982" s="34"/>
      <c r="AA982" s="33"/>
    </row>
    <row r="983" ht="15.75" customHeight="1">
      <c r="H983" s="33"/>
      <c r="I983" s="33"/>
      <c r="M983" s="33"/>
      <c r="N983" s="33"/>
      <c r="O983" s="33"/>
      <c r="P983" s="33"/>
      <c r="Q983" s="33"/>
      <c r="R983" s="33"/>
      <c r="S983" s="33"/>
      <c r="T983" s="33"/>
      <c r="U983" s="33"/>
      <c r="V983" s="33"/>
      <c r="W983" s="33"/>
      <c r="X983" s="34"/>
      <c r="Y983" s="33"/>
      <c r="Z983" s="34"/>
      <c r="AA983" s="33"/>
    </row>
    <row r="984" ht="15.75" customHeight="1">
      <c r="H984" s="33"/>
      <c r="I984" s="33"/>
      <c r="M984" s="33"/>
      <c r="N984" s="33"/>
      <c r="O984" s="33"/>
      <c r="P984" s="33"/>
      <c r="Q984" s="33"/>
      <c r="R984" s="33"/>
      <c r="S984" s="33"/>
      <c r="T984" s="33"/>
      <c r="U984" s="33"/>
      <c r="V984" s="33"/>
      <c r="W984" s="33"/>
      <c r="X984" s="34"/>
      <c r="Y984" s="33"/>
      <c r="Z984" s="34"/>
      <c r="AA984" s="33"/>
    </row>
    <row r="985" ht="15.75" customHeight="1">
      <c r="H985" s="33"/>
      <c r="I985" s="33"/>
      <c r="M985" s="33"/>
      <c r="N985" s="33"/>
      <c r="O985" s="33"/>
      <c r="P985" s="33"/>
      <c r="Q985" s="33"/>
      <c r="R985" s="33"/>
      <c r="S985" s="33"/>
      <c r="T985" s="33"/>
      <c r="U985" s="33"/>
      <c r="V985" s="33"/>
      <c r="W985" s="33"/>
      <c r="X985" s="34"/>
      <c r="Y985" s="33"/>
      <c r="Z985" s="34"/>
      <c r="AA985" s="33"/>
    </row>
    <row r="986" ht="15.75" customHeight="1">
      <c r="H986" s="33"/>
      <c r="I986" s="33"/>
      <c r="M986" s="33"/>
      <c r="N986" s="33"/>
      <c r="O986" s="33"/>
      <c r="P986" s="33"/>
      <c r="Q986" s="33"/>
      <c r="R986" s="33"/>
      <c r="S986" s="33"/>
      <c r="T986" s="33"/>
      <c r="U986" s="33"/>
      <c r="V986" s="33"/>
      <c r="W986" s="33"/>
      <c r="X986" s="34"/>
      <c r="Y986" s="33"/>
      <c r="Z986" s="34"/>
      <c r="AA986" s="33"/>
    </row>
    <row r="987" ht="15.75" customHeight="1">
      <c r="H987" s="33"/>
      <c r="I987" s="33"/>
      <c r="M987" s="33"/>
      <c r="N987" s="33"/>
      <c r="O987" s="33"/>
      <c r="P987" s="33"/>
      <c r="Q987" s="33"/>
      <c r="R987" s="33"/>
      <c r="S987" s="33"/>
      <c r="T987" s="33"/>
      <c r="U987" s="33"/>
      <c r="V987" s="33"/>
      <c r="W987" s="33"/>
      <c r="X987" s="34"/>
      <c r="Y987" s="33"/>
      <c r="Z987" s="34"/>
      <c r="AA987" s="33"/>
    </row>
    <row r="988" ht="15.75" customHeight="1">
      <c r="H988" s="33"/>
      <c r="I988" s="33"/>
      <c r="M988" s="33"/>
      <c r="N988" s="33"/>
      <c r="O988" s="33"/>
      <c r="P988" s="33"/>
      <c r="Q988" s="33"/>
      <c r="R988" s="33"/>
      <c r="S988" s="33"/>
      <c r="T988" s="33"/>
      <c r="U988" s="33"/>
      <c r="V988" s="33"/>
      <c r="W988" s="33"/>
      <c r="X988" s="34"/>
      <c r="Y988" s="33"/>
      <c r="Z988" s="34"/>
      <c r="AA988" s="33"/>
    </row>
    <row r="989" ht="15.75" customHeight="1">
      <c r="H989" s="33"/>
      <c r="I989" s="33"/>
      <c r="M989" s="33"/>
      <c r="N989" s="33"/>
      <c r="O989" s="33"/>
      <c r="P989" s="33"/>
      <c r="Q989" s="33"/>
      <c r="R989" s="33"/>
      <c r="S989" s="33"/>
      <c r="T989" s="33"/>
      <c r="U989" s="33"/>
      <c r="V989" s="33"/>
      <c r="W989" s="33"/>
      <c r="X989" s="34"/>
      <c r="Y989" s="33"/>
      <c r="Z989" s="34"/>
      <c r="AA989" s="33"/>
    </row>
    <row r="990" ht="15.75" customHeight="1">
      <c r="H990" s="33"/>
      <c r="I990" s="33"/>
      <c r="M990" s="33"/>
      <c r="N990" s="33"/>
      <c r="O990" s="33"/>
      <c r="P990" s="33"/>
      <c r="Q990" s="33"/>
      <c r="R990" s="33"/>
      <c r="S990" s="33"/>
      <c r="T990" s="33"/>
      <c r="U990" s="33"/>
      <c r="V990" s="33"/>
      <c r="W990" s="33"/>
      <c r="X990" s="34"/>
      <c r="Y990" s="33"/>
      <c r="Z990" s="34"/>
      <c r="AA990" s="33"/>
    </row>
    <row r="991" ht="15.75" customHeight="1">
      <c r="H991" s="33"/>
      <c r="I991" s="33"/>
      <c r="M991" s="33"/>
      <c r="N991" s="33"/>
      <c r="O991" s="33"/>
      <c r="P991" s="33"/>
      <c r="Q991" s="33"/>
      <c r="R991" s="33"/>
      <c r="S991" s="33"/>
      <c r="T991" s="33"/>
      <c r="U991" s="33"/>
      <c r="V991" s="33"/>
      <c r="W991" s="33"/>
      <c r="X991" s="34"/>
      <c r="Y991" s="33"/>
      <c r="Z991" s="34"/>
      <c r="AA991" s="33"/>
    </row>
    <row r="992" ht="15.75" customHeight="1">
      <c r="H992" s="33"/>
      <c r="I992" s="33"/>
      <c r="M992" s="33"/>
      <c r="N992" s="33"/>
      <c r="O992" s="33"/>
      <c r="P992" s="33"/>
      <c r="Q992" s="33"/>
      <c r="R992" s="33"/>
      <c r="S992" s="33"/>
      <c r="T992" s="33"/>
      <c r="U992" s="33"/>
      <c r="V992" s="33"/>
      <c r="W992" s="33"/>
      <c r="X992" s="34"/>
      <c r="Y992" s="33"/>
      <c r="Z992" s="34"/>
      <c r="AA992" s="33"/>
    </row>
    <row r="993" ht="15.75" customHeight="1">
      <c r="H993" s="33"/>
      <c r="I993" s="33"/>
      <c r="M993" s="33"/>
      <c r="N993" s="33"/>
      <c r="O993" s="33"/>
      <c r="P993" s="33"/>
      <c r="Q993" s="33"/>
      <c r="R993" s="33"/>
      <c r="S993" s="33"/>
      <c r="T993" s="33"/>
      <c r="U993" s="33"/>
      <c r="V993" s="33"/>
      <c r="W993" s="33"/>
      <c r="X993" s="34"/>
      <c r="Y993" s="33"/>
      <c r="Z993" s="34"/>
      <c r="AA993" s="33"/>
    </row>
    <row r="994" ht="15.75" customHeight="1">
      <c r="H994" s="33"/>
      <c r="I994" s="33"/>
      <c r="M994" s="33"/>
      <c r="N994" s="33"/>
      <c r="O994" s="33"/>
      <c r="P994" s="33"/>
      <c r="Q994" s="33"/>
      <c r="R994" s="33"/>
      <c r="S994" s="33"/>
      <c r="T994" s="33"/>
      <c r="U994" s="33"/>
      <c r="V994" s="33"/>
      <c r="W994" s="33"/>
      <c r="X994" s="34"/>
      <c r="Y994" s="33"/>
      <c r="Z994" s="34"/>
      <c r="AA994" s="33"/>
    </row>
    <row r="995" ht="15.75" customHeight="1">
      <c r="H995" s="33"/>
      <c r="I995" s="33"/>
      <c r="M995" s="33"/>
      <c r="N995" s="33"/>
      <c r="O995" s="33"/>
      <c r="P995" s="33"/>
      <c r="Q995" s="33"/>
      <c r="R995" s="33"/>
      <c r="S995" s="33"/>
      <c r="T995" s="33"/>
      <c r="U995" s="33"/>
      <c r="V995" s="33"/>
      <c r="W995" s="33"/>
      <c r="X995" s="34"/>
      <c r="Y995" s="33"/>
      <c r="Z995" s="34"/>
      <c r="AA995" s="33"/>
    </row>
    <row r="996" ht="15.75" customHeight="1">
      <c r="H996" s="33"/>
      <c r="I996" s="33"/>
      <c r="M996" s="33"/>
      <c r="N996" s="33"/>
      <c r="O996" s="33"/>
      <c r="P996" s="33"/>
      <c r="Q996" s="33"/>
      <c r="R996" s="33"/>
      <c r="S996" s="33"/>
      <c r="T996" s="33"/>
      <c r="U996" s="33"/>
      <c r="V996" s="33"/>
      <c r="W996" s="33"/>
      <c r="X996" s="34"/>
      <c r="Y996" s="33"/>
      <c r="Z996" s="34"/>
      <c r="AA996" s="33"/>
    </row>
    <row r="997" ht="15.75" customHeight="1">
      <c r="H997" s="33"/>
      <c r="I997" s="33"/>
      <c r="M997" s="33"/>
      <c r="N997" s="33"/>
      <c r="O997" s="33"/>
      <c r="P997" s="33"/>
      <c r="Q997" s="33"/>
      <c r="R997" s="33"/>
      <c r="S997" s="33"/>
      <c r="T997" s="33"/>
      <c r="U997" s="33"/>
      <c r="V997" s="33"/>
      <c r="W997" s="33"/>
      <c r="X997" s="34"/>
      <c r="Y997" s="33"/>
      <c r="Z997" s="34"/>
      <c r="AA997" s="33"/>
    </row>
    <row r="998" ht="15.75" customHeight="1">
      <c r="H998" s="33"/>
      <c r="I998" s="33"/>
      <c r="M998" s="33"/>
      <c r="N998" s="33"/>
      <c r="O998" s="33"/>
      <c r="P998" s="33"/>
      <c r="Q998" s="33"/>
      <c r="R998" s="33"/>
      <c r="S998" s="33"/>
      <c r="T998" s="33"/>
      <c r="U998" s="33"/>
      <c r="V998" s="33"/>
      <c r="W998" s="33"/>
      <c r="X998" s="34"/>
      <c r="Y998" s="33"/>
      <c r="Z998" s="34"/>
      <c r="AA998" s="33"/>
    </row>
    <row r="999" ht="15.75" customHeight="1">
      <c r="H999" s="33"/>
      <c r="I999" s="33"/>
      <c r="M999" s="33"/>
      <c r="N999" s="33"/>
      <c r="O999" s="33"/>
      <c r="P999" s="33"/>
      <c r="Q999" s="33"/>
      <c r="R999" s="33"/>
      <c r="S999" s="33"/>
      <c r="T999" s="33"/>
      <c r="U999" s="33"/>
      <c r="V999" s="33"/>
      <c r="W999" s="33"/>
      <c r="X999" s="34"/>
      <c r="Y999" s="33"/>
      <c r="Z999" s="34"/>
      <c r="AA999" s="33"/>
    </row>
    <row r="1000" ht="15.75" customHeight="1">
      <c r="H1000" s="33"/>
      <c r="I1000" s="33"/>
      <c r="M1000" s="33"/>
      <c r="N1000" s="33"/>
      <c r="O1000" s="33"/>
      <c r="P1000" s="33"/>
      <c r="Q1000" s="33"/>
      <c r="R1000" s="33"/>
      <c r="S1000" s="33"/>
      <c r="T1000" s="33"/>
      <c r="U1000" s="33"/>
      <c r="V1000" s="33"/>
      <c r="W1000" s="33"/>
      <c r="X1000" s="34"/>
      <c r="Y1000" s="33"/>
      <c r="Z1000" s="34"/>
      <c r="AA1000" s="33"/>
    </row>
  </sheetData>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3" width="16.14"/>
    <col customWidth="1" min="4" max="6" width="10.71"/>
    <col customWidth="1" min="7" max="7" width="18.71"/>
    <col customWidth="1" min="8" max="8" width="10.71"/>
    <col customWidth="1" min="9" max="9" width="5.29"/>
    <col customWidth="1" min="10" max="10" width="10.71"/>
    <col customWidth="1" min="11" max="11" width="5.29"/>
    <col customWidth="1" min="12" max="12" width="10.71"/>
    <col customWidth="1" min="13" max="13" width="5.29"/>
    <col customWidth="1" min="14" max="14" width="13.71"/>
    <col customWidth="1" min="15" max="15" width="10.71"/>
    <col customWidth="1" min="16" max="16" width="15.71"/>
    <col customWidth="1" min="17" max="18" width="13.14"/>
    <col customWidth="1" min="19" max="20" width="14.14"/>
    <col customWidth="1" min="21" max="21" width="10.71"/>
    <col customWidth="1" min="22" max="22" width="20.71"/>
    <col customWidth="1" min="23" max="23" width="21.57"/>
    <col customWidth="1" min="24" max="24" width="15.0"/>
    <col customWidth="1" min="25" max="25" width="12.14"/>
    <col customWidth="1" min="26" max="26" width="22.71"/>
    <col customWidth="1" min="27" max="27" width="655.71"/>
    <col customWidth="1" min="28" max="35" width="10.71"/>
  </cols>
  <sheetData>
    <row r="1">
      <c r="A1" s="53" t="s">
        <v>0</v>
      </c>
      <c r="B1" s="1" t="s">
        <v>1</v>
      </c>
      <c r="C1" s="53" t="s">
        <v>775</v>
      </c>
      <c r="D1" s="36" t="s">
        <v>777</v>
      </c>
      <c r="E1" s="53" t="s">
        <v>8</v>
      </c>
      <c r="F1" s="53" t="s">
        <v>9</v>
      </c>
      <c r="G1" s="53" t="s">
        <v>6</v>
      </c>
      <c r="H1" s="36" t="s">
        <v>11</v>
      </c>
      <c r="I1" s="37" t="s">
        <v>521</v>
      </c>
      <c r="J1" s="36" t="s">
        <v>16</v>
      </c>
      <c r="K1" s="37" t="s">
        <v>521</v>
      </c>
      <c r="L1" s="36" t="s">
        <v>17</v>
      </c>
      <c r="M1" s="37" t="s">
        <v>521</v>
      </c>
      <c r="N1" s="36" t="s">
        <v>779</v>
      </c>
      <c r="O1" s="37" t="s">
        <v>521</v>
      </c>
      <c r="P1" s="68" t="s">
        <v>780</v>
      </c>
      <c r="Q1" s="37" t="s">
        <v>1166</v>
      </c>
      <c r="R1" s="53" t="s">
        <v>781</v>
      </c>
      <c r="S1" s="37" t="s">
        <v>1166</v>
      </c>
      <c r="T1" s="69" t="s">
        <v>1167</v>
      </c>
      <c r="U1" s="37" t="s">
        <v>1166</v>
      </c>
      <c r="V1" s="54" t="s">
        <v>783</v>
      </c>
      <c r="W1" s="54" t="s">
        <v>784</v>
      </c>
      <c r="X1" s="54" t="s">
        <v>26</v>
      </c>
      <c r="Y1" s="70" t="s">
        <v>30</v>
      </c>
      <c r="Z1" s="70" t="s">
        <v>31</v>
      </c>
      <c r="AA1" s="54" t="s">
        <v>32</v>
      </c>
    </row>
    <row r="2" ht="18.0" customHeight="1">
      <c r="A2" s="32">
        <v>22550.0</v>
      </c>
      <c r="B2" s="5" t="s">
        <v>785</v>
      </c>
      <c r="C2" s="32" t="s">
        <v>1168</v>
      </c>
      <c r="D2" s="40" t="s">
        <v>788</v>
      </c>
      <c r="E2" s="32" t="s">
        <v>789</v>
      </c>
      <c r="F2" s="32" t="s">
        <v>1169</v>
      </c>
      <c r="G2" s="32" t="s">
        <v>1170</v>
      </c>
      <c r="H2" s="40">
        <v>25.0</v>
      </c>
      <c r="I2" s="40" t="s">
        <v>42</v>
      </c>
      <c r="J2" s="40">
        <v>140.0</v>
      </c>
      <c r="K2" s="40" t="s">
        <v>42</v>
      </c>
      <c r="L2" s="40">
        <v>2900.0</v>
      </c>
      <c r="M2" s="40" t="s">
        <v>42</v>
      </c>
      <c r="N2" s="41">
        <v>0.41</v>
      </c>
      <c r="O2" s="40" t="s">
        <v>46</v>
      </c>
      <c r="P2" s="71">
        <f t="shared" ref="P2:P20" si="1">R2*N2</f>
        <v>15.58</v>
      </c>
      <c r="Q2" s="40" t="s">
        <v>61</v>
      </c>
      <c r="R2" s="32">
        <v>38.0</v>
      </c>
      <c r="S2" s="40" t="s">
        <v>61</v>
      </c>
      <c r="T2" s="35">
        <f t="shared" ref="T2:T20" si="2">P2/L2*1000</f>
        <v>5.372413793</v>
      </c>
      <c r="U2" s="40" t="s">
        <v>61</v>
      </c>
      <c r="AA2" s="43" t="str">
        <f>IFERROR(__xludf.DUMMYFUNCTION("ai(""un breve descripcion del producto y una sugerencia de su uso"")"),"El Deck WPC Fresno Nórdico de la línea Noble de MaxCore es un revestimiento para exteriores de tono claro con una veta fina que recrea fielmente la estética de la madera nórdica. Fabricado con un compuesto de polímeros y fibras de madera, es altamente res"&amp;"istente a la intemperie, al sol y a las temperaturas extremas, destacándose por ser un producto 100% libre de mantenimiento que no requiere lijado ni barnizado.
Debido a su diseño contemporáneo que aporta amplitud visual, se sugiere su uso para jerarquiz"&amp;"ar espacios exteriores como terrazas, galerías, balcones, quinchos o bordes de piscinas. Puede instalarse sobre diversas superficies, incluyendo contrapisos, carpetas lisas o estructuras de madera.")</f>
        <v>El Deck WPC Fresno Nórdico de la línea Noble de MaxCore es un revestimiento para exteriores de tono claro con una veta fina que recrea fielmente la estética de la madera nórdica. Fabricado con un compuesto de polímeros y fibras de madera, es altamente resistente a la intemperie, al sol y a las temperaturas extremas, destacándose por ser un producto 100% libre de mantenimiento que no requiere lijado ni barnizado.
Debido a su diseño contemporáneo que aporta amplitud visual, se sugiere su uso para jerarquizar espacios exteriores como terrazas, galerías, balcones, quinchos o bordes de piscinas. Puede instalarse sobre diversas superficies, incluyendo contrapisos, carpetas lisas o estructuras de madera.</v>
      </c>
    </row>
    <row r="3" ht="15.0" customHeight="1">
      <c r="A3" s="32">
        <v>25549.0</v>
      </c>
      <c r="B3" s="5" t="s">
        <v>785</v>
      </c>
      <c r="C3" s="32" t="s">
        <v>1168</v>
      </c>
      <c r="D3" s="40" t="s">
        <v>788</v>
      </c>
      <c r="E3" s="32" t="s">
        <v>789</v>
      </c>
      <c r="F3" s="32" t="s">
        <v>1169</v>
      </c>
      <c r="G3" s="32" t="s">
        <v>1171</v>
      </c>
      <c r="H3" s="40">
        <v>25.0</v>
      </c>
      <c r="I3" s="40" t="s">
        <v>42</v>
      </c>
      <c r="J3" s="40">
        <v>140.0</v>
      </c>
      <c r="K3" s="40" t="s">
        <v>42</v>
      </c>
      <c r="L3" s="40">
        <v>2900.0</v>
      </c>
      <c r="M3" s="40" t="s">
        <v>42</v>
      </c>
      <c r="N3" s="41">
        <v>0.41</v>
      </c>
      <c r="O3" s="40" t="s">
        <v>46</v>
      </c>
      <c r="P3" s="71">
        <f t="shared" si="1"/>
        <v>15.58</v>
      </c>
      <c r="Q3" s="40" t="s">
        <v>61</v>
      </c>
      <c r="R3" s="32">
        <v>38.0</v>
      </c>
      <c r="S3" s="40" t="s">
        <v>61</v>
      </c>
      <c r="T3" s="35">
        <f t="shared" si="2"/>
        <v>5.372413793</v>
      </c>
      <c r="U3" s="40" t="s">
        <v>61</v>
      </c>
      <c r="AA3" s="43" t="str">
        <f>IFERROR(__xludf.DUMMYFUNCTION("AI(""Completa un valor adecuado para esta celda en función del contexto de la tabla"")"),"El Deck WPC Nogal Tabaco de la línea Noble de MaxCore es un revestimiento para exteriores de tono oscuro y profundo con una veta pronunciada que aporta calidez y elegancia. Fabricado con un compuesto de polímeros y fibras de madera, es altamente resistent"&amp;"e a la intemperie, al sol y a la humedad, destacándose por ser un producto de bajo mantenimiento que no requiere lijado ni barnizado.
Debido a su diseño contemporáneo y presencia visual, se sugiere su uso para jerarquizar espacios exteriores como terraza"&amp;"s, galerías, balcones o bordes de piscinas. Puede instalarse sobre diversas superficies utilizando grampas ocultas, lo que garantiza una estética limpia y estable para proyectos residenciales de alta calidad.")</f>
        <v>El Deck WPC Nogal Tabaco de la línea Noble de MaxCore es un revestimiento para exteriores de tono oscuro y profundo con una veta pronunciada que aporta calidez y elegancia. Fabricado con un compuesto de polímeros y fibras de madera, es altamente resistente a la intemperie, al sol y a la humedad, destacándose por ser un producto de bajo mantenimiento que no requiere lijado ni barnizado.
Debido a su diseño contemporáneo y presencia visual, se sugiere su uso para jerarquizar espacios exteriores como terrazas, galerías, balcones o bordes de piscinas. Puede instalarse sobre diversas superficies utilizando grampas ocultas, lo que garantiza una estética limpia y estable para proyectos residenciales de alta calidad.</v>
      </c>
    </row>
    <row r="4">
      <c r="A4" s="32">
        <v>23023.0</v>
      </c>
      <c r="B4" s="5" t="s">
        <v>785</v>
      </c>
      <c r="C4" s="32" t="s">
        <v>1168</v>
      </c>
      <c r="D4" s="40" t="s">
        <v>788</v>
      </c>
      <c r="E4" s="32" t="s">
        <v>789</v>
      </c>
      <c r="F4" s="32" t="s">
        <v>1169</v>
      </c>
      <c r="G4" s="32" t="s">
        <v>1172</v>
      </c>
      <c r="H4" s="40">
        <v>25.0</v>
      </c>
      <c r="I4" s="40" t="s">
        <v>42</v>
      </c>
      <c r="J4" s="40">
        <v>140.0</v>
      </c>
      <c r="K4" s="40" t="s">
        <v>42</v>
      </c>
      <c r="L4" s="40">
        <v>2900.0</v>
      </c>
      <c r="M4" s="40" t="s">
        <v>42</v>
      </c>
      <c r="N4" s="41">
        <v>0.41</v>
      </c>
      <c r="O4" s="40" t="s">
        <v>46</v>
      </c>
      <c r="P4" s="71">
        <f t="shared" si="1"/>
        <v>13.366</v>
      </c>
      <c r="Q4" s="40" t="s">
        <v>61</v>
      </c>
      <c r="R4" s="32">
        <v>32.6</v>
      </c>
      <c r="S4" s="40" t="s">
        <v>61</v>
      </c>
      <c r="T4" s="35">
        <f t="shared" si="2"/>
        <v>4.608965517</v>
      </c>
      <c r="U4" s="40" t="s">
        <v>61</v>
      </c>
      <c r="AA4" s="43" t="str">
        <f>IFERROR(__xludf.DUMMYFUNCTION("AI(""Completa un valor adecuado para esta celda en función del contexto de la tabla"")"),"El Deck WPC Roble Clásico de la línea Noble de MaxCore es un revestimiento para exteriores que combina madera natural y polímeros para ofrecer una estética de madera tradicional sin mantenimiento. Con un espesor de 25 mm y dimensiones de 14 cm x 2.90 m, p"&amp;"resenta un tono medio y veta natural altamente resistente a la intemperie, el agua y los rayos UV. Es una solución duradera y antideslizante ideal para terrazas, galerías o bordes de piscinas, ya que no requiere lijado ni barnizado. Su instalación es rápi"&amp;"da y sencilla, apta para diversas superficies exteriores.")</f>
        <v>El Deck WPC Roble Clásico de la línea Noble de MaxCore es un revestimiento para exteriores que combina madera natural y polímeros para ofrecer una estética de madera tradicional sin mantenimiento. Con un espesor de 25 mm y dimensiones de 14 cm x 2.90 m, presenta un tono medio y veta natural altamente resistente a la intemperie, el agua y los rayos UV. Es una solución duradera y antideslizante ideal para terrazas, galerías o bordes de piscinas, ya que no requiere lijado ni barnizado. Su instalación es rápida y sencilla, apta para diversas superficies exteriores.</v>
      </c>
    </row>
    <row r="5" ht="16.5" customHeight="1">
      <c r="A5" s="32">
        <v>22548.0</v>
      </c>
      <c r="B5" s="5" t="s">
        <v>785</v>
      </c>
      <c r="C5" s="32" t="s">
        <v>1168</v>
      </c>
      <c r="D5" s="40" t="s">
        <v>788</v>
      </c>
      <c r="E5" s="32" t="s">
        <v>789</v>
      </c>
      <c r="F5" s="32" t="s">
        <v>1169</v>
      </c>
      <c r="G5" s="32" t="s">
        <v>1173</v>
      </c>
      <c r="H5" s="40">
        <v>25.0</v>
      </c>
      <c r="I5" s="40" t="s">
        <v>42</v>
      </c>
      <c r="J5" s="40">
        <v>140.0</v>
      </c>
      <c r="K5" s="40" t="s">
        <v>42</v>
      </c>
      <c r="L5" s="40">
        <v>2900.0</v>
      </c>
      <c r="M5" s="40" t="s">
        <v>42</v>
      </c>
      <c r="N5" s="41">
        <v>0.41</v>
      </c>
      <c r="O5" s="40" t="s">
        <v>46</v>
      </c>
      <c r="P5" s="71">
        <f t="shared" si="1"/>
        <v>15.58</v>
      </c>
      <c r="Q5" s="40" t="s">
        <v>61</v>
      </c>
      <c r="R5" s="32">
        <v>38.0</v>
      </c>
      <c r="S5" s="40" t="s">
        <v>61</v>
      </c>
      <c r="T5" s="35">
        <f t="shared" si="2"/>
        <v>5.372413793</v>
      </c>
      <c r="U5" s="40" t="s">
        <v>61</v>
      </c>
      <c r="AA5" s="43" t="str">
        <f>IFERROR(__xludf.DUMMYFUNCTION("AI(""Completa un valor adecuado para esta celda en función del contexto de la tabla"")"),"El Deck WPC Roble Gris de la línea Noble de MaxCore es un revestimiento para exteriores de tono gris natural con una veta moderada, ideal para proyectos residenciales modernos y minimalistas. Fabricado con un compuesto de fibras de madera y polímeros, ofr"&amp;"ece la estética de la madera con una alta resistencia a la intemperie, a los rayos UV y a la humedad. Es un producto duradero y de bajo mantenimiento que no requiere lijado, barnizado ni sellado.
Por su diseño contemporáneo que combina con superficies de"&amp;" hormigón o tonos neutros, es la opción más elegida para jerarquizar terrazas, patios y jardines. Su instalación es sencilla y puede realizarse sobre diversas estructuras base, siendo apto para áreas de alto tránsito y seguro para caminar descalzo gracias"&amp;" a su superficie antideslizante.")</f>
        <v>El Deck WPC Roble Gris de la línea Noble de MaxCore es un revestimiento para exteriores de tono gris natural con una veta moderada, ideal para proyectos residenciales modernos y minimalistas. Fabricado con un compuesto de fibras de madera y polímeros, ofrece la estética de la madera con una alta resistencia a la intemperie, a los rayos UV y a la humedad. Es un producto duradero y de bajo mantenimiento que no requiere lijado, barnizado ni sellado.
Por su diseño contemporáneo que combina con superficies de hormigón o tonos neutros, es la opción más elegida para jerarquizar terrazas, patios y jardines. Su instalación es sencilla y puede realizarse sobre diversas estructuras base, siendo apto para áreas de alto tránsito y seguro para caminar descalzo gracias a su superficie antideslizante.</v>
      </c>
    </row>
    <row r="6" ht="15.0" customHeight="1">
      <c r="A6" s="32">
        <v>23581.0</v>
      </c>
      <c r="B6" s="5" t="s">
        <v>785</v>
      </c>
      <c r="C6" s="32" t="s">
        <v>1168</v>
      </c>
      <c r="D6" s="40" t="s">
        <v>788</v>
      </c>
      <c r="E6" s="32" t="s">
        <v>789</v>
      </c>
      <c r="F6" s="32" t="s">
        <v>1169</v>
      </c>
      <c r="G6" s="32" t="s">
        <v>1133</v>
      </c>
      <c r="H6" s="40">
        <v>25.0</v>
      </c>
      <c r="I6" s="40" t="s">
        <v>42</v>
      </c>
      <c r="J6" s="40">
        <v>140.0</v>
      </c>
      <c r="K6" s="40" t="s">
        <v>42</v>
      </c>
      <c r="L6" s="40">
        <v>2900.0</v>
      </c>
      <c r="M6" s="40" t="s">
        <v>42</v>
      </c>
      <c r="N6" s="41">
        <v>0.41</v>
      </c>
      <c r="O6" s="40" t="s">
        <v>46</v>
      </c>
      <c r="P6" s="71">
        <f t="shared" si="1"/>
        <v>15.58</v>
      </c>
      <c r="Q6" s="40" t="s">
        <v>61</v>
      </c>
      <c r="R6" s="32">
        <v>38.0</v>
      </c>
      <c r="S6" s="40" t="s">
        <v>61</v>
      </c>
      <c r="T6" s="35">
        <f t="shared" si="2"/>
        <v>5.372413793</v>
      </c>
      <c r="U6" s="40" t="s">
        <v>61</v>
      </c>
      <c r="AA6" s="43" t="str">
        <f>IFERROR(__xludf.DUMMYFUNCTION("AI(""Completa un valor adecuado para esta celda en función del contexto de la tabla"")"),"El Deck WPC Roble Natural de la línea Noble de MaxCore es un revestimiento para exteriores de tono cálido y veta natural que recrea la estética de la madera. Fabricado con un compuesto de fibras de madera y polímeros, es altamente resistente a la intemper"&amp;"ie, al agua y a los insectos, destacándose por ser un producto 100% libre de mantenimiento que no requiere pintura ni sellado.
Debido a su diseño que combina bien con la vegetación, se sugiere su uso para jerarquizar espacios como galerías, terrazas y re"&amp;"modelaciones de exterior. Puede instalarse sobre estructuras de soporte, proporcionando una superficie nivelada, uniforme y antideslizante.")</f>
        <v>El Deck WPC Roble Natural de la línea Noble de MaxCore es un revestimiento para exteriores de tono cálido y veta natural que recrea la estética de la madera. Fabricado con un compuesto de fibras de madera y polímeros, es altamente resistente a la intemperie, al agua y a los insectos, destacándose por ser un producto 100% libre de mantenimiento que no requiere pintura ni sellado.
Debido a su diseño que combina bien con la vegetación, se sugiere su uso para jerarquizar espacios como galerías, terrazas y remodelaciones de exterior. Puede instalarse sobre estructuras de soporte, proporcionando una superficie nivelada, uniforme y antideslizante.</v>
      </c>
    </row>
    <row r="7">
      <c r="A7" s="32">
        <v>19853.0</v>
      </c>
      <c r="B7" s="5" t="s">
        <v>785</v>
      </c>
      <c r="C7" s="32" t="s">
        <v>1168</v>
      </c>
      <c r="D7" s="40" t="s">
        <v>788</v>
      </c>
      <c r="E7" s="32" t="s">
        <v>789</v>
      </c>
      <c r="F7" s="32" t="s">
        <v>1174</v>
      </c>
      <c r="G7" s="32" t="s">
        <v>1175</v>
      </c>
      <c r="H7" s="40">
        <v>22.0</v>
      </c>
      <c r="I7" s="40" t="s">
        <v>42</v>
      </c>
      <c r="J7" s="40">
        <v>138.0</v>
      </c>
      <c r="K7" s="40" t="s">
        <v>42</v>
      </c>
      <c r="L7" s="40">
        <v>2900.0</v>
      </c>
      <c r="M7" s="40" t="s">
        <v>42</v>
      </c>
      <c r="N7" s="41">
        <v>0.4</v>
      </c>
      <c r="O7" s="40" t="s">
        <v>46</v>
      </c>
      <c r="P7" s="71">
        <f t="shared" si="1"/>
        <v>24</v>
      </c>
      <c r="Q7" s="40" t="s">
        <v>61</v>
      </c>
      <c r="R7" s="32">
        <v>60.0</v>
      </c>
      <c r="S7" s="40" t="s">
        <v>61</v>
      </c>
      <c r="T7" s="35">
        <f t="shared" si="2"/>
        <v>8.275862069</v>
      </c>
      <c r="U7" s="40" t="s">
        <v>61</v>
      </c>
      <c r="AA7" s="43" t="str">
        <f>IFERROR(__xludf.DUMMYFUNCTION("AI(""Completa un valor adecuado para esta celda en función del contexto de la tabla"")"),"El Deck WPC Teak de la línea Prestigio de MaxCore es un revestimiento premium para exteriores que recrea fielmente la estética de la madera tropical con una veta pronunciada y un tono cálido. Fabricado con un compuesto de polímeros y fibras de madera de a"&amp;"lta densidad, este producto es 100% libre de mantenimiento, resistente a la intemperie, a los rayos UV y a temperaturas extremas. Su perfil de 22 mm de espesor está diseñado para proyectos de alta exposición solar y humedad, siendo ideal para terrazas, pi"&amp;"scinas, galerías o balcones. Al ser un material sintético, no se deforma, no se astilla y ofrece una superficie antideslizante segura para pies descalzos. Puede instalarse sobre diversas superficies como contrapisos, carpetas lisas o estructuras de madera"&amp;".")</f>
        <v>El Deck WPC Teak de la línea Prestigio de MaxCore es un revestimiento premium para exteriores que recrea fielmente la estética de la madera tropical con una veta pronunciada y un tono cálido. Fabricado con un compuesto de polímeros y fibras de madera de alta densidad, este producto es 100% libre de mantenimiento, resistente a la intemperie, a los rayos UV y a temperaturas extremas. Su perfil de 22 mm de espesor está diseñado para proyectos de alta exposición solar y humedad, siendo ideal para terrazas, piscinas, galerías o balcones. Al ser un material sintético, no se deforma, no se astilla y ofrece una superficie antideslizante segura para pies descalzos. Puede instalarse sobre diversas superficies como contrapisos, carpetas lisas o estructuras de madera.</v>
      </c>
    </row>
    <row r="8">
      <c r="A8" s="32">
        <v>19852.0</v>
      </c>
      <c r="B8" s="5" t="s">
        <v>785</v>
      </c>
      <c r="C8" s="32" t="s">
        <v>1168</v>
      </c>
      <c r="D8" s="40" t="s">
        <v>788</v>
      </c>
      <c r="E8" s="32" t="s">
        <v>789</v>
      </c>
      <c r="F8" s="32" t="s">
        <v>1174</v>
      </c>
      <c r="G8" s="32" t="s">
        <v>1176</v>
      </c>
      <c r="H8" s="40">
        <v>22.0</v>
      </c>
      <c r="I8" s="40" t="s">
        <v>42</v>
      </c>
      <c r="J8" s="40">
        <v>138.0</v>
      </c>
      <c r="K8" s="40" t="s">
        <v>42</v>
      </c>
      <c r="L8" s="40">
        <v>2900.0</v>
      </c>
      <c r="M8" s="40" t="s">
        <v>42</v>
      </c>
      <c r="N8" s="41">
        <v>0.4</v>
      </c>
      <c r="O8" s="40" t="s">
        <v>46</v>
      </c>
      <c r="P8" s="71">
        <f t="shared" si="1"/>
        <v>18.4</v>
      </c>
      <c r="Q8" s="40" t="s">
        <v>61</v>
      </c>
      <c r="R8" s="32">
        <v>46.0</v>
      </c>
      <c r="S8" s="40" t="s">
        <v>61</v>
      </c>
      <c r="T8" s="35">
        <f t="shared" si="2"/>
        <v>6.344827586</v>
      </c>
      <c r="U8" s="40" t="s">
        <v>61</v>
      </c>
      <c r="AA8" s="43" t="str">
        <f>IFERROR(__xludf.DUMMYFUNCTION("AI(""Completa un valor adecuado para esta celda en función del contexto de la tabla"")"),"El Deck WPC Ipe de la línea Prestigio de MaxCore es un revestimiento para exteriores de tono marrón que combina la estética natural de la madera con la durabilidad de los polímeros. Con dimensiones de 138 mm de ancho, 2900 mm de largo y un espesor de 22 m"&amp;"m, ofrece un rendimiento de 0.40 m2 por tabla. Fabricado con fibras de madera y plástico reciclado, es un producto ecológico, 100% libre de mantenimiento, resistente al agua, a los rayos UV y a las altas temperaturas. Su diseño antideslizante y de alta re"&amp;"sistencia lo hace ideal para jerarquizar espacios como terrazas, balcones, quinchos o bordes de piscinas, pudiendo instalarse sobre contrapisos o estructuras de madera.")</f>
        <v>El Deck WPC Ipe de la línea Prestigio de MaxCore es un revestimiento para exteriores de tono marrón que combina la estética natural de la madera con la durabilidad de los polímeros. Con dimensiones de 138 mm de ancho, 2900 mm de largo y un espesor de 22 mm, ofrece un rendimiento de 0.40 m2 por tabla. Fabricado con fibras de madera y plástico reciclado, es un producto ecológico, 100% libre de mantenimiento, resistente al agua, a los rayos UV y a las altas temperaturas. Su diseño antideslizante y de alta resistencia lo hace ideal para jerarquizar espacios como terrazas, balcones, quinchos o bordes de piscinas, pudiendo instalarse sobre contrapisos o estructuras de madera.</v>
      </c>
    </row>
    <row r="9" ht="18.0" customHeight="1">
      <c r="A9" s="32">
        <v>22875.0</v>
      </c>
      <c r="B9" s="5" t="s">
        <v>785</v>
      </c>
      <c r="C9" s="32" t="s">
        <v>1168</v>
      </c>
      <c r="D9" s="40" t="s">
        <v>788</v>
      </c>
      <c r="E9" s="32" t="s">
        <v>789</v>
      </c>
      <c r="F9" s="32" t="s">
        <v>1177</v>
      </c>
      <c r="G9" s="32" t="s">
        <v>1178</v>
      </c>
      <c r="H9" s="40">
        <v>25.0</v>
      </c>
      <c r="I9" s="40" t="s">
        <v>42</v>
      </c>
      <c r="J9" s="40">
        <v>147.0</v>
      </c>
      <c r="K9" s="40" t="s">
        <v>42</v>
      </c>
      <c r="L9" s="40">
        <v>2900.0</v>
      </c>
      <c r="M9" s="40" t="s">
        <v>42</v>
      </c>
      <c r="N9" s="41">
        <v>0.43</v>
      </c>
      <c r="O9" s="40" t="s">
        <v>46</v>
      </c>
      <c r="P9" s="71">
        <f t="shared" si="1"/>
        <v>14.018</v>
      </c>
      <c r="Q9" s="40" t="s">
        <v>61</v>
      </c>
      <c r="R9" s="32">
        <v>32.6</v>
      </c>
      <c r="S9" s="40" t="s">
        <v>61</v>
      </c>
      <c r="T9" s="35">
        <f t="shared" si="2"/>
        <v>4.833793103</v>
      </c>
      <c r="U9" s="40" t="s">
        <v>61</v>
      </c>
      <c r="AA9" s="43" t="str">
        <f>IFERROR(__xludf.DUMMYFUNCTION("AI(""Completa un valor adecuado para esta celda en función del contexto de la tabla"")"),"El Deck WPC Ambar de la línea Bulk de MaxCore es un revestimiento para exteriores de tonalidad cálida diseñado para brindar durabilidad y estética natural. Fabricado con un compuesto de polímeros y fibras de madera, ofrece una alta resistencia a la intemp"&amp;"erie, los rayos UV y las variaciones térmicas, manteniendo su color y forma sin necesidad de lijado ni barnizado.
Por su robustez y acabado, es ideal para superficies de uso frecuente como terrazas, galerías, bordes de piscinas y balcones. Su instalación"&amp;" es versátil, adaptándose a estructuras de madera, contrapisos o carpetas lisas, garantizando un espacio exterior elegante y de bajo mantenimiento.")</f>
        <v>El Deck WPC Ambar de la línea Bulk de MaxCore es un revestimiento para exteriores de tonalidad cálida diseñado para brindar durabilidad y estética natural. Fabricado con un compuesto de polímeros y fibras de madera, ofrece una alta resistencia a la intemperie, los rayos UV y las variaciones térmicas, manteniendo su color y forma sin necesidad de lijado ni barnizado.
Por su robustez y acabado, es ideal para superficies de uso frecuente como terrazas, galerías, bordes de piscinas y balcones. Su instalación es versátil, adaptándose a estructuras de madera, contrapisos o carpetas lisas, garantizando un espacio exterior elegante y de bajo mantenimiento.</v>
      </c>
    </row>
    <row r="10">
      <c r="A10" s="32">
        <v>24942.0</v>
      </c>
      <c r="B10" s="5" t="s">
        <v>785</v>
      </c>
      <c r="C10" s="32" t="s">
        <v>1168</v>
      </c>
      <c r="D10" s="40" t="s">
        <v>788</v>
      </c>
      <c r="E10" s="32" t="s">
        <v>789</v>
      </c>
      <c r="F10" s="32" t="s">
        <v>1179</v>
      </c>
      <c r="G10" s="32" t="s">
        <v>1180</v>
      </c>
      <c r="H10" s="40">
        <v>23.0</v>
      </c>
      <c r="I10" s="40" t="s">
        <v>42</v>
      </c>
      <c r="J10" s="40">
        <v>138.0</v>
      </c>
      <c r="K10" s="40" t="s">
        <v>42</v>
      </c>
      <c r="L10" s="40">
        <v>3000.0</v>
      </c>
      <c r="M10" s="40" t="s">
        <v>42</v>
      </c>
      <c r="N10" s="41">
        <v>0.4</v>
      </c>
      <c r="O10" s="40" t="s">
        <v>46</v>
      </c>
      <c r="P10" s="71">
        <f t="shared" si="1"/>
        <v>15.6</v>
      </c>
      <c r="Q10" s="40" t="s">
        <v>61</v>
      </c>
      <c r="R10" s="32">
        <v>39.0</v>
      </c>
      <c r="S10" s="40" t="s">
        <v>61</v>
      </c>
      <c r="T10" s="35">
        <f t="shared" si="2"/>
        <v>5.2</v>
      </c>
      <c r="U10" s="40" t="s">
        <v>61</v>
      </c>
      <c r="AA10" s="43" t="str">
        <f>IFERROR(__xludf.DUMMYFUNCTION("AI(""Completa un valor adecuado para esta celda en función del contexto de la tabla"")"),"El Deck WPC Silver Grey / Light Grey de la línea Reversible de MaxCore es un revestimiento para exteriores que ofrece versatilidad estética gracias a su diseño de doble cara en tonos grises modernos. Fabricado con un compuesto de polímeros y fibras de mad"&amp;"era, este material es altamente resistente a la intemperie, los rayos UV y las temperaturas extremas, garantizando una larga durabilidad sin necesidad de lijado ni barnizado. Por ser un producto 100% libre de mantenimiento y con un estilo contemporáneo, e"&amp;"s ideal para transformar espacios como terrazas, galerías, balcones o bordes de piscinas. Su instalación es sencilla y puede realizarse sobre diversas superficies, desde carpetas de cemento hasta estructuras de madera.")</f>
        <v>El Deck WPC Silver Grey / Light Grey de la línea Reversible de MaxCore es un revestimiento para exteriores que ofrece versatilidad estética gracias a su diseño de doble cara en tonos grises modernos. Fabricado con un compuesto de polímeros y fibras de madera, este material es altamente resistente a la intemperie, los rayos UV y las temperaturas extremas, garantizando una larga durabilidad sin necesidad de lijado ni barnizado. Por ser un producto 100% libre de mantenimiento y con un estilo contemporáneo, es ideal para transformar espacios como terrazas, galerías, balcones o bordes de piscinas. Su instalación es sencilla y puede realizarse sobre diversas superficies, desde carpetas de cemento hasta estructuras de madera.</v>
      </c>
    </row>
    <row r="11">
      <c r="A11" s="32">
        <v>25044.0</v>
      </c>
      <c r="B11" s="5" t="s">
        <v>785</v>
      </c>
      <c r="C11" s="32" t="s">
        <v>1168</v>
      </c>
      <c r="D11" s="40" t="s">
        <v>788</v>
      </c>
      <c r="E11" s="32" t="s">
        <v>789</v>
      </c>
      <c r="F11" s="32" t="s">
        <v>1179</v>
      </c>
      <c r="G11" s="32" t="s">
        <v>1181</v>
      </c>
      <c r="H11" s="40">
        <v>21.0</v>
      </c>
      <c r="I11" s="40" t="s">
        <v>42</v>
      </c>
      <c r="J11" s="40">
        <v>140.0</v>
      </c>
      <c r="K11" s="40" t="s">
        <v>42</v>
      </c>
      <c r="L11" s="40">
        <v>2700.0</v>
      </c>
      <c r="M11" s="40" t="s">
        <v>42</v>
      </c>
      <c r="N11" s="41">
        <v>0.38</v>
      </c>
      <c r="O11" s="40" t="s">
        <v>46</v>
      </c>
      <c r="P11" s="71">
        <f t="shared" si="1"/>
        <v>23.37</v>
      </c>
      <c r="Q11" s="40" t="s">
        <v>61</v>
      </c>
      <c r="R11" s="32">
        <v>61.5</v>
      </c>
      <c r="S11" s="40" t="s">
        <v>61</v>
      </c>
      <c r="T11" s="35">
        <f t="shared" si="2"/>
        <v>8.655555556</v>
      </c>
      <c r="U11" s="40" t="s">
        <v>61</v>
      </c>
      <c r="AA11" s="43" t="str">
        <f>IFERROR(__xludf.DUMMYFUNCTION("AI(""Completa un valor adecuado para esta celda en función del contexto de la tabla"")"),"El Deck WPC Light Teak Walnut de la línea Reversible de MaxCore es un revestimiento para exteriores de doble cara que ofrece versatilidad estética al combinar dos tonos en una misma tabla. Fabricado con un compuesto de fibras de madera natural y polímeros"&amp;" plásticos reciclados, es un producto ecológico, duradero y altamente resistente a la humedad, la putrefacción y las altas temperaturas. Su diseño de 21 mm de espesor es ideal para jerarquizar espacios como terrazas, galerías y bordes de piscinas, destacá"&amp;"ndose por ser 100% libre de mantenimiento al no requerir lijado ni barnizado.")</f>
        <v>El Deck WPC Light Teak Walnut de la línea Reversible de MaxCore es un revestimiento para exteriores de doble cara que ofrece versatilidad estética al combinar dos tonos en una misma tabla. Fabricado con un compuesto de fibras de madera natural y polímeros plásticos reciclados, es un producto ecológico, duradero y altamente resistente a la humedad, la putrefacción y las altas temperaturas. Su diseño de 21 mm de espesor es ideal para jerarquizar espacios como terrazas, galerías y bordes de piscinas, destacándose por ser 100% libre de mantenimiento al no requerir lijado ni barnizado.</v>
      </c>
    </row>
    <row r="12">
      <c r="A12" s="32">
        <v>22864.0</v>
      </c>
      <c r="B12" s="5" t="s">
        <v>785</v>
      </c>
      <c r="C12" s="32" t="s">
        <v>1168</v>
      </c>
      <c r="D12" s="40" t="s">
        <v>788</v>
      </c>
      <c r="E12" s="32" t="s">
        <v>789</v>
      </c>
      <c r="F12" s="32" t="s">
        <v>1179</v>
      </c>
      <c r="G12" s="32" t="s">
        <v>1182</v>
      </c>
      <c r="H12" s="40">
        <v>22.0</v>
      </c>
      <c r="I12" s="40" t="s">
        <v>42</v>
      </c>
      <c r="J12" s="40">
        <v>138.0</v>
      </c>
      <c r="K12" s="40" t="s">
        <v>42</v>
      </c>
      <c r="L12" s="40">
        <v>2900.0</v>
      </c>
      <c r="M12" s="40" t="s">
        <v>42</v>
      </c>
      <c r="N12" s="41">
        <v>0.4</v>
      </c>
      <c r="O12" s="40" t="s">
        <v>46</v>
      </c>
      <c r="P12" s="71">
        <f t="shared" si="1"/>
        <v>18.6</v>
      </c>
      <c r="Q12" s="40" t="s">
        <v>61</v>
      </c>
      <c r="R12" s="32">
        <v>46.5</v>
      </c>
      <c r="S12" s="40" t="s">
        <v>61</v>
      </c>
      <c r="T12" s="35">
        <f t="shared" si="2"/>
        <v>6.413793103</v>
      </c>
      <c r="U12" s="40" t="s">
        <v>61</v>
      </c>
      <c r="AA12" s="43" t="str">
        <f>IFERROR(__xludf.DUMMYFUNCTION("AI(""Completa un valor adecuado para esta celda en función del contexto de la tabla"")"),"El Deck WPC Gris Plata Gris Cenisa de la línea Reversible de MaxCore es un revestimiento de doble cara diseñado para exteriores, que combina un compuesto de polímeros y fibras de madera para ofrecer alta resistencia a la intemperie, rayos UV y humedad. Co"&amp;"n un acabado que simula madera envejecida, este producto es 100% libre de mantenimiento, evitando la necesidad de lijado o barnizado. Su versatilidad permite la instalación en terrazas, balcones, galerías o bordes de piscinas, ya sea sobre contrapisos o e"&amp;"structuras de madera.")</f>
        <v>El Deck WPC Gris Plata Gris Cenisa de la línea Reversible de MaxCore es un revestimiento de doble cara diseñado para exteriores, que combina un compuesto de polímeros y fibras de madera para ofrecer alta resistencia a la intemperie, rayos UV y humedad. Con un acabado que simula madera envejecida, este producto es 100% libre de mantenimiento, evitando la necesidad de lijado o barnizado. Su versatilidad permite la instalación en terrazas, balcones, galerías o bordes de piscinas, ya sea sobre contrapisos o estructuras de madera.</v>
      </c>
    </row>
    <row r="13">
      <c r="A13" s="32">
        <v>22865.0</v>
      </c>
      <c r="B13" s="5" t="s">
        <v>785</v>
      </c>
      <c r="C13" s="32" t="s">
        <v>1168</v>
      </c>
      <c r="D13" s="40" t="s">
        <v>788</v>
      </c>
      <c r="E13" s="32" t="s">
        <v>789</v>
      </c>
      <c r="F13" s="32" t="s">
        <v>1179</v>
      </c>
      <c r="G13" s="32" t="s">
        <v>1183</v>
      </c>
      <c r="H13" s="40">
        <v>22.0</v>
      </c>
      <c r="I13" s="40" t="s">
        <v>42</v>
      </c>
      <c r="J13" s="40">
        <v>138.0</v>
      </c>
      <c r="K13" s="40" t="s">
        <v>42</v>
      </c>
      <c r="L13" s="40">
        <v>2900.0</v>
      </c>
      <c r="M13" s="40" t="s">
        <v>42</v>
      </c>
      <c r="N13" s="41">
        <v>0.4</v>
      </c>
      <c r="O13" s="40" t="s">
        <v>46</v>
      </c>
      <c r="P13" s="71">
        <f t="shared" si="1"/>
        <v>24</v>
      </c>
      <c r="Q13" s="40" t="s">
        <v>61</v>
      </c>
      <c r="R13" s="32">
        <v>60.0</v>
      </c>
      <c r="S13" s="40" t="s">
        <v>61</v>
      </c>
      <c r="T13" s="35">
        <f t="shared" si="2"/>
        <v>8.275862069</v>
      </c>
      <c r="U13" s="40" t="s">
        <v>61</v>
      </c>
      <c r="AA13" s="43" t="str">
        <f>IFERROR(__xludf.DUMMYFUNCTION("AI(""Completa un valor adecuado para esta celda en función del contexto de la tabla"")"),"El Deck WPC Gris Grafito / Fresno Nórdico de la línea Reversible de MaxCore es un revestimiento bicapa diseñado para exteriores que ofrece un efecto visual cambiante y decorativo. Con un espesor de 22 mm, este producto combina polímeros y fibras naturales"&amp;" para brindar una alta resistencia a condiciones meteorológicas severas, rayos UV, agua e insectos, siendo una opción duradera y ecológica. Su principal característica es que es 100% libre de mantenimiento, eliminando la necesidad de lijado o barnizado, y"&amp;" es ideal para jerarquizar espacios como terrazas, patios y jardines.")</f>
        <v>El Deck WPC Gris Grafito / Fresno Nórdico de la línea Reversible de MaxCore es un revestimiento bicapa diseñado para exteriores que ofrece un efecto visual cambiante y decorativo. Con un espesor de 22 mm, este producto combina polímeros y fibras naturales para brindar una alta resistencia a condiciones meteorológicas severas, rayos UV, agua e insectos, siendo una opción duradera y ecológica. Su principal característica es que es 100% libre de mantenimiento, eliminando la necesidad de lijado o barnizado, y es ideal para jerarquizar espacios como terrazas, patios y jardines.</v>
      </c>
    </row>
    <row r="14" ht="16.5" customHeight="1">
      <c r="A14" s="32">
        <v>23534.0</v>
      </c>
      <c r="B14" s="5" t="s">
        <v>785</v>
      </c>
      <c r="C14" s="32" t="s">
        <v>1168</v>
      </c>
      <c r="D14" s="40" t="s">
        <v>788</v>
      </c>
      <c r="E14" s="32" t="s">
        <v>789</v>
      </c>
      <c r="F14" s="32" t="s">
        <v>1179</v>
      </c>
      <c r="G14" s="32" t="s">
        <v>1184</v>
      </c>
      <c r="H14" s="40">
        <v>22.0</v>
      </c>
      <c r="I14" s="40" t="s">
        <v>42</v>
      </c>
      <c r="J14" s="40">
        <v>138.0</v>
      </c>
      <c r="K14" s="40" t="s">
        <v>42</v>
      </c>
      <c r="L14" s="40">
        <v>2900.0</v>
      </c>
      <c r="M14" s="40" t="s">
        <v>42</v>
      </c>
      <c r="N14" s="41">
        <v>0.4</v>
      </c>
      <c r="O14" s="40" t="s">
        <v>46</v>
      </c>
      <c r="P14" s="71">
        <f t="shared" si="1"/>
        <v>18.6</v>
      </c>
      <c r="Q14" s="40" t="s">
        <v>61</v>
      </c>
      <c r="R14" s="32">
        <v>46.5</v>
      </c>
      <c r="S14" s="40" t="s">
        <v>61</v>
      </c>
      <c r="T14" s="35">
        <f t="shared" si="2"/>
        <v>6.413793103</v>
      </c>
      <c r="U14" s="40" t="s">
        <v>61</v>
      </c>
      <c r="AA14" s="43" t="str">
        <f>IFERROR(__xludf.DUMMYFUNCTION("AI(""Completa un valor adecuado para esta celda en función del contexto de la tabla"")"),"El Deck WPC Roble Marrón Blanco Puro de la línea Reversible de MaxCore es un revestimiento bicolor de la colección Camaleón, diseñado para ofrecer versatilidad estética con un tono roble marrón de un lado y blanco puro del otro. Fabricado con un compuesto"&amp;" de polímeros y fibras de madera, este perfil de 22 mm destaca por su acabado mate y un diseño decorativo ideal para lograr contrastes visuales en terrazas y áreas exteriores. Al igual que otros productos de la marca, es altamente resistente a la humedad,"&amp;" a las temperaturas extremas y a los rayos UV, garantizando una durabilidad superior sin necesidad de lijado ni barnizado.
Gracias a su superficie antideslizante y su composición eco-friendly elaborada con materiales reciclados, es una opción segura y so"&amp;"stenible para jerarquizar galerías, balcones o bordes de piscinas. Su instalación es sencilla y permite una renovación estética paulatina similar al envejecimiento natural de la madera, manteniendo la integridad del material frente al clima variable.")</f>
        <v>El Deck WPC Roble Marrón Blanco Puro de la línea Reversible de MaxCore es un revestimiento bicolor de la colección Camaleón, diseñado para ofrecer versatilidad estética con un tono roble marrón de un lado y blanco puro del otro. Fabricado con un compuesto de polímeros y fibras de madera, este perfil de 22 mm destaca por su acabado mate y un diseño decorativo ideal para lograr contrastes visuales en terrazas y áreas exteriores. Al igual que otros productos de la marca, es altamente resistente a la humedad, a las temperaturas extremas y a los rayos UV, garantizando una durabilidad superior sin necesidad de lijado ni barnizado.
Gracias a su superficie antideslizante y su composición eco-friendly elaborada con materiales reciclados, es una opción segura y sostenible para jerarquizar galerías, balcones o bordes de piscinas. Su instalación es sencilla y permite una renovación estética paulatina similar al envejecimiento natural de la madera, manteniendo la integridad del material frente al clima variable.</v>
      </c>
    </row>
    <row r="15">
      <c r="A15" s="32">
        <v>24162.0</v>
      </c>
      <c r="B15" s="5" t="s">
        <v>785</v>
      </c>
      <c r="C15" s="32" t="s">
        <v>1168</v>
      </c>
      <c r="D15" s="40" t="s">
        <v>788</v>
      </c>
      <c r="E15" s="32" t="s">
        <v>789</v>
      </c>
      <c r="F15" s="32" t="s">
        <v>1185</v>
      </c>
      <c r="G15" s="32" t="s">
        <v>1186</v>
      </c>
      <c r="H15" s="40">
        <v>24.0</v>
      </c>
      <c r="I15" s="40" t="s">
        <v>42</v>
      </c>
      <c r="J15" s="40">
        <v>142.0</v>
      </c>
      <c r="K15" s="40" t="s">
        <v>42</v>
      </c>
      <c r="L15" s="40">
        <v>2900.0</v>
      </c>
      <c r="M15" s="40" t="s">
        <v>42</v>
      </c>
      <c r="N15" s="41">
        <v>0.42</v>
      </c>
      <c r="O15" s="40" t="s">
        <v>46</v>
      </c>
      <c r="P15" s="71">
        <f t="shared" si="1"/>
        <v>13.692</v>
      </c>
      <c r="Q15" s="40" t="s">
        <v>61</v>
      </c>
      <c r="R15" s="32">
        <v>32.6</v>
      </c>
      <c r="S15" s="40" t="s">
        <v>61</v>
      </c>
      <c r="T15" s="35">
        <f t="shared" si="2"/>
        <v>4.72137931</v>
      </c>
      <c r="U15" s="40" t="s">
        <v>61</v>
      </c>
      <c r="AA15" s="43" t="str">
        <f>IFERROR(__xludf.DUMMYFUNCTION("AI(""Completa un valor adecuado para esta celda en función del contexto de la tabla"")"),"El Deck WPC Marrón Coco de la línea Oval de MaxCore es un revestimiento para exteriores con un perfil redondeado diseñado específicamente para brindar seguridad y estética en bordes de piscinas y escalones. Fabricado con materiales reciclados, es un produ"&amp;"cto eco-friendly altamente resistente a la humedad, la putrefacción y el calor, lo que evita deformaciones en climas exigentes. Al igual que otros productos de la marca, destaca por ser 100% libre de mantenimiento, ofreciendo una durabilidad superior sin "&amp;"necesidad de lijado ni barnizado.")</f>
        <v>El Deck WPC Marrón Coco de la línea Oval de MaxCore es un revestimiento para exteriores con un perfil redondeado diseñado específicamente para brindar seguridad y estética en bordes de piscinas y escalones. Fabricado con materiales reciclados, es un producto eco-friendly altamente resistente a la humedad, la putrefacción y el calor, lo que evita deformaciones en climas exigentes. Al igual que otros productos de la marca, destaca por ser 100% libre de mantenimiento, ofreciendo una durabilidad superior sin necesidad de lijado ni barnizado.</v>
      </c>
    </row>
    <row r="16" ht="18.75" customHeight="1">
      <c r="A16" s="32">
        <v>24161.0</v>
      </c>
      <c r="B16" s="5" t="s">
        <v>785</v>
      </c>
      <c r="C16" s="32" t="s">
        <v>1168</v>
      </c>
      <c r="D16" s="40" t="s">
        <v>788</v>
      </c>
      <c r="E16" s="32" t="s">
        <v>789</v>
      </c>
      <c r="F16" s="32" t="s">
        <v>1185</v>
      </c>
      <c r="G16" s="32" t="s">
        <v>1187</v>
      </c>
      <c r="H16" s="40">
        <v>24.0</v>
      </c>
      <c r="I16" s="40" t="s">
        <v>42</v>
      </c>
      <c r="J16" s="40">
        <v>142.0</v>
      </c>
      <c r="K16" s="40" t="s">
        <v>42</v>
      </c>
      <c r="L16" s="40">
        <v>2900.0</v>
      </c>
      <c r="M16" s="40" t="s">
        <v>42</v>
      </c>
      <c r="N16" s="41">
        <v>0.42</v>
      </c>
      <c r="O16" s="40" t="s">
        <v>46</v>
      </c>
      <c r="P16" s="71">
        <f t="shared" si="1"/>
        <v>13.692</v>
      </c>
      <c r="Q16" s="40" t="s">
        <v>61</v>
      </c>
      <c r="R16" s="32">
        <v>32.6</v>
      </c>
      <c r="S16" s="40" t="s">
        <v>61</v>
      </c>
      <c r="T16" s="35">
        <f t="shared" si="2"/>
        <v>4.72137931</v>
      </c>
      <c r="U16" s="40" t="s">
        <v>61</v>
      </c>
      <c r="AA16" s="43" t="str">
        <f>IFERROR(__xludf.DUMMYFUNCTION("AI(""Completa un valor adecuado para esta celda en función del contexto de la tabla"")"),"El Deck WPC Marrón Dorado de la línea Oval de MaxCore es un revestimiento alveolar y liviano para exteriores, diseñado para ser eficiente y resistente en proyectos de gran superficie. Fabricado con un compuesto de polímeros y fibras de madera, ofrece una "&amp;"estética elegante con la durabilidad del material sintético, siendo altamente resistente a la intemperie, los rayos UV y las temperaturas extremas. Se destaca por ser un producto 100% libre de mantenimiento que no requiere lijado, pintura ni barnizado.
G"&amp;"racias a su diseño robusto, es ideal para jerarquizar espacios como terrazas, galerías, patios o bordes de piscinas, soportando el uso intensivo sin deformarse. Puede instalarse de manera sencilla sobre diversas superficies, incluyendo contrapisos, carpet"&amp;"as lisas o estructuras de madera, ofreciendo una solución ecológica y duradera para climas variables.")</f>
        <v>El Deck WPC Marrón Dorado de la línea Oval de MaxCore es un revestimiento alveolar y liviano para exteriores, diseñado para ser eficiente y resistente en proyectos de gran superficie. Fabricado con un compuesto de polímeros y fibras de madera, ofrece una estética elegante con la durabilidad del material sintético, siendo altamente resistente a la intemperie, los rayos UV y las temperaturas extremas. Se destaca por ser un producto 100% libre de mantenimiento que no requiere lijado, pintura ni barnizado.
Gracias a su diseño robusto, es ideal para jerarquizar espacios como terrazas, galerías, patios o bordes de piscinas, soportando el uso intensivo sin deformarse. Puede instalarse de manera sencilla sobre diversas superficies, incluyendo contrapisos, carpetas lisas o estructuras de madera, ofreciendo una solución ecológica y duradera para climas variables.</v>
      </c>
    </row>
    <row r="17">
      <c r="A17" s="32">
        <v>23941.0</v>
      </c>
      <c r="B17" s="5" t="s">
        <v>785</v>
      </c>
      <c r="C17" s="32" t="s">
        <v>1188</v>
      </c>
      <c r="D17" s="40" t="s">
        <v>788</v>
      </c>
      <c r="E17" s="32" t="s">
        <v>789</v>
      </c>
      <c r="F17" s="5" t="s">
        <v>1189</v>
      </c>
      <c r="G17" s="32" t="s">
        <v>1190</v>
      </c>
      <c r="H17" s="40">
        <v>20.0</v>
      </c>
      <c r="I17" s="40" t="s">
        <v>42</v>
      </c>
      <c r="J17" s="40">
        <v>300.0</v>
      </c>
      <c r="K17" s="40" t="s">
        <v>42</v>
      </c>
      <c r="L17" s="40">
        <v>300.0</v>
      </c>
      <c r="M17" s="40" t="s">
        <v>42</v>
      </c>
      <c r="N17" s="41">
        <v>0.09</v>
      </c>
      <c r="O17" s="40" t="s">
        <v>46</v>
      </c>
      <c r="P17" s="71">
        <f t="shared" si="1"/>
        <v>2.952</v>
      </c>
      <c r="Q17" s="40" t="s">
        <v>61</v>
      </c>
      <c r="R17" s="32">
        <v>32.8</v>
      </c>
      <c r="S17" s="40" t="s">
        <v>61</v>
      </c>
      <c r="T17" s="35">
        <f t="shared" si="2"/>
        <v>9.84</v>
      </c>
      <c r="U17" s="40" t="s">
        <v>61</v>
      </c>
      <c r="AA17" s="43" t="str">
        <f>IFERROR(__xludf.DUMMYFUNCTION("AI(""Completa un valor adecuado para esta celda en función del contexto de la tabla"")"),"La Baldosa Deck WPC Jaspeado de la línea Baldosa de MaxCore es un revestimiento modular de 300x300 mm diseñado para transformar espacios exteriores con facilidad. Fabricada con un compuesto de polímeros y fibras de madera, ofrece una alta resistencia a la"&amp;" intemperie y a los rayos UV, manteniendo su apariencia sin necesidad de mantenimiento constante como lijado o barnizado. Su acabado jaspeado brinda una estética natural y moderna ideal para renovar de forma práctica terrazas, balcones, patios y bordes de"&amp;" piscina. Gracias a su sistema de encastre, permite una instalación rápida y sencilla sobre superficies niveladas y firmes.")</f>
        <v>La Baldosa Deck WPC Jaspeado de la línea Baldosa de MaxCore es un revestimiento modular de 300x300 mm diseñado para transformar espacios exteriores con facilidad. Fabricada con un compuesto de polímeros y fibras de madera, ofrece una alta resistencia a la intemperie y a los rayos UV, manteniendo su apariencia sin necesidad de mantenimiento constante como lijado o barnizado. Su acabado jaspeado brinda una estética natural y moderna ideal para renovar de forma práctica terrazas, balcones, patios y bordes de piscina. Gracias a su sistema de encastre, permite una instalación rápida y sencilla sobre superficies niveladas y firmes.</v>
      </c>
    </row>
    <row r="18">
      <c r="A18" s="32">
        <v>24152.0</v>
      </c>
      <c r="B18" s="5" t="s">
        <v>785</v>
      </c>
      <c r="C18" s="32" t="s">
        <v>1188</v>
      </c>
      <c r="D18" s="40" t="s">
        <v>788</v>
      </c>
      <c r="E18" s="32" t="s">
        <v>789</v>
      </c>
      <c r="F18" s="5" t="s">
        <v>1189</v>
      </c>
      <c r="G18" s="32" t="s">
        <v>801</v>
      </c>
      <c r="H18" s="40">
        <v>20.0</v>
      </c>
      <c r="I18" s="40" t="s">
        <v>42</v>
      </c>
      <c r="J18" s="40">
        <v>300.0</v>
      </c>
      <c r="K18" s="40" t="s">
        <v>42</v>
      </c>
      <c r="L18" s="40">
        <v>300.0</v>
      </c>
      <c r="M18" s="40" t="s">
        <v>42</v>
      </c>
      <c r="N18" s="41">
        <v>0.09</v>
      </c>
      <c r="O18" s="40" t="s">
        <v>46</v>
      </c>
      <c r="P18" s="71">
        <f t="shared" si="1"/>
        <v>3.7125</v>
      </c>
      <c r="Q18" s="40" t="s">
        <v>61</v>
      </c>
      <c r="R18" s="32">
        <v>41.25</v>
      </c>
      <c r="S18" s="40" t="s">
        <v>61</v>
      </c>
      <c r="T18" s="35">
        <f t="shared" si="2"/>
        <v>12.375</v>
      </c>
      <c r="U18" s="40" t="s">
        <v>61</v>
      </c>
      <c r="AA18" s="43" t="str">
        <f>IFERROR(__xludf.DUMMYFUNCTION("AI(""Completa un valor adecuado para esta celda en función del contexto de la tabla"")"),"La Baldosa Deck WPC Tabaco de la línea Baldosa de MaxCore es un revestimiento para exteriores de tono oscuro diseñado para una instalación rápida y sencilla mediante un sistema de encastre. Fabricada con un compuesto de polímeros y fibras de madera, ofrec"&amp;"e una alta resistencia a la humedad, a la putrefacción y a las temperaturas extremas, siendo un producto ecológico de mantenimiento mínimo que no requiere lijado ni barnizado. Con un formato de 30x30 cm y un espesor de 20 mm, es ideal para renovar terraza"&amp;"s, balcones o bordes de piscinas de manera práctica y estética. Su diseño funcional garantiza una larga vida útil y estabilidad dimensional en diversos entornos exteriores.")</f>
        <v>La Baldosa Deck WPC Tabaco de la línea Baldosa de MaxCore es un revestimiento para exteriores de tono oscuro diseñado para una instalación rápida y sencilla mediante un sistema de encastre. Fabricada con un compuesto de polímeros y fibras de madera, ofrece una alta resistencia a la humedad, a la putrefacción y a las temperaturas extremas, siendo un producto ecológico de mantenimiento mínimo que no requiere lijado ni barnizado. Con un formato de 30x30 cm y un espesor de 20 mm, es ideal para renovar terrazas, balcones o bordes de piscinas de manera práctica y estética. Su diseño funcional garantiza una larga vida útil y estabilidad dimensional en diversos entornos exteriores.</v>
      </c>
    </row>
    <row r="19">
      <c r="A19" s="32">
        <v>24153.0</v>
      </c>
      <c r="B19" s="5" t="s">
        <v>785</v>
      </c>
      <c r="C19" s="32" t="s">
        <v>1188</v>
      </c>
      <c r="D19" s="40" t="s">
        <v>788</v>
      </c>
      <c r="E19" s="32" t="s">
        <v>789</v>
      </c>
      <c r="F19" s="5" t="s">
        <v>1189</v>
      </c>
      <c r="G19" s="32" t="s">
        <v>802</v>
      </c>
      <c r="H19" s="40">
        <v>20.0</v>
      </c>
      <c r="I19" s="40" t="s">
        <v>42</v>
      </c>
      <c r="J19" s="40">
        <v>300.0</v>
      </c>
      <c r="K19" s="40" t="s">
        <v>42</v>
      </c>
      <c r="L19" s="40">
        <v>300.0</v>
      </c>
      <c r="M19" s="40" t="s">
        <v>42</v>
      </c>
      <c r="N19" s="41">
        <v>0.09</v>
      </c>
      <c r="O19" s="40" t="s">
        <v>46</v>
      </c>
      <c r="P19" s="71">
        <f t="shared" si="1"/>
        <v>3.7125</v>
      </c>
      <c r="Q19" s="40" t="s">
        <v>61</v>
      </c>
      <c r="R19" s="32">
        <v>41.25</v>
      </c>
      <c r="S19" s="40" t="s">
        <v>61</v>
      </c>
      <c r="T19" s="35">
        <f t="shared" si="2"/>
        <v>12.375</v>
      </c>
      <c r="U19" s="40" t="s">
        <v>61</v>
      </c>
      <c r="AA19" s="43" t="str">
        <f>IFERROR(__xludf.DUMMYFUNCTION("AI(""Completa un valor adecuado para esta celda en función del contexto de la tabla"")"),"La Baldosa Deck WPC Roble Gris de la línea Baldosa de MaxCore es una solución práctica para exteriores que combina la estética de la madera gris con un sistema de encastre fácil de instalar. Fabricada con un compuesto de polímeros y fibras de madera, es u"&amp;"n producto 100% libre de mantenimiento, resistente a la humedad, a la putrefacción y a las altas temperaturas, lo que evita deformaciones comunes en la madera natural. Su diseño de 30x30 cm es ideal para renovar rápidamente espacios como terrazas, balcone"&amp;"s, patios o bordes de piscinas, pudiendo aplicarse sobre superficies niveladas como carpetas o contrapisos. Al ser eco-friendly, utiliza materiales reciclados conservando una apariencia moderna y minimalista que integra perfectamente con diseños neutros.")</f>
        <v>La Baldosa Deck WPC Roble Gris de la línea Baldosa de MaxCore es una solución práctica para exteriores que combina la estética de la madera gris con un sistema de encastre fácil de instalar. Fabricada con un compuesto de polímeros y fibras de madera, es un producto 100% libre de mantenimiento, resistente a la humedad, a la putrefacción y a las altas temperaturas, lo que evita deformaciones comunes en la madera natural. Su diseño de 30x30 cm es ideal para renovar rápidamente espacios como terrazas, balcones, patios o bordes de piscinas, pudiendo aplicarse sobre superficies niveladas como carpetas o contrapisos. Al ser eco-friendly, utiliza materiales reciclados conservando una apariencia moderna y minimalista que integra perfectamente con diseños neutros.</v>
      </c>
    </row>
    <row r="20" ht="15.75" customHeight="1">
      <c r="A20" s="32">
        <v>22318.0</v>
      </c>
      <c r="B20" s="5" t="s">
        <v>785</v>
      </c>
      <c r="C20" s="32" t="s">
        <v>1188</v>
      </c>
      <c r="D20" s="40" t="s">
        <v>788</v>
      </c>
      <c r="E20" s="32" t="s">
        <v>789</v>
      </c>
      <c r="F20" s="5" t="s">
        <v>1189</v>
      </c>
      <c r="G20" s="32" t="s">
        <v>1172</v>
      </c>
      <c r="H20" s="40">
        <v>20.0</v>
      </c>
      <c r="I20" s="40" t="s">
        <v>42</v>
      </c>
      <c r="J20" s="40">
        <v>300.0</v>
      </c>
      <c r="K20" s="40" t="s">
        <v>42</v>
      </c>
      <c r="L20" s="40">
        <v>300.0</v>
      </c>
      <c r="M20" s="40" t="s">
        <v>42</v>
      </c>
      <c r="N20" s="41">
        <v>0.09</v>
      </c>
      <c r="O20" s="40" t="s">
        <v>46</v>
      </c>
      <c r="P20" s="71">
        <f t="shared" si="1"/>
        <v>3.7125</v>
      </c>
      <c r="Q20" s="40" t="s">
        <v>61</v>
      </c>
      <c r="R20" s="32">
        <v>41.25</v>
      </c>
      <c r="S20" s="40" t="s">
        <v>61</v>
      </c>
      <c r="T20" s="35">
        <f t="shared" si="2"/>
        <v>12.375</v>
      </c>
      <c r="U20" s="40" t="s">
        <v>61</v>
      </c>
      <c r="AA20" s="43" t="str">
        <f>IFERROR(__xludf.DUMMYFUNCTION("AI(""Completa un valor adecuado para esta celda en función del contexto de la tabla"")"),"La Baldosa Deck WPC Roble Clásico de la línea Baldosa de MaxCore es un revestimiento para exteriores de tono tradicional que recrea la estética de la madera clásica. Fabricada con un compuesto de polímeros y fibras de madera, ofrece alta resistencia a la "&amp;"intemperie, al sol y a temperaturas extremas, siendo un producto libre de mantenimiento que no requiere lijado ni barnizado. Gracias a su formato de baldosa de 300x300 mm, permite una instalación rápida y sencilla, ideal para renovar y jerarquizar espacio"&amp;"s como terrazas, balcones, galerías o bordes de piscinas sobre superficies niveladas.")</f>
        <v>La Baldosa Deck WPC Roble Clásico de la línea Baldosa de MaxCore es un revestimiento para exteriores de tono tradicional que recrea la estética de la madera clásica. Fabricada con un compuesto de polímeros y fibras de madera, ofrece alta resistencia a la intemperie, al sol y a temperaturas extremas, siendo un producto libre de mantenimiento que no requiere lijado ni barnizado. Gracias a su formato de baldosa de 300x300 mm, permite una instalación rápida y sencilla, ideal para renovar y jerarquizar espacios como terrazas, balcones, galerías o bordes de piscinas sobre superficies niveladas.</v>
      </c>
    </row>
    <row r="21" ht="15.75" customHeight="1">
      <c r="A21" s="32">
        <v>22551.0</v>
      </c>
      <c r="B21" s="5" t="s">
        <v>785</v>
      </c>
      <c r="C21" s="32" t="s">
        <v>1191</v>
      </c>
      <c r="D21" s="40" t="s">
        <v>788</v>
      </c>
      <c r="E21" s="32" t="s">
        <v>789</v>
      </c>
      <c r="F21" s="32" t="s">
        <v>1191</v>
      </c>
      <c r="G21" s="32" t="s">
        <v>1192</v>
      </c>
      <c r="H21" s="40">
        <v>20.0</v>
      </c>
      <c r="I21" s="40" t="s">
        <v>42</v>
      </c>
      <c r="J21" s="40">
        <v>40.0</v>
      </c>
      <c r="K21" s="40" t="s">
        <v>42</v>
      </c>
      <c r="L21" s="40">
        <v>2900.0</v>
      </c>
      <c r="M21" s="40" t="s">
        <v>42</v>
      </c>
      <c r="N21" s="40"/>
      <c r="O21" s="33"/>
      <c r="P21" s="72">
        <v>8.4</v>
      </c>
      <c r="Q21" s="40" t="s">
        <v>61</v>
      </c>
      <c r="S21" s="33"/>
      <c r="T21" s="35"/>
      <c r="U21" s="33"/>
      <c r="AA21" s="43" t="str">
        <f>IFERROR(__xludf.DUMMYFUNCTION("AI(""Completa un valor adecuado para esta celda en función del contexto de la tabla"")"),"Las Alfajias de WPC de la línea Accesorios de MaxCore son perfiles de montaje diseñados como base estructural para la instalación de decks en exteriores. Fabricadas con un compuesto de fibras de madera y polímeros, ofrecen alta resistencia a la humedad, l"&amp;"a intemperie y temperaturas extremas sin deformarse ni generar hongos. Es un producto de bajo mantenimiento que no requiere pintura ni barnizado, ideal para facilitar el montaje de diversos revestimientos sobre superficies niveladas.")</f>
        <v>Las Alfajias de WPC de la línea Accesorios de MaxCore son perfiles de montaje diseñados como base estructural para la instalación de decks en exteriores. Fabricadas con un compuesto de fibras de madera y polímeros, ofrecen alta resistencia a la humedad, la intemperie y temperaturas extremas sin deformarse ni generar hongos. Es un producto de bajo mantenimiento que no requiere pintura ni barnizado, ideal para facilitar el montaje de diversos revestimientos sobre superficies niveladas.</v>
      </c>
    </row>
    <row r="22" ht="15.75" customHeight="1">
      <c r="A22" s="32">
        <v>19848.0</v>
      </c>
      <c r="B22" s="5" t="s">
        <v>785</v>
      </c>
      <c r="C22" s="32" t="s">
        <v>1191</v>
      </c>
      <c r="D22" s="40" t="s">
        <v>788</v>
      </c>
      <c r="E22" s="32" t="s">
        <v>789</v>
      </c>
      <c r="F22" s="32" t="s">
        <v>1191</v>
      </c>
      <c r="G22" s="32" t="s">
        <v>1193</v>
      </c>
      <c r="H22" s="40">
        <v>10.0</v>
      </c>
      <c r="I22" s="40" t="s">
        <v>42</v>
      </c>
      <c r="J22" s="40">
        <v>50.0</v>
      </c>
      <c r="K22" s="40" t="s">
        <v>42</v>
      </c>
      <c r="L22" s="40">
        <v>2900.0</v>
      </c>
      <c r="M22" s="40" t="s">
        <v>42</v>
      </c>
      <c r="N22" s="33"/>
      <c r="O22" s="33"/>
      <c r="P22" s="72">
        <v>15.1</v>
      </c>
      <c r="Q22" s="40" t="s">
        <v>61</v>
      </c>
      <c r="S22" s="33"/>
      <c r="T22" s="35"/>
      <c r="U22" s="33"/>
      <c r="AA22" s="43" t="str">
        <f>IFERROR(__xludf.DUMMYFUNCTION("AI(""Completa un valor adecuado para esta celda en función del contexto de la tabla"")"),"La Tapa de 50 mm Teak de la línea de Accesorios de MaxCore es un complemento de WPC diseñado para brindar una terminación estética y funcional en proyectos de deck. Fabricada con un compuesto de polímeros y fibras de madera, presenta un acabado en tono Te"&amp;"ak que armoniza con los perfiles principales, garantizando alta resistencia a la intemperie y a la exposición solar sin necesidad de mantenimiento. Su diseño permite ocultar bordes y uniones, asegurando un cierre prolijo y duradero en terrazas, galerías o"&amp;" bordes de piscinas. Al igual que el resto de la línea, es resistente a temperaturas extremas y no requiere lijado ni barnizado.")</f>
        <v>La Tapa de 50 mm Teak de la línea de Accesorios de MaxCore es un complemento de WPC diseñado para brindar una terminación estética y funcional en proyectos de deck. Fabricada con un compuesto de polímeros y fibras de madera, presenta un acabado en tono Teak que armoniza con los perfiles principales, garantizando alta resistencia a la intemperie y a la exposición solar sin necesidad de mantenimiento. Su diseño permite ocultar bordes y uniones, asegurando un cierre prolijo y duradero en terrazas, galerías o bordes de piscinas. Al igual que el resto de la línea, es resistente a temperaturas extremas y no requiere lijado ni barnizado.</v>
      </c>
    </row>
    <row r="23" ht="15.75" customHeight="1">
      <c r="A23" s="32">
        <v>19847.0</v>
      </c>
      <c r="B23" s="5" t="s">
        <v>785</v>
      </c>
      <c r="C23" s="32" t="s">
        <v>1191</v>
      </c>
      <c r="D23" s="40" t="s">
        <v>788</v>
      </c>
      <c r="E23" s="32" t="s">
        <v>789</v>
      </c>
      <c r="F23" s="32" t="s">
        <v>1191</v>
      </c>
      <c r="G23" s="32" t="s">
        <v>1194</v>
      </c>
      <c r="H23" s="40">
        <v>10.0</v>
      </c>
      <c r="I23" s="40" t="s">
        <v>42</v>
      </c>
      <c r="J23" s="40">
        <v>50.0</v>
      </c>
      <c r="K23" s="40" t="s">
        <v>42</v>
      </c>
      <c r="L23" s="40">
        <v>2900.0</v>
      </c>
      <c r="M23" s="40" t="s">
        <v>42</v>
      </c>
      <c r="N23" s="33"/>
      <c r="O23" s="33"/>
      <c r="P23" s="72">
        <v>15.1</v>
      </c>
      <c r="Q23" s="40" t="s">
        <v>61</v>
      </c>
      <c r="S23" s="33"/>
      <c r="T23" s="35"/>
      <c r="U23" s="33"/>
      <c r="AA23" s="43" t="str">
        <f>IFERROR(__xludf.DUMMYFUNCTION("AI(""Completa un valor adecuado para esta celda en función del contexto de la tabla"")"),"La Tapa de 50 mm Ipe de la línea de Accesorios de MaxCore es un complemento de terminación fabricado en WPC, diseñado para brindar un acabado estético y funcional a las instalaciones de deck. Con un espesor de 10 mm y un ancho de 50 mm, este accesorio en "&amp;"tono Ipe permite ocultar cortes y bordes, manteniendo la durabilidad y resistencia a la intemperie características del material. Al igual que los perfiles principales, es libre de mantenimiento y no requiere tratamientos adicionales como lijado o barnizad"&amp;"o. Su uso es ideal para perfeccionar los detalles finales en terrazas, bordes de piscinas y galerías.")</f>
        <v>La Tapa de 50 mm Ipe de la línea de Accesorios de MaxCore es un complemento de terminación fabricado en WPC, diseñado para brindar un acabado estético y funcional a las instalaciones de deck. Con un espesor de 10 mm y un ancho de 50 mm, este accesorio en tono Ipe permite ocultar cortes y bordes, manteniendo la durabilidad y resistencia a la intemperie características del material. Al igual que los perfiles principales, es libre de mantenimiento y no requiere tratamientos adicionales como lijado o barnizado. Su uso es ideal para perfeccionar los detalles finales en terrazas, bordes de piscinas y galerías.</v>
      </c>
    </row>
    <row r="24" ht="15.75" customHeight="1">
      <c r="A24" s="32">
        <v>19850.0</v>
      </c>
      <c r="B24" s="5" t="s">
        <v>785</v>
      </c>
      <c r="C24" s="32" t="s">
        <v>1191</v>
      </c>
      <c r="D24" s="40" t="s">
        <v>788</v>
      </c>
      <c r="E24" s="32" t="s">
        <v>789</v>
      </c>
      <c r="F24" s="32" t="s">
        <v>1191</v>
      </c>
      <c r="G24" s="32" t="s">
        <v>1195</v>
      </c>
      <c r="H24" s="40">
        <v>10.0</v>
      </c>
      <c r="I24" s="40" t="s">
        <v>42</v>
      </c>
      <c r="J24" s="40">
        <v>138.0</v>
      </c>
      <c r="K24" s="40" t="s">
        <v>42</v>
      </c>
      <c r="L24" s="40">
        <v>2900.0</v>
      </c>
      <c r="M24" s="40" t="s">
        <v>42</v>
      </c>
      <c r="N24" s="33"/>
      <c r="O24" s="33"/>
      <c r="P24" s="72">
        <v>18.5</v>
      </c>
      <c r="Q24" s="40" t="s">
        <v>61</v>
      </c>
      <c r="S24" s="33"/>
      <c r="T24" s="35"/>
      <c r="U24" s="33"/>
      <c r="AA24" s="43" t="str">
        <f>IFERROR(__xludf.DUMMYFUNCTION("AI(""Completa un valor adecuado para esta celda en función del contexto de la tabla"")"),"La Tapa WPC 138 mm Teak de la línea Accesorios de MaxCore es un complemento diseñado para brindar una terminación estética y profesional a proyectos de deck en exteriores. Fabricada con un compuesto de polímeros y fibras de madera en tono Teak, ofrece una"&amp;" alta resistencia a la intemperie y a los rayos UV, manteniendo su apariencia sin necesidad de mantenimiento como lijado o barnizado. Su ancho de 138 mm permite cubrir bordes y laterales de forma armoniosa, integrándose perfectamente con tablas de deck de"&amp;" medidas similares. Es ideal para ocultar estructuras de soporte y perfeccionar el acabado visual en terrazas, balcones y bordes de piscinas.")</f>
        <v>La Tapa WPC 138 mm Teak de la línea Accesorios de MaxCore es un complemento diseñado para brindar una terminación estética y profesional a proyectos de deck en exteriores. Fabricada con un compuesto de polímeros y fibras de madera en tono Teak, ofrece una alta resistencia a la intemperie y a los rayos UV, manteniendo su apariencia sin necesidad de mantenimiento como lijado o barnizado. Su ancho de 138 mm permite cubrir bordes y laterales de forma armoniosa, integrándose perfectamente con tablas de deck de medidas similares. Es ideal para ocultar estructuras de soporte y perfeccionar el acabado visual en terrazas, balcones y bordes de piscinas.</v>
      </c>
    </row>
    <row r="25" ht="15.75" customHeight="1">
      <c r="A25" s="32">
        <v>19849.0</v>
      </c>
      <c r="B25" s="5" t="s">
        <v>785</v>
      </c>
      <c r="C25" s="32" t="s">
        <v>1191</v>
      </c>
      <c r="D25" s="40" t="s">
        <v>788</v>
      </c>
      <c r="E25" s="32" t="s">
        <v>789</v>
      </c>
      <c r="F25" s="32" t="s">
        <v>1191</v>
      </c>
      <c r="G25" s="32" t="s">
        <v>1196</v>
      </c>
      <c r="H25" s="40">
        <v>10.0</v>
      </c>
      <c r="I25" s="40" t="s">
        <v>42</v>
      </c>
      <c r="J25" s="40">
        <v>138.0</v>
      </c>
      <c r="K25" s="40" t="s">
        <v>42</v>
      </c>
      <c r="L25" s="40">
        <v>2900.0</v>
      </c>
      <c r="M25" s="40" t="s">
        <v>42</v>
      </c>
      <c r="N25" s="33"/>
      <c r="O25" s="33"/>
      <c r="P25" s="72">
        <v>18.5</v>
      </c>
      <c r="Q25" s="40" t="s">
        <v>61</v>
      </c>
      <c r="S25" s="33"/>
      <c r="T25" s="35"/>
      <c r="U25" s="33"/>
      <c r="AA25" s="43" t="str">
        <f>IFERROR(__xludf.DUMMYFUNCTION("AI(""Completa un valor adecuado para esta celda en función del contexto de la tabla"")"),"La Tapa de 138 mm Ipe de la línea Accesorios de MaxCore es un complemento de terminación para decks de WPC diseñado para brindar un acabado estético y profesional. Fabricada con un compuesto de polímeros y fibras de madera en tono Ipe, ofrece una alta res"&amp;"istencia a la intemperie y a los rayos UV sin necesidad de mantenimiento, pintura o barnizado. Su uso principal es el sellado lateral de las tablas de deck, asegurando una apariencia uniforme y protegiendo la estructura de la acumulación de suciedad. Se i"&amp;"nstala de manera sencilla sobre los bordes de la estructura del deck para ocultar los cortes y las fijaciones.")</f>
        <v>La Tapa de 138 mm Ipe de la línea Accesorios de MaxCore es un complemento de terminación para decks de WPC diseñado para brindar un acabado estético y profesional. Fabricada con un compuesto de polímeros y fibras de madera en tono Ipe, ofrece una alta resistencia a la intemperie y a los rayos UV sin necesidad de mantenimiento, pintura o barnizado. Su uso principal es el sellado lateral de las tablas de deck, asegurando una apariencia uniforme y protegiendo la estructura de la acumulación de suciedad. Se instala de manera sencilla sobre los bordes de la estructura del deck para ocultar los cortes y las fijaciones.</v>
      </c>
    </row>
    <row r="26" ht="15.75" customHeight="1">
      <c r="A26" s="32">
        <v>22409.0</v>
      </c>
      <c r="B26" s="5" t="s">
        <v>785</v>
      </c>
      <c r="C26" s="32" t="s">
        <v>1191</v>
      </c>
      <c r="D26" s="40" t="s">
        <v>788</v>
      </c>
      <c r="E26" s="32" t="s">
        <v>789</v>
      </c>
      <c r="F26" s="32" t="s">
        <v>1191</v>
      </c>
      <c r="G26" s="32" t="s">
        <v>1197</v>
      </c>
      <c r="H26" s="40">
        <v>10.0</v>
      </c>
      <c r="I26" s="40" t="s">
        <v>42</v>
      </c>
      <c r="J26" s="40">
        <v>40.0</v>
      </c>
      <c r="K26" s="40" t="s">
        <v>42</v>
      </c>
      <c r="L26" s="40">
        <v>40.0</v>
      </c>
      <c r="M26" s="40" t="s">
        <v>42</v>
      </c>
      <c r="N26" s="33"/>
      <c r="O26" s="33"/>
      <c r="P26" s="72">
        <v>15.4</v>
      </c>
      <c r="Q26" s="40" t="s">
        <v>61</v>
      </c>
      <c r="S26" s="33"/>
      <c r="T26" s="35"/>
      <c r="U26" s="33"/>
      <c r="AA26" s="43" t="str">
        <f>IFERROR(__xludf.DUMMYFUNCTION("AI(""Completa un valor adecuado para esta celda en función del contexto de la tabla"")"),"Los Ángulos END de la línea de Accesorios de MaxCore son piezas de terminación fabricadas en WPC, diseñadas para brindar un acabado estético y profesional a los bordes y esquinas de las instalaciones de deck. Con dimensiones de 40x40 mm y un espesor de 10"&amp;" mm, estos perfiles son altamente resistentes a la intemperie y no requieren mantenimiento, como lijado o barnizado. Disponibles en varios colores para coordinar con las diferentes líneas de la marca, son ideales para proteger los bordes expuestos y ocult"&amp;"ar la estructura interna en terrazas, escalones y perímetros de piscinas.")</f>
        <v>Los Ángulos END de la línea de Accesorios de MaxCore son piezas de terminación fabricadas en WPC, diseñadas para brindar un acabado estético y profesional a los bordes y esquinas de las instalaciones de deck. Con dimensiones de 40x40 mm y un espesor de 10 mm, estos perfiles son altamente resistentes a la intemperie y no requieren mantenimiento, como lijado o barnizado. Disponibles en varios colores para coordinar con las diferentes líneas de la marca, son ideales para proteger los bordes expuestos y ocultar la estructura interna en terrazas, escalones y perímetros de piscinas.</v>
      </c>
    </row>
    <row r="27" ht="15.75" customHeight="1">
      <c r="A27" s="32">
        <v>24855.0</v>
      </c>
      <c r="B27" s="5" t="s">
        <v>785</v>
      </c>
      <c r="C27" s="32" t="s">
        <v>1191</v>
      </c>
      <c r="D27" s="40" t="s">
        <v>788</v>
      </c>
      <c r="E27" s="32" t="s">
        <v>789</v>
      </c>
      <c r="F27" s="32" t="s">
        <v>1191</v>
      </c>
      <c r="G27" s="32" t="s">
        <v>1197</v>
      </c>
      <c r="H27" s="40">
        <v>10.0</v>
      </c>
      <c r="I27" s="40" t="s">
        <v>42</v>
      </c>
      <c r="J27" s="40">
        <v>60.0</v>
      </c>
      <c r="K27" s="40" t="s">
        <v>42</v>
      </c>
      <c r="L27" s="40">
        <v>60.0</v>
      </c>
      <c r="M27" s="40" t="s">
        <v>42</v>
      </c>
      <c r="N27" s="33"/>
      <c r="O27" s="33"/>
      <c r="P27" s="72">
        <v>15.4</v>
      </c>
      <c r="Q27" s="40" t="s">
        <v>61</v>
      </c>
      <c r="S27" s="33"/>
      <c r="T27" s="35"/>
      <c r="U27" s="33"/>
      <c r="AA27" s="43" t="str">
        <f>IFERROR(__xludf.DUMMYFUNCTION("AI(""Completa un valor adecuado para esta celda en función del contexto de la tabla"")"),"El Angulo de terminación WPC de MaxCore es un accesorio diseñado para brindar un acabado profesional, prolijo y elegante a proyectos de exterior, como decks y baldosas. Fabricado con un compuesto de polímeros y fibras de madera, este perfil en L es altame"&amp;"nte resistente a la intemperie y se utiliza para cubrir bordes, esquinas y uniones. Al ser del mismo material y color que las tablas de deck, garantiza una estética uniforme y duradera sin necesidad de mantenimiento complejo. Es ideal para remates en esca"&amp;"lones o encuentros de superficies, asegurando una transición suave y protegida.")</f>
        <v>El Angulo de terminación WPC de MaxCore es un accesorio diseñado para brindar un acabado profesional, prolijo y elegante a proyectos de exterior, como decks y baldosas. Fabricado con un compuesto de polímeros y fibras de madera, este perfil en L es altamente resistente a la intemperie y se utiliza para cubrir bordes, esquinas y uniones. Al ser del mismo material y color que las tablas de deck, garantiza una estética uniforme y duradera sin necesidad de mantenimiento complejo. Es ideal para remates en escalones o encuentros de superficies, asegurando una transición suave y protegida.</v>
      </c>
    </row>
    <row r="28" ht="15.75" customHeight="1">
      <c r="A28" s="32">
        <v>18883.0</v>
      </c>
      <c r="B28" s="5" t="s">
        <v>785</v>
      </c>
      <c r="C28" s="32" t="s">
        <v>1191</v>
      </c>
      <c r="D28" s="40" t="s">
        <v>788</v>
      </c>
      <c r="E28" s="32" t="s">
        <v>789</v>
      </c>
      <c r="F28" s="32" t="s">
        <v>1169</v>
      </c>
      <c r="G28" s="32" t="s">
        <v>1198</v>
      </c>
      <c r="H28" s="33"/>
      <c r="I28" s="33"/>
      <c r="J28" s="33"/>
      <c r="K28" s="33"/>
      <c r="L28" s="33"/>
      <c r="M28" s="33"/>
      <c r="N28" s="33"/>
      <c r="O28" s="33"/>
      <c r="P28" s="72">
        <v>0.14</v>
      </c>
      <c r="Q28" s="40" t="s">
        <v>61</v>
      </c>
      <c r="S28" s="33"/>
      <c r="T28" s="35"/>
      <c r="U28" s="33"/>
      <c r="AA28" s="43" t="str">
        <f>IFERROR(__xludf.DUMMYFUNCTION("AI(""Completa un valor adecuado para esta celda en función del contexto de la tabla"")"),"Las Grampas de la línea Noble de MaxCore son accesorios de fijación diseñados específicamente para la instalación de sistemas de Deck WPC. Fabricadas con materiales resistentes que aseguran la durabilidad de la estructura al aire libre, estas piezas permi"&amp;"ten una sujeción firme y discreta de las tablas, facilitando un acabado profesional y uniforme en terrazas, galerías o perímetros de piscinas sin necesidad de perforaciones visibles en la superficie del deck.")</f>
        <v>Las Grampas de la línea Noble de MaxCore son accesorios de fijación diseñados específicamente para la instalación de sistemas de Deck WPC. Fabricadas con materiales resistentes que aseguran la durabilidad de la estructura al aire libre, estas piezas permiten una sujeción firme y discreta de las tablas, facilitando un acabado profesional y uniforme en terrazas, galerías o perímetros de piscinas sin necesidad de perforaciones visibles en la superficie del deck.</v>
      </c>
    </row>
    <row r="29" ht="15.75" customHeight="1">
      <c r="A29" s="32">
        <v>24165.0</v>
      </c>
      <c r="B29" s="5" t="s">
        <v>785</v>
      </c>
      <c r="C29" s="32" t="s">
        <v>1191</v>
      </c>
      <c r="D29" s="40" t="s">
        <v>788</v>
      </c>
      <c r="E29" s="32" t="s">
        <v>789</v>
      </c>
      <c r="F29" s="32" t="s">
        <v>1185</v>
      </c>
      <c r="G29" s="32" t="s">
        <v>1198</v>
      </c>
      <c r="H29" s="33"/>
      <c r="I29" s="33"/>
      <c r="J29" s="33"/>
      <c r="K29" s="33"/>
      <c r="L29" s="33"/>
      <c r="M29" s="33"/>
      <c r="N29" s="33"/>
      <c r="O29" s="33"/>
      <c r="P29" s="72">
        <v>0.14</v>
      </c>
      <c r="Q29" s="40" t="s">
        <v>61</v>
      </c>
      <c r="S29" s="33"/>
      <c r="T29" s="35"/>
      <c r="U29" s="33"/>
      <c r="AA29" s="43" t="str">
        <f>IFERROR(__xludf.DUMMYFUNCTION("AI(""Completa un valor adecuado para esta celda en función del contexto de la tabla"")"),"Las grampas de MaxCore para la línea Oval son accesorios fundamentales para la fijación oculta de tablas de deck WPC, permitiendo una instalación funcional y práctica sin tornillos a la vista. Fabricadas en material plástico o metálico, estas grapas son a"&amp;"ltamente compatibles con decks de madera y compuestos. Se recomienda la utilización de aproximadamente 25 a 32 unidades por cada metro cuadrado de superficie a cubrir para asegurar una sujeción óptima y duradera. Al igual que los perfiles de la marca, son"&amp;" resistentes a la intemperie y no requieren mantenimiento adicional.")</f>
        <v>Las grampas de MaxCore para la línea Oval son accesorios fundamentales para la fijación oculta de tablas de deck WPC, permitiendo una instalación funcional y práctica sin tornillos a la vista. Fabricadas en material plástico o metálico, estas grapas son altamente compatibles con decks de madera y compuestos. Se recomienda la utilización de aproximadamente 25 a 32 unidades por cada metro cuadrado de superficie a cubrir para asegurar una sujeción óptima y duradera. Al igual que los perfiles de la marca, son resistentes a la intemperie y no requieren mantenimiento adicional.</v>
      </c>
    </row>
    <row r="30" ht="15.75" customHeight="1">
      <c r="A30" s="32">
        <v>19851.0</v>
      </c>
      <c r="B30" s="5" t="s">
        <v>785</v>
      </c>
      <c r="C30" s="32" t="s">
        <v>1191</v>
      </c>
      <c r="D30" s="40" t="s">
        <v>788</v>
      </c>
      <c r="E30" s="32" t="s">
        <v>789</v>
      </c>
      <c r="F30" s="32" t="s">
        <v>1174</v>
      </c>
      <c r="G30" s="32" t="s">
        <v>1198</v>
      </c>
      <c r="H30" s="33"/>
      <c r="I30" s="33"/>
      <c r="J30" s="33"/>
      <c r="K30" s="33"/>
      <c r="L30" s="33"/>
      <c r="M30" s="33"/>
      <c r="N30" s="33"/>
      <c r="O30" s="33"/>
      <c r="P30" s="72">
        <v>0.14</v>
      </c>
      <c r="Q30" s="40" t="s">
        <v>61</v>
      </c>
      <c r="S30" s="33"/>
      <c r="T30" s="35"/>
      <c r="U30" s="33"/>
      <c r="AA30" s="43" t="str">
        <f>IFERROR(__xludf.DUMMYFUNCTION("AI(""Completa un valor adecuado para esta celda en función del contexto de la tabla"")"),"La grampa para Deck WPC de la linea Prestigio de MaxCore es un accesorio de fijacion diseñado para asegurar una instalacion firme, prolija y duradera en tablas de madera plastica. Fabricada en materiales resistentes como acero galvanizado o acero inoxidab"&amp;"le, garantiza alta resistencia a la corrosion, la humedad y el transito en exteriores. Su funcion principal es mantener la alineacion y separacion uniforme entre las piezas, permitiendo la dilatacion natural del material sin deformaciones. Al ser un siste"&amp;"ma de fijacion oculta, logra un acabado limpio y profesional sin tornillos a la vista en la superficie del deck.")</f>
        <v>La grampa para Deck WPC de la linea Prestigio de MaxCore es un accesorio de fijacion diseñado para asegurar una instalacion firme, prolija y duradera en tablas de madera plastica. Fabricada en materiales resistentes como acero galvanizado o acero inoxidable, garantiza alta resistencia a la corrosion, la humedad y el transito en exteriores. Su funcion principal es mantener la alineacion y separacion uniforme entre las piezas, permitiendo la dilatacion natural del material sin deformaciones. Al ser un sistema de fijacion oculta, logra un acabado limpio y profesional sin tornillos a la vista en la superficie del deck.</v>
      </c>
    </row>
    <row r="31" ht="15.75" customHeight="1">
      <c r="A31" s="32">
        <v>21261.0</v>
      </c>
      <c r="B31" s="5" t="s">
        <v>785</v>
      </c>
      <c r="C31" s="32" t="s">
        <v>1191</v>
      </c>
      <c r="D31" s="40" t="s">
        <v>788</v>
      </c>
      <c r="E31" s="32" t="s">
        <v>789</v>
      </c>
      <c r="F31" s="32" t="s">
        <v>1177</v>
      </c>
      <c r="G31" s="32" t="s">
        <v>1198</v>
      </c>
      <c r="H31" s="33"/>
      <c r="I31" s="33"/>
      <c r="J31" s="33"/>
      <c r="K31" s="33"/>
      <c r="L31" s="33"/>
      <c r="M31" s="33"/>
      <c r="N31" s="33"/>
      <c r="O31" s="33"/>
      <c r="P31" s="72">
        <v>0.14</v>
      </c>
      <c r="Q31" s="40" t="s">
        <v>61</v>
      </c>
      <c r="S31" s="33"/>
      <c r="T31" s="35"/>
      <c r="U31" s="33"/>
      <c r="AA31" s="43" t="str">
        <f>IFERROR(__xludf.DUMMYFUNCTION("AI(""Completa un valor adecuado para esta celda en función del contexto de la tabla"")"),"Las Grampas de la línea Bulk de MaxCore son accesorios esenciales fabricados en WPC diseñados para la fijación técnica de tablas de deck. Su uso permite una instalación precisa y segura, manteniendo la separación adecuada entre piezas y asegurando la esta"&amp;"bilidad del revestimiento exterior. Al ser parte del sistema MaxCore, son resistentes a la corrosión y están diseñadas para complementar la durabilidad y el acabado estético de los proyectos de deck de madera compuesta.")</f>
        <v>Las Grampas de la línea Bulk de MaxCore son accesorios esenciales fabricados en WPC diseñados para la fijación técnica de tablas de deck. Su uso permite una instalación precisa y segura, manteniendo la separación adecuada entre piezas y asegurando la estabilidad del revestimiento exterior. Al ser parte del sistema MaxCore, son resistentes a la corrosión y están diseñadas para complementar la durabilidad y el acabado estético de los proyectos de deck de madera compuesta.</v>
      </c>
    </row>
    <row r="32" ht="15.75" customHeight="1">
      <c r="A32" s="32">
        <v>24904.0</v>
      </c>
      <c r="B32" s="5" t="s">
        <v>785</v>
      </c>
      <c r="C32" s="32" t="s">
        <v>1191</v>
      </c>
      <c r="D32" s="40" t="s">
        <v>1199</v>
      </c>
      <c r="E32" s="32" t="s">
        <v>789</v>
      </c>
      <c r="F32" s="32" t="s">
        <v>1191</v>
      </c>
      <c r="G32" s="32" t="s">
        <v>1200</v>
      </c>
      <c r="H32" s="33"/>
      <c r="I32" s="33"/>
      <c r="J32" s="33"/>
      <c r="K32" s="33"/>
      <c r="L32" s="33"/>
      <c r="M32" s="33"/>
      <c r="N32" s="33"/>
      <c r="O32" s="33"/>
      <c r="P32" s="72">
        <v>17.16</v>
      </c>
      <c r="Q32" s="40" t="s">
        <v>738</v>
      </c>
      <c r="S32" s="33"/>
      <c r="T32" s="35"/>
      <c r="U32" s="33"/>
      <c r="AA32" s="43" t="str">
        <f>IFERROR(__xludf.DUMMYFUNCTION("AI(""Completa un valor adecuado para esta celda en función del contexto de la tabla"")"),"El Tornillo FIX 4x30 de la línea de Accesorios de MaxCore es un componente esencial fabricado en hierro, diseñado específicamente para la fijación y montaje de sistemas de deck. Con una medida de 4x30 mm, este accesorio garantiza un agarre firme y durader"&amp;"o, asegurando la estabilidad de las tablas y perfiles sobre diversas estructuras. Es un elemento indispensable para lograr una instalación profesional y resistente en proyectos de exteriores como terrazas, galerías y bordes de piscinas, complementando per"&amp;"fectamente la línea de productos de la marca.")</f>
        <v>El Tornillo FIX 4x30 de la línea de Accesorios de MaxCore es un componente esencial fabricado en hierro, diseñado específicamente para la fijación y montaje de sistemas de deck. Con una medida de 4x30 mm, este accesorio garantiza un agarre firme y duradero, asegurando la estabilidad de las tablas y perfiles sobre diversas estructuras. Es un elemento indispensable para lograr una instalación profesional y resistente en proyectos de exteriores como terrazas, galerías y bordes de piscinas, complementando perfectamente la línea de productos de la marca.</v>
      </c>
    </row>
    <row r="33" ht="15.75" customHeight="1">
      <c r="D33" s="33"/>
      <c r="H33" s="33"/>
      <c r="I33" s="33"/>
      <c r="J33" s="33"/>
      <c r="K33" s="33"/>
      <c r="L33" s="33"/>
      <c r="M33" s="33"/>
      <c r="N33" s="33"/>
      <c r="O33" s="33"/>
      <c r="P33" s="71"/>
      <c r="Q33" s="33"/>
      <c r="S33" s="33"/>
      <c r="T33" s="35"/>
      <c r="U33" s="33"/>
    </row>
    <row r="34" ht="15.75" customHeight="1">
      <c r="D34" s="33"/>
      <c r="H34" s="33"/>
      <c r="I34" s="33"/>
      <c r="J34" s="33"/>
      <c r="K34" s="33"/>
      <c r="L34" s="33"/>
      <c r="M34" s="33"/>
      <c r="N34" s="33"/>
      <c r="O34" s="33"/>
      <c r="P34" s="71"/>
      <c r="Q34" s="33"/>
      <c r="S34" s="33"/>
      <c r="T34" s="35"/>
      <c r="U34" s="33"/>
    </row>
    <row r="35" ht="15.75" customHeight="1">
      <c r="D35" s="33"/>
      <c r="H35" s="33"/>
      <c r="I35" s="33"/>
      <c r="J35" s="33"/>
      <c r="K35" s="33"/>
      <c r="L35" s="33"/>
      <c r="M35" s="33"/>
      <c r="N35" s="33"/>
      <c r="O35" s="33"/>
      <c r="P35" s="71"/>
      <c r="Q35" s="33"/>
      <c r="S35" s="33"/>
      <c r="T35" s="35"/>
      <c r="U35" s="33"/>
    </row>
    <row r="36" ht="15.75" customHeight="1">
      <c r="D36" s="33"/>
      <c r="H36" s="33"/>
      <c r="I36" s="33"/>
      <c r="J36" s="33"/>
      <c r="K36" s="33"/>
      <c r="L36" s="33"/>
      <c r="M36" s="33"/>
      <c r="N36" s="33"/>
      <c r="O36" s="33"/>
      <c r="P36" s="71"/>
      <c r="Q36" s="33"/>
      <c r="S36" s="33"/>
      <c r="T36" s="35"/>
      <c r="U36" s="33"/>
    </row>
    <row r="37" ht="15.75" customHeight="1">
      <c r="D37" s="33"/>
      <c r="H37" s="33"/>
      <c r="I37" s="33"/>
      <c r="J37" s="33"/>
      <c r="K37" s="33"/>
      <c r="L37" s="33"/>
      <c r="M37" s="33"/>
      <c r="N37" s="33"/>
      <c r="O37" s="33"/>
      <c r="P37" s="71"/>
      <c r="Q37" s="33"/>
      <c r="S37" s="33"/>
      <c r="T37" s="35"/>
      <c r="U37" s="33"/>
    </row>
    <row r="38" ht="15.75" customHeight="1">
      <c r="D38" s="33"/>
      <c r="H38" s="33"/>
      <c r="I38" s="33"/>
      <c r="J38" s="33"/>
      <c r="K38" s="33"/>
      <c r="L38" s="33"/>
      <c r="M38" s="33"/>
      <c r="N38" s="33"/>
      <c r="O38" s="33"/>
      <c r="P38" s="71"/>
      <c r="Q38" s="33"/>
      <c r="S38" s="33"/>
      <c r="T38" s="35"/>
      <c r="U38" s="33"/>
    </row>
    <row r="39" ht="15.75" customHeight="1">
      <c r="D39" s="33"/>
      <c r="H39" s="33"/>
      <c r="I39" s="33"/>
      <c r="J39" s="33"/>
      <c r="K39" s="33"/>
      <c r="L39" s="33"/>
      <c r="M39" s="33"/>
      <c r="N39" s="33"/>
      <c r="O39" s="33"/>
      <c r="P39" s="71"/>
      <c r="Q39" s="33"/>
      <c r="S39" s="33"/>
      <c r="T39" s="35"/>
      <c r="U39" s="33"/>
    </row>
    <row r="40" ht="15.75" customHeight="1">
      <c r="D40" s="33"/>
      <c r="H40" s="33"/>
      <c r="I40" s="33"/>
      <c r="J40" s="33"/>
      <c r="K40" s="33"/>
      <c r="L40" s="33"/>
      <c r="M40" s="33"/>
      <c r="N40" s="33"/>
      <c r="O40" s="33"/>
      <c r="P40" s="71"/>
      <c r="Q40" s="33"/>
      <c r="S40" s="33"/>
      <c r="T40" s="35"/>
      <c r="U40" s="33"/>
    </row>
    <row r="41" ht="15.75" customHeight="1">
      <c r="D41" s="33"/>
      <c r="H41" s="33"/>
      <c r="I41" s="33"/>
      <c r="J41" s="33"/>
      <c r="K41" s="33"/>
      <c r="L41" s="33"/>
      <c r="M41" s="33"/>
      <c r="N41" s="33"/>
      <c r="O41" s="33"/>
      <c r="P41" s="71"/>
      <c r="Q41" s="33"/>
      <c r="S41" s="33"/>
      <c r="T41" s="35"/>
      <c r="U41" s="33"/>
    </row>
    <row r="42" ht="15.75" customHeight="1">
      <c r="D42" s="33"/>
      <c r="H42" s="33"/>
      <c r="I42" s="33"/>
      <c r="J42" s="33"/>
      <c r="K42" s="33"/>
      <c r="L42" s="33"/>
      <c r="M42" s="33"/>
      <c r="N42" s="33"/>
      <c r="O42" s="33"/>
      <c r="P42" s="71"/>
      <c r="Q42" s="33"/>
      <c r="S42" s="33"/>
      <c r="T42" s="35"/>
      <c r="U42" s="33"/>
    </row>
    <row r="43" ht="15.75" customHeight="1">
      <c r="D43" s="33"/>
      <c r="H43" s="33"/>
      <c r="I43" s="33"/>
      <c r="J43" s="33"/>
      <c r="K43" s="33"/>
      <c r="L43" s="33"/>
      <c r="M43" s="33"/>
      <c r="N43" s="33"/>
      <c r="O43" s="33"/>
      <c r="P43" s="71"/>
      <c r="Q43" s="33"/>
      <c r="S43" s="33"/>
      <c r="T43" s="35"/>
      <c r="U43" s="33"/>
    </row>
    <row r="44" ht="15.75" customHeight="1">
      <c r="D44" s="33"/>
      <c r="H44" s="33"/>
      <c r="I44" s="33"/>
      <c r="J44" s="33"/>
      <c r="K44" s="33"/>
      <c r="L44" s="33"/>
      <c r="M44" s="33"/>
      <c r="N44" s="33"/>
      <c r="O44" s="33"/>
      <c r="P44" s="71"/>
      <c r="Q44" s="33"/>
      <c r="S44" s="33"/>
      <c r="T44" s="35"/>
      <c r="U44" s="33"/>
    </row>
    <row r="45" ht="15.75" customHeight="1">
      <c r="D45" s="33"/>
      <c r="H45" s="33"/>
      <c r="I45" s="33"/>
      <c r="J45" s="33"/>
      <c r="K45" s="33"/>
      <c r="L45" s="33"/>
      <c r="M45" s="33"/>
      <c r="N45" s="33"/>
      <c r="O45" s="33"/>
      <c r="P45" s="71"/>
      <c r="Q45" s="33"/>
      <c r="S45" s="33"/>
      <c r="T45" s="35"/>
      <c r="U45" s="33"/>
    </row>
    <row r="46" ht="15.75" customHeight="1">
      <c r="D46" s="33"/>
      <c r="H46" s="33"/>
      <c r="I46" s="33"/>
      <c r="J46" s="33"/>
      <c r="K46" s="33"/>
      <c r="L46" s="33"/>
      <c r="M46" s="33"/>
      <c r="N46" s="33"/>
      <c r="O46" s="33"/>
      <c r="P46" s="71"/>
      <c r="Q46" s="33"/>
      <c r="S46" s="33"/>
      <c r="T46" s="35"/>
      <c r="U46" s="33"/>
    </row>
    <row r="47" ht="15.75" customHeight="1">
      <c r="D47" s="33"/>
      <c r="H47" s="33"/>
      <c r="I47" s="33"/>
      <c r="J47" s="33"/>
      <c r="K47" s="33"/>
      <c r="L47" s="33"/>
      <c r="M47" s="33"/>
      <c r="N47" s="33"/>
      <c r="O47" s="33"/>
      <c r="P47" s="71"/>
      <c r="Q47" s="33"/>
      <c r="S47" s="33"/>
      <c r="T47" s="35"/>
      <c r="U47" s="33"/>
    </row>
    <row r="48" ht="15.75" customHeight="1">
      <c r="D48" s="33"/>
      <c r="H48" s="33"/>
      <c r="I48" s="33"/>
      <c r="J48" s="33"/>
      <c r="K48" s="33"/>
      <c r="L48" s="33"/>
      <c r="M48" s="33"/>
      <c r="N48" s="33"/>
      <c r="O48" s="33"/>
      <c r="P48" s="71"/>
      <c r="Q48" s="33"/>
      <c r="S48" s="33"/>
      <c r="T48" s="35"/>
      <c r="U48" s="33"/>
    </row>
    <row r="49" ht="15.75" customHeight="1">
      <c r="D49" s="33"/>
      <c r="H49" s="33"/>
      <c r="I49" s="33"/>
      <c r="J49" s="33"/>
      <c r="K49" s="33"/>
      <c r="L49" s="33"/>
      <c r="M49" s="33"/>
      <c r="N49" s="33"/>
      <c r="O49" s="33"/>
      <c r="P49" s="71"/>
      <c r="Q49" s="33"/>
      <c r="S49" s="33"/>
      <c r="T49" s="35"/>
      <c r="U49" s="33"/>
    </row>
    <row r="50" ht="15.75" customHeight="1">
      <c r="D50" s="33"/>
      <c r="H50" s="33"/>
      <c r="I50" s="33"/>
      <c r="J50" s="33"/>
      <c r="K50" s="33"/>
      <c r="L50" s="33"/>
      <c r="M50" s="33"/>
      <c r="N50" s="33"/>
      <c r="O50" s="33"/>
      <c r="P50" s="71"/>
      <c r="Q50" s="33"/>
      <c r="S50" s="33"/>
      <c r="T50" s="35"/>
      <c r="U50" s="33"/>
    </row>
    <row r="51" ht="15.75" customHeight="1">
      <c r="D51" s="33"/>
      <c r="H51" s="33"/>
      <c r="I51" s="33"/>
      <c r="J51" s="33"/>
      <c r="K51" s="33"/>
      <c r="L51" s="33"/>
      <c r="M51" s="33"/>
      <c r="N51" s="33"/>
      <c r="O51" s="33"/>
      <c r="P51" s="71"/>
      <c r="Q51" s="33"/>
      <c r="S51" s="33"/>
      <c r="T51" s="35"/>
      <c r="U51" s="33"/>
    </row>
    <row r="52" ht="15.75" customHeight="1">
      <c r="D52" s="33"/>
      <c r="H52" s="33"/>
      <c r="I52" s="33"/>
      <c r="J52" s="33"/>
      <c r="K52" s="33"/>
      <c r="L52" s="33"/>
      <c r="M52" s="33"/>
      <c r="N52" s="33"/>
      <c r="O52" s="33"/>
      <c r="P52" s="71"/>
      <c r="Q52" s="33"/>
      <c r="S52" s="33"/>
      <c r="T52" s="35"/>
      <c r="U52" s="33"/>
    </row>
    <row r="53" ht="15.75" customHeight="1">
      <c r="D53" s="33"/>
      <c r="H53" s="33"/>
      <c r="I53" s="33"/>
      <c r="J53" s="33"/>
      <c r="K53" s="33"/>
      <c r="L53" s="33"/>
      <c r="M53" s="33"/>
      <c r="N53" s="33"/>
      <c r="O53" s="33"/>
      <c r="P53" s="71"/>
      <c r="Q53" s="33"/>
      <c r="S53" s="33"/>
      <c r="T53" s="35"/>
      <c r="U53" s="33"/>
    </row>
    <row r="54" ht="15.75" customHeight="1">
      <c r="D54" s="33"/>
      <c r="H54" s="33"/>
      <c r="I54" s="33"/>
      <c r="J54" s="33"/>
      <c r="K54" s="33"/>
      <c r="L54" s="33"/>
      <c r="M54" s="33"/>
      <c r="N54" s="33"/>
      <c r="O54" s="33"/>
      <c r="P54" s="71"/>
      <c r="Q54" s="33"/>
      <c r="S54" s="33"/>
      <c r="T54" s="35"/>
      <c r="U54" s="33"/>
    </row>
    <row r="55" ht="15.75" customHeight="1">
      <c r="D55" s="33"/>
      <c r="H55" s="33"/>
      <c r="I55" s="33"/>
      <c r="J55" s="33"/>
      <c r="K55" s="33"/>
      <c r="L55" s="33"/>
      <c r="M55" s="33"/>
      <c r="N55" s="33"/>
      <c r="O55" s="33"/>
      <c r="P55" s="71"/>
      <c r="Q55" s="33"/>
      <c r="S55" s="33"/>
      <c r="T55" s="35"/>
      <c r="U55" s="33"/>
    </row>
    <row r="56" ht="15.75" customHeight="1">
      <c r="D56" s="33"/>
      <c r="H56" s="33"/>
      <c r="I56" s="33"/>
      <c r="J56" s="33"/>
      <c r="K56" s="33"/>
      <c r="L56" s="33"/>
      <c r="M56" s="33"/>
      <c r="N56" s="33"/>
      <c r="O56" s="33"/>
      <c r="P56" s="71"/>
      <c r="Q56" s="33"/>
      <c r="S56" s="33"/>
      <c r="T56" s="35"/>
      <c r="U56" s="33"/>
    </row>
    <row r="57" ht="15.75" customHeight="1">
      <c r="D57" s="33"/>
      <c r="H57" s="33"/>
      <c r="I57" s="33"/>
      <c r="J57" s="33"/>
      <c r="K57" s="33"/>
      <c r="L57" s="33"/>
      <c r="M57" s="33"/>
      <c r="N57" s="33"/>
      <c r="O57" s="33"/>
      <c r="P57" s="71"/>
      <c r="Q57" s="33"/>
      <c r="S57" s="33"/>
      <c r="T57" s="35"/>
      <c r="U57" s="33"/>
    </row>
    <row r="58" ht="15.75" customHeight="1">
      <c r="D58" s="33"/>
      <c r="H58" s="33"/>
      <c r="I58" s="33"/>
      <c r="J58" s="33"/>
      <c r="K58" s="33"/>
      <c r="L58" s="33"/>
      <c r="M58" s="33"/>
      <c r="N58" s="33"/>
      <c r="O58" s="33"/>
      <c r="P58" s="71"/>
      <c r="Q58" s="33"/>
      <c r="S58" s="33"/>
      <c r="T58" s="35"/>
      <c r="U58" s="33"/>
    </row>
    <row r="59" ht="15.75" customHeight="1">
      <c r="D59" s="33"/>
      <c r="H59" s="33"/>
      <c r="I59" s="33"/>
      <c r="J59" s="33"/>
      <c r="K59" s="33"/>
      <c r="L59" s="33"/>
      <c r="M59" s="33"/>
      <c r="N59" s="33"/>
      <c r="O59" s="33"/>
      <c r="P59" s="71"/>
      <c r="Q59" s="33"/>
      <c r="S59" s="33"/>
      <c r="T59" s="35"/>
      <c r="U59" s="33"/>
    </row>
    <row r="60" ht="15.75" customHeight="1">
      <c r="D60" s="33"/>
      <c r="H60" s="33"/>
      <c r="I60" s="33"/>
      <c r="J60" s="33"/>
      <c r="K60" s="33"/>
      <c r="L60" s="33"/>
      <c r="M60" s="33"/>
      <c r="N60" s="33"/>
      <c r="O60" s="33"/>
      <c r="P60" s="71"/>
      <c r="Q60" s="33"/>
      <c r="S60" s="33"/>
      <c r="T60" s="35"/>
      <c r="U60" s="33"/>
    </row>
    <row r="61" ht="15.75" customHeight="1">
      <c r="D61" s="33"/>
      <c r="H61" s="33"/>
      <c r="I61" s="33"/>
      <c r="J61" s="33"/>
      <c r="K61" s="33"/>
      <c r="L61" s="33"/>
      <c r="M61" s="33"/>
      <c r="N61" s="33"/>
      <c r="O61" s="33"/>
      <c r="P61" s="71"/>
      <c r="Q61" s="33"/>
      <c r="S61" s="33"/>
      <c r="T61" s="35"/>
      <c r="U61" s="33"/>
    </row>
    <row r="62" ht="15.75" customHeight="1">
      <c r="D62" s="33"/>
      <c r="H62" s="33"/>
      <c r="I62" s="33"/>
      <c r="J62" s="33"/>
      <c r="K62" s="33"/>
      <c r="L62" s="33"/>
      <c r="M62" s="33"/>
      <c r="N62" s="33"/>
      <c r="O62" s="33"/>
      <c r="P62" s="71"/>
      <c r="Q62" s="33"/>
      <c r="S62" s="33"/>
      <c r="T62" s="35"/>
      <c r="U62" s="33"/>
    </row>
    <row r="63" ht="15.75" customHeight="1">
      <c r="D63" s="33"/>
      <c r="H63" s="33"/>
      <c r="I63" s="33"/>
      <c r="J63" s="33"/>
      <c r="K63" s="33"/>
      <c r="L63" s="33"/>
      <c r="M63" s="33"/>
      <c r="N63" s="33"/>
      <c r="O63" s="33"/>
      <c r="P63" s="71"/>
      <c r="Q63" s="33"/>
      <c r="S63" s="33"/>
      <c r="T63" s="35"/>
      <c r="U63" s="33"/>
    </row>
    <row r="64" ht="15.75" customHeight="1">
      <c r="D64" s="33"/>
      <c r="H64" s="33"/>
      <c r="I64" s="33"/>
      <c r="J64" s="33"/>
      <c r="K64" s="33"/>
      <c r="L64" s="33"/>
      <c r="M64" s="33"/>
      <c r="N64" s="33"/>
      <c r="O64" s="33"/>
      <c r="P64" s="71"/>
      <c r="Q64" s="33"/>
      <c r="S64" s="33"/>
      <c r="T64" s="35"/>
      <c r="U64" s="33"/>
    </row>
    <row r="65" ht="15.75" customHeight="1">
      <c r="D65" s="33"/>
      <c r="H65" s="33"/>
      <c r="I65" s="33"/>
      <c r="J65" s="33"/>
      <c r="K65" s="33"/>
      <c r="L65" s="33"/>
      <c r="M65" s="33"/>
      <c r="N65" s="33"/>
      <c r="O65" s="33"/>
      <c r="P65" s="71"/>
      <c r="Q65" s="33"/>
      <c r="S65" s="33"/>
      <c r="T65" s="35"/>
      <c r="U65" s="33"/>
    </row>
    <row r="66" ht="15.75" customHeight="1">
      <c r="D66" s="33"/>
      <c r="H66" s="33"/>
      <c r="I66" s="33"/>
      <c r="J66" s="33"/>
      <c r="K66" s="33"/>
      <c r="L66" s="33"/>
      <c r="M66" s="33"/>
      <c r="N66" s="33"/>
      <c r="O66" s="33"/>
      <c r="P66" s="71"/>
      <c r="Q66" s="33"/>
      <c r="S66" s="33"/>
      <c r="T66" s="35"/>
      <c r="U66" s="33"/>
    </row>
    <row r="67" ht="15.75" customHeight="1">
      <c r="D67" s="33"/>
      <c r="H67" s="33"/>
      <c r="I67" s="33"/>
      <c r="J67" s="33"/>
      <c r="K67" s="33"/>
      <c r="L67" s="33"/>
      <c r="M67" s="33"/>
      <c r="N67" s="33"/>
      <c r="O67" s="33"/>
      <c r="P67" s="71"/>
      <c r="Q67" s="33"/>
      <c r="S67" s="33"/>
      <c r="T67" s="35"/>
      <c r="U67" s="33"/>
    </row>
    <row r="68" ht="15.75" customHeight="1">
      <c r="D68" s="33"/>
      <c r="H68" s="33"/>
      <c r="I68" s="33"/>
      <c r="J68" s="33"/>
      <c r="K68" s="33"/>
      <c r="L68" s="33"/>
      <c r="M68" s="33"/>
      <c r="N68" s="33"/>
      <c r="O68" s="33"/>
      <c r="P68" s="71"/>
      <c r="Q68" s="33"/>
      <c r="S68" s="33"/>
      <c r="T68" s="35"/>
      <c r="U68" s="33"/>
    </row>
    <row r="69" ht="15.75" customHeight="1">
      <c r="D69" s="33"/>
      <c r="H69" s="33"/>
      <c r="I69" s="33"/>
      <c r="J69" s="33"/>
      <c r="K69" s="33"/>
      <c r="L69" s="33"/>
      <c r="M69" s="33"/>
      <c r="N69" s="33"/>
      <c r="O69" s="33"/>
      <c r="P69" s="71"/>
      <c r="Q69" s="33"/>
      <c r="S69" s="33"/>
      <c r="T69" s="35"/>
      <c r="U69" s="33"/>
    </row>
    <row r="70" ht="15.75" customHeight="1">
      <c r="D70" s="33"/>
      <c r="H70" s="33"/>
      <c r="I70" s="33"/>
      <c r="J70" s="33"/>
      <c r="K70" s="33"/>
      <c r="L70" s="33"/>
      <c r="M70" s="33"/>
      <c r="N70" s="33"/>
      <c r="O70" s="33"/>
      <c r="P70" s="71"/>
      <c r="Q70" s="33"/>
      <c r="S70" s="33"/>
      <c r="T70" s="35"/>
      <c r="U70" s="33"/>
    </row>
    <row r="71" ht="15.75" customHeight="1">
      <c r="D71" s="33"/>
      <c r="H71" s="33"/>
      <c r="I71" s="33"/>
      <c r="J71" s="33"/>
      <c r="K71" s="33"/>
      <c r="L71" s="33"/>
      <c r="M71" s="33"/>
      <c r="N71" s="33"/>
      <c r="O71" s="33"/>
      <c r="P71" s="71"/>
      <c r="Q71" s="33"/>
      <c r="S71" s="33"/>
      <c r="T71" s="35"/>
      <c r="U71" s="33"/>
    </row>
    <row r="72" ht="15.75" customHeight="1">
      <c r="D72" s="33"/>
      <c r="H72" s="33"/>
      <c r="I72" s="33"/>
      <c r="J72" s="33"/>
      <c r="K72" s="33"/>
      <c r="L72" s="33"/>
      <c r="M72" s="33"/>
      <c r="N72" s="33"/>
      <c r="O72" s="33"/>
      <c r="P72" s="71"/>
      <c r="Q72" s="33"/>
      <c r="S72" s="33"/>
      <c r="T72" s="35"/>
      <c r="U72" s="33"/>
    </row>
    <row r="73" ht="15.75" customHeight="1">
      <c r="D73" s="33"/>
      <c r="H73" s="33"/>
      <c r="I73" s="33"/>
      <c r="J73" s="33"/>
      <c r="K73" s="33"/>
      <c r="L73" s="33"/>
      <c r="M73" s="33"/>
      <c r="N73" s="33"/>
      <c r="O73" s="33"/>
      <c r="P73" s="71"/>
      <c r="Q73" s="33"/>
      <c r="S73" s="33"/>
      <c r="T73" s="35"/>
      <c r="U73" s="33"/>
    </row>
    <row r="74" ht="15.75" customHeight="1">
      <c r="D74" s="33"/>
      <c r="H74" s="33"/>
      <c r="I74" s="33"/>
      <c r="J74" s="33"/>
      <c r="K74" s="33"/>
      <c r="L74" s="33"/>
      <c r="M74" s="33"/>
      <c r="N74" s="33"/>
      <c r="O74" s="33"/>
      <c r="P74" s="71"/>
      <c r="Q74" s="33"/>
      <c r="S74" s="33"/>
      <c r="T74" s="35"/>
      <c r="U74" s="33"/>
    </row>
    <row r="75" ht="15.75" customHeight="1">
      <c r="D75" s="33"/>
      <c r="H75" s="33"/>
      <c r="I75" s="33"/>
      <c r="J75" s="33"/>
      <c r="K75" s="33"/>
      <c r="L75" s="33"/>
      <c r="M75" s="33"/>
      <c r="N75" s="33"/>
      <c r="O75" s="33"/>
      <c r="P75" s="71"/>
      <c r="Q75" s="33"/>
      <c r="S75" s="33"/>
      <c r="T75" s="35"/>
      <c r="U75" s="33"/>
    </row>
    <row r="76" ht="15.75" customHeight="1">
      <c r="D76" s="33"/>
      <c r="H76" s="33"/>
      <c r="I76" s="33"/>
      <c r="J76" s="33"/>
      <c r="K76" s="33"/>
      <c r="L76" s="33"/>
      <c r="M76" s="33"/>
      <c r="N76" s="33"/>
      <c r="O76" s="33"/>
      <c r="P76" s="71"/>
      <c r="Q76" s="33"/>
      <c r="S76" s="33"/>
      <c r="T76" s="35"/>
      <c r="U76" s="33"/>
    </row>
    <row r="77" ht="15.75" customHeight="1">
      <c r="D77" s="33"/>
      <c r="H77" s="33"/>
      <c r="I77" s="33"/>
      <c r="J77" s="33"/>
      <c r="K77" s="33"/>
      <c r="L77" s="33"/>
      <c r="M77" s="33"/>
      <c r="N77" s="33"/>
      <c r="O77" s="33"/>
      <c r="P77" s="71"/>
      <c r="Q77" s="33"/>
      <c r="S77" s="33"/>
      <c r="T77" s="35"/>
      <c r="U77" s="33"/>
    </row>
    <row r="78" ht="15.75" customHeight="1">
      <c r="D78" s="33"/>
      <c r="H78" s="33"/>
      <c r="I78" s="33"/>
      <c r="J78" s="33"/>
      <c r="K78" s="33"/>
      <c r="L78" s="33"/>
      <c r="M78" s="33"/>
      <c r="N78" s="33"/>
      <c r="O78" s="33"/>
      <c r="P78" s="71"/>
      <c r="Q78" s="33"/>
      <c r="S78" s="33"/>
      <c r="T78" s="35"/>
      <c r="U78" s="33"/>
    </row>
    <row r="79" ht="15.75" customHeight="1">
      <c r="D79" s="33"/>
      <c r="H79" s="33"/>
      <c r="I79" s="33"/>
      <c r="J79" s="33"/>
      <c r="K79" s="33"/>
      <c r="L79" s="33"/>
      <c r="M79" s="33"/>
      <c r="N79" s="33"/>
      <c r="O79" s="33"/>
      <c r="P79" s="71"/>
      <c r="Q79" s="33"/>
      <c r="S79" s="33"/>
      <c r="T79" s="35"/>
      <c r="U79" s="33"/>
    </row>
    <row r="80" ht="15.75" customHeight="1">
      <c r="D80" s="33"/>
      <c r="H80" s="33"/>
      <c r="I80" s="33"/>
      <c r="J80" s="33"/>
      <c r="K80" s="33"/>
      <c r="L80" s="33"/>
      <c r="M80" s="33"/>
      <c r="N80" s="33"/>
      <c r="O80" s="33"/>
      <c r="P80" s="71"/>
      <c r="Q80" s="33"/>
      <c r="S80" s="33"/>
      <c r="T80" s="35"/>
      <c r="U80" s="33"/>
    </row>
    <row r="81" ht="15.75" customHeight="1">
      <c r="D81" s="33"/>
      <c r="H81" s="33"/>
      <c r="I81" s="33"/>
      <c r="J81" s="33"/>
      <c r="K81" s="33"/>
      <c r="L81" s="33"/>
      <c r="M81" s="33"/>
      <c r="N81" s="33"/>
      <c r="O81" s="33"/>
      <c r="P81" s="71"/>
      <c r="Q81" s="33"/>
      <c r="S81" s="33"/>
      <c r="T81" s="35"/>
      <c r="U81" s="33"/>
    </row>
    <row r="82" ht="15.75" customHeight="1">
      <c r="D82" s="33"/>
      <c r="H82" s="33"/>
      <c r="I82" s="33"/>
      <c r="J82" s="33"/>
      <c r="K82" s="33"/>
      <c r="L82" s="33"/>
      <c r="M82" s="33"/>
      <c r="N82" s="33"/>
      <c r="O82" s="33"/>
      <c r="P82" s="71"/>
      <c r="Q82" s="33"/>
      <c r="S82" s="33"/>
      <c r="T82" s="35"/>
      <c r="U82" s="33"/>
    </row>
    <row r="83" ht="15.75" customHeight="1">
      <c r="D83" s="33"/>
      <c r="H83" s="33"/>
      <c r="I83" s="33"/>
      <c r="J83" s="33"/>
      <c r="K83" s="33"/>
      <c r="L83" s="33"/>
      <c r="M83" s="33"/>
      <c r="N83" s="33"/>
      <c r="O83" s="33"/>
      <c r="P83" s="71"/>
      <c r="Q83" s="33"/>
      <c r="S83" s="33"/>
      <c r="T83" s="35"/>
      <c r="U83" s="33"/>
    </row>
    <row r="84" ht="15.75" customHeight="1">
      <c r="D84" s="33"/>
      <c r="H84" s="33"/>
      <c r="I84" s="33"/>
      <c r="J84" s="33"/>
      <c r="K84" s="33"/>
      <c r="L84" s="33"/>
      <c r="M84" s="33"/>
      <c r="N84" s="33"/>
      <c r="O84" s="33"/>
      <c r="P84" s="71"/>
      <c r="Q84" s="33"/>
      <c r="S84" s="33"/>
      <c r="T84" s="35"/>
      <c r="U84" s="33"/>
    </row>
    <row r="85" ht="15.75" customHeight="1">
      <c r="D85" s="33"/>
      <c r="H85" s="33"/>
      <c r="I85" s="33"/>
      <c r="J85" s="33"/>
      <c r="K85" s="33"/>
      <c r="L85" s="33"/>
      <c r="M85" s="33"/>
      <c r="N85" s="33"/>
      <c r="O85" s="33"/>
      <c r="P85" s="71"/>
      <c r="Q85" s="33"/>
      <c r="S85" s="33"/>
      <c r="T85" s="35"/>
      <c r="U85" s="33"/>
    </row>
    <row r="86" ht="15.75" customHeight="1">
      <c r="D86" s="33"/>
      <c r="H86" s="33"/>
      <c r="I86" s="33"/>
      <c r="J86" s="33"/>
      <c r="K86" s="33"/>
      <c r="L86" s="33"/>
      <c r="M86" s="33"/>
      <c r="N86" s="33"/>
      <c r="O86" s="33"/>
      <c r="P86" s="71"/>
      <c r="Q86" s="33"/>
      <c r="S86" s="33"/>
      <c r="T86" s="35"/>
      <c r="U86" s="33"/>
    </row>
    <row r="87" ht="15.75" customHeight="1">
      <c r="D87" s="33"/>
      <c r="H87" s="33"/>
      <c r="I87" s="33"/>
      <c r="J87" s="33"/>
      <c r="K87" s="33"/>
      <c r="L87" s="33"/>
      <c r="M87" s="33"/>
      <c r="N87" s="33"/>
      <c r="O87" s="33"/>
      <c r="P87" s="71"/>
      <c r="Q87" s="33"/>
      <c r="S87" s="33"/>
      <c r="T87" s="35"/>
      <c r="U87" s="33"/>
    </row>
    <row r="88" ht="15.75" customHeight="1">
      <c r="D88" s="33"/>
      <c r="H88" s="33"/>
      <c r="I88" s="33"/>
      <c r="J88" s="33"/>
      <c r="K88" s="33"/>
      <c r="L88" s="33"/>
      <c r="M88" s="33"/>
      <c r="N88" s="33"/>
      <c r="O88" s="33"/>
      <c r="P88" s="71"/>
      <c r="Q88" s="33"/>
      <c r="S88" s="33"/>
      <c r="T88" s="35"/>
      <c r="U88" s="33"/>
    </row>
    <row r="89" ht="15.75" customHeight="1">
      <c r="D89" s="33"/>
      <c r="H89" s="33"/>
      <c r="I89" s="33"/>
      <c r="J89" s="33"/>
      <c r="K89" s="33"/>
      <c r="L89" s="33"/>
      <c r="M89" s="33"/>
      <c r="N89" s="33"/>
      <c r="O89" s="33"/>
      <c r="P89" s="71"/>
      <c r="Q89" s="33"/>
      <c r="S89" s="33"/>
      <c r="T89" s="35"/>
      <c r="U89" s="33"/>
    </row>
    <row r="90" ht="15.75" customHeight="1">
      <c r="D90" s="33"/>
      <c r="H90" s="33"/>
      <c r="I90" s="33"/>
      <c r="J90" s="33"/>
      <c r="K90" s="33"/>
      <c r="L90" s="33"/>
      <c r="M90" s="33"/>
      <c r="N90" s="33"/>
      <c r="O90" s="33"/>
      <c r="P90" s="71"/>
      <c r="Q90" s="33"/>
      <c r="S90" s="33"/>
      <c r="T90" s="35"/>
      <c r="U90" s="33"/>
    </row>
    <row r="91" ht="15.75" customHeight="1">
      <c r="D91" s="33"/>
      <c r="H91" s="33"/>
      <c r="I91" s="33"/>
      <c r="J91" s="33"/>
      <c r="K91" s="33"/>
      <c r="L91" s="33"/>
      <c r="M91" s="33"/>
      <c r="N91" s="33"/>
      <c r="O91" s="33"/>
      <c r="P91" s="71"/>
      <c r="Q91" s="33"/>
      <c r="S91" s="33"/>
      <c r="T91" s="35"/>
      <c r="U91" s="33"/>
    </row>
    <row r="92" ht="15.75" customHeight="1">
      <c r="D92" s="33"/>
      <c r="H92" s="33"/>
      <c r="I92" s="33"/>
      <c r="J92" s="33"/>
      <c r="K92" s="33"/>
      <c r="L92" s="33"/>
      <c r="M92" s="33"/>
      <c r="N92" s="33"/>
      <c r="O92" s="33"/>
      <c r="P92" s="71"/>
      <c r="Q92" s="33"/>
      <c r="S92" s="33"/>
      <c r="T92" s="35"/>
      <c r="U92" s="33"/>
    </row>
    <row r="93" ht="15.75" customHeight="1">
      <c r="D93" s="33"/>
      <c r="H93" s="33"/>
      <c r="I93" s="33"/>
      <c r="J93" s="33"/>
      <c r="K93" s="33"/>
      <c r="L93" s="33"/>
      <c r="M93" s="33"/>
      <c r="N93" s="33"/>
      <c r="O93" s="33"/>
      <c r="P93" s="71"/>
      <c r="Q93" s="33"/>
      <c r="S93" s="33"/>
      <c r="T93" s="35"/>
      <c r="U93" s="33"/>
    </row>
    <row r="94" ht="15.75" customHeight="1">
      <c r="D94" s="33"/>
      <c r="H94" s="33"/>
      <c r="I94" s="33"/>
      <c r="J94" s="33"/>
      <c r="K94" s="33"/>
      <c r="L94" s="33"/>
      <c r="M94" s="33"/>
      <c r="N94" s="33"/>
      <c r="O94" s="33"/>
      <c r="P94" s="71"/>
      <c r="Q94" s="33"/>
      <c r="S94" s="33"/>
      <c r="T94" s="35"/>
      <c r="U94" s="33"/>
    </row>
    <row r="95" ht="15.75" customHeight="1">
      <c r="D95" s="33"/>
      <c r="H95" s="33"/>
      <c r="I95" s="33"/>
      <c r="J95" s="33"/>
      <c r="K95" s="33"/>
      <c r="L95" s="33"/>
      <c r="M95" s="33"/>
      <c r="N95" s="33"/>
      <c r="O95" s="33"/>
      <c r="P95" s="71"/>
      <c r="Q95" s="33"/>
      <c r="S95" s="33"/>
      <c r="T95" s="35"/>
      <c r="U95" s="33"/>
    </row>
    <row r="96" ht="15.75" customHeight="1">
      <c r="D96" s="33"/>
      <c r="H96" s="33"/>
      <c r="I96" s="33"/>
      <c r="J96" s="33"/>
      <c r="K96" s="33"/>
      <c r="L96" s="33"/>
      <c r="M96" s="33"/>
      <c r="N96" s="33"/>
      <c r="O96" s="33"/>
      <c r="P96" s="71"/>
      <c r="Q96" s="33"/>
      <c r="S96" s="33"/>
      <c r="T96" s="35"/>
      <c r="U96" s="33"/>
    </row>
    <row r="97" ht="15.75" customHeight="1">
      <c r="D97" s="33"/>
      <c r="H97" s="33"/>
      <c r="I97" s="33"/>
      <c r="J97" s="33"/>
      <c r="K97" s="33"/>
      <c r="L97" s="33"/>
      <c r="M97" s="33"/>
      <c r="N97" s="33"/>
      <c r="O97" s="33"/>
      <c r="P97" s="71"/>
      <c r="Q97" s="33"/>
      <c r="S97" s="33"/>
      <c r="T97" s="35"/>
      <c r="U97" s="33"/>
    </row>
    <row r="98" ht="15.75" customHeight="1">
      <c r="D98" s="33"/>
      <c r="H98" s="33"/>
      <c r="I98" s="33"/>
      <c r="J98" s="33"/>
      <c r="K98" s="33"/>
      <c r="L98" s="33"/>
      <c r="M98" s="33"/>
      <c r="N98" s="33"/>
      <c r="O98" s="33"/>
      <c r="P98" s="71"/>
      <c r="Q98" s="33"/>
      <c r="S98" s="33"/>
      <c r="T98" s="35"/>
      <c r="U98" s="33"/>
    </row>
    <row r="99" ht="15.75" customHeight="1">
      <c r="D99" s="33"/>
      <c r="H99" s="33"/>
      <c r="I99" s="33"/>
      <c r="J99" s="33"/>
      <c r="K99" s="33"/>
      <c r="L99" s="33"/>
      <c r="M99" s="33"/>
      <c r="N99" s="33"/>
      <c r="O99" s="33"/>
      <c r="P99" s="71"/>
      <c r="Q99" s="33"/>
      <c r="S99" s="33"/>
      <c r="T99" s="35"/>
      <c r="U99" s="33"/>
    </row>
    <row r="100" ht="15.75" customHeight="1">
      <c r="D100" s="33"/>
      <c r="H100" s="33"/>
      <c r="I100" s="33"/>
      <c r="J100" s="33"/>
      <c r="K100" s="33"/>
      <c r="L100" s="33"/>
      <c r="M100" s="33"/>
      <c r="N100" s="33"/>
      <c r="O100" s="33"/>
      <c r="P100" s="71"/>
      <c r="Q100" s="33"/>
      <c r="S100" s="33"/>
      <c r="T100" s="35"/>
      <c r="U100" s="33"/>
    </row>
    <row r="101" ht="15.75" customHeight="1">
      <c r="D101" s="33"/>
      <c r="H101" s="33"/>
      <c r="I101" s="33"/>
      <c r="J101" s="33"/>
      <c r="K101" s="33"/>
      <c r="L101" s="33"/>
      <c r="M101" s="33"/>
      <c r="N101" s="33"/>
      <c r="O101" s="33"/>
      <c r="P101" s="71"/>
      <c r="Q101" s="33"/>
      <c r="S101" s="33"/>
      <c r="T101" s="35"/>
      <c r="U101" s="33"/>
    </row>
    <row r="102" ht="15.75" customHeight="1">
      <c r="D102" s="33"/>
      <c r="H102" s="33"/>
      <c r="I102" s="33"/>
      <c r="J102" s="33"/>
      <c r="K102" s="33"/>
      <c r="L102" s="33"/>
      <c r="M102" s="33"/>
      <c r="N102" s="33"/>
      <c r="O102" s="33"/>
      <c r="P102" s="71"/>
      <c r="Q102" s="33"/>
      <c r="S102" s="33"/>
      <c r="T102" s="35"/>
      <c r="U102" s="33"/>
    </row>
    <row r="103" ht="15.75" customHeight="1">
      <c r="D103" s="33"/>
      <c r="H103" s="33"/>
      <c r="I103" s="33"/>
      <c r="J103" s="33"/>
      <c r="K103" s="33"/>
      <c r="L103" s="33"/>
      <c r="M103" s="33"/>
      <c r="N103" s="33"/>
      <c r="O103" s="33"/>
      <c r="P103" s="71"/>
      <c r="Q103" s="33"/>
      <c r="S103" s="33"/>
      <c r="T103" s="35"/>
      <c r="U103" s="33"/>
    </row>
    <row r="104" ht="15.75" customHeight="1">
      <c r="D104" s="33"/>
      <c r="H104" s="33"/>
      <c r="I104" s="33"/>
      <c r="J104" s="33"/>
      <c r="K104" s="33"/>
      <c r="L104" s="33"/>
      <c r="M104" s="33"/>
      <c r="N104" s="33"/>
      <c r="O104" s="33"/>
      <c r="P104" s="71"/>
      <c r="Q104" s="33"/>
      <c r="S104" s="33"/>
      <c r="T104" s="35"/>
      <c r="U104" s="33"/>
    </row>
    <row r="105" ht="15.75" customHeight="1">
      <c r="D105" s="33"/>
      <c r="H105" s="33"/>
      <c r="I105" s="33"/>
      <c r="J105" s="33"/>
      <c r="K105" s="33"/>
      <c r="L105" s="33"/>
      <c r="M105" s="33"/>
      <c r="N105" s="33"/>
      <c r="O105" s="33"/>
      <c r="P105" s="71"/>
      <c r="Q105" s="33"/>
      <c r="S105" s="33"/>
      <c r="T105" s="35"/>
      <c r="U105" s="33"/>
    </row>
    <row r="106" ht="15.75" customHeight="1">
      <c r="D106" s="33"/>
      <c r="H106" s="33"/>
      <c r="I106" s="33"/>
      <c r="J106" s="33"/>
      <c r="K106" s="33"/>
      <c r="L106" s="33"/>
      <c r="M106" s="33"/>
      <c r="N106" s="33"/>
      <c r="O106" s="33"/>
      <c r="P106" s="71"/>
      <c r="Q106" s="33"/>
      <c r="S106" s="33"/>
      <c r="T106" s="35"/>
      <c r="U106" s="33"/>
    </row>
    <row r="107" ht="15.75" customHeight="1">
      <c r="D107" s="33"/>
      <c r="H107" s="33"/>
      <c r="I107" s="33"/>
      <c r="J107" s="33"/>
      <c r="K107" s="33"/>
      <c r="L107" s="33"/>
      <c r="M107" s="33"/>
      <c r="N107" s="33"/>
      <c r="O107" s="33"/>
      <c r="P107" s="71"/>
      <c r="Q107" s="33"/>
      <c r="S107" s="33"/>
      <c r="T107" s="35"/>
      <c r="U107" s="33"/>
    </row>
    <row r="108" ht="15.75" customHeight="1">
      <c r="D108" s="33"/>
      <c r="H108" s="33"/>
      <c r="I108" s="33"/>
      <c r="J108" s="33"/>
      <c r="K108" s="33"/>
      <c r="L108" s="33"/>
      <c r="M108" s="33"/>
      <c r="N108" s="33"/>
      <c r="O108" s="33"/>
      <c r="P108" s="71"/>
      <c r="Q108" s="33"/>
      <c r="S108" s="33"/>
      <c r="T108" s="35"/>
      <c r="U108" s="33"/>
    </row>
    <row r="109" ht="15.75" customHeight="1">
      <c r="D109" s="33"/>
      <c r="H109" s="33"/>
      <c r="I109" s="33"/>
      <c r="J109" s="33"/>
      <c r="K109" s="33"/>
      <c r="L109" s="33"/>
      <c r="M109" s="33"/>
      <c r="N109" s="33"/>
      <c r="O109" s="33"/>
      <c r="P109" s="71"/>
      <c r="Q109" s="33"/>
      <c r="S109" s="33"/>
      <c r="T109" s="35"/>
      <c r="U109" s="33"/>
    </row>
    <row r="110" ht="15.75" customHeight="1">
      <c r="D110" s="33"/>
      <c r="H110" s="33"/>
      <c r="I110" s="33"/>
      <c r="J110" s="33"/>
      <c r="K110" s="33"/>
      <c r="L110" s="33"/>
      <c r="M110" s="33"/>
      <c r="N110" s="33"/>
      <c r="O110" s="33"/>
      <c r="P110" s="71"/>
      <c r="Q110" s="33"/>
      <c r="S110" s="33"/>
      <c r="T110" s="35"/>
      <c r="U110" s="33"/>
    </row>
    <row r="111" ht="15.75" customHeight="1">
      <c r="D111" s="33"/>
      <c r="H111" s="33"/>
      <c r="I111" s="33"/>
      <c r="J111" s="33"/>
      <c r="K111" s="33"/>
      <c r="L111" s="33"/>
      <c r="M111" s="33"/>
      <c r="N111" s="33"/>
      <c r="O111" s="33"/>
      <c r="P111" s="71"/>
      <c r="Q111" s="33"/>
      <c r="S111" s="33"/>
      <c r="T111" s="35"/>
      <c r="U111" s="33"/>
    </row>
    <row r="112" ht="15.75" customHeight="1">
      <c r="D112" s="33"/>
      <c r="H112" s="33"/>
      <c r="I112" s="33"/>
      <c r="J112" s="33"/>
      <c r="K112" s="33"/>
      <c r="L112" s="33"/>
      <c r="M112" s="33"/>
      <c r="N112" s="33"/>
      <c r="O112" s="33"/>
      <c r="P112" s="71"/>
      <c r="Q112" s="33"/>
      <c r="S112" s="33"/>
      <c r="T112" s="35"/>
      <c r="U112" s="33"/>
    </row>
    <row r="113" ht="15.75" customHeight="1">
      <c r="D113" s="33"/>
      <c r="H113" s="33"/>
      <c r="I113" s="33"/>
      <c r="J113" s="33"/>
      <c r="K113" s="33"/>
      <c r="L113" s="33"/>
      <c r="M113" s="33"/>
      <c r="N113" s="33"/>
      <c r="O113" s="33"/>
      <c r="P113" s="71"/>
      <c r="Q113" s="33"/>
      <c r="S113" s="33"/>
      <c r="T113" s="35"/>
      <c r="U113" s="33"/>
    </row>
    <row r="114" ht="15.75" customHeight="1">
      <c r="D114" s="33"/>
      <c r="H114" s="33"/>
      <c r="I114" s="33"/>
      <c r="J114" s="33"/>
      <c r="K114" s="33"/>
      <c r="L114" s="33"/>
      <c r="M114" s="33"/>
      <c r="N114" s="33"/>
      <c r="O114" s="33"/>
      <c r="P114" s="71"/>
      <c r="Q114" s="33"/>
      <c r="S114" s="33"/>
      <c r="T114" s="35"/>
      <c r="U114" s="33"/>
    </row>
    <row r="115" ht="15.75" customHeight="1">
      <c r="D115" s="33"/>
      <c r="H115" s="33"/>
      <c r="I115" s="33"/>
      <c r="J115" s="33"/>
      <c r="K115" s="33"/>
      <c r="L115" s="33"/>
      <c r="M115" s="33"/>
      <c r="N115" s="33"/>
      <c r="O115" s="33"/>
      <c r="P115" s="71"/>
      <c r="Q115" s="33"/>
      <c r="S115" s="33"/>
      <c r="T115" s="35"/>
      <c r="U115" s="33"/>
    </row>
    <row r="116" ht="15.75" customHeight="1">
      <c r="D116" s="33"/>
      <c r="H116" s="33"/>
      <c r="I116" s="33"/>
      <c r="J116" s="33"/>
      <c r="K116" s="33"/>
      <c r="L116" s="33"/>
      <c r="M116" s="33"/>
      <c r="N116" s="33"/>
      <c r="O116" s="33"/>
      <c r="P116" s="71"/>
      <c r="Q116" s="33"/>
      <c r="S116" s="33"/>
      <c r="T116" s="35"/>
      <c r="U116" s="33"/>
    </row>
    <row r="117" ht="15.75" customHeight="1">
      <c r="D117" s="33"/>
      <c r="H117" s="33"/>
      <c r="I117" s="33"/>
      <c r="J117" s="33"/>
      <c r="K117" s="33"/>
      <c r="L117" s="33"/>
      <c r="M117" s="33"/>
      <c r="N117" s="33"/>
      <c r="O117" s="33"/>
      <c r="P117" s="71"/>
      <c r="Q117" s="33"/>
      <c r="S117" s="33"/>
      <c r="T117" s="35"/>
      <c r="U117" s="33"/>
    </row>
    <row r="118" ht="15.75" customHeight="1">
      <c r="D118" s="33"/>
      <c r="H118" s="33"/>
      <c r="I118" s="33"/>
      <c r="J118" s="33"/>
      <c r="K118" s="33"/>
      <c r="L118" s="33"/>
      <c r="M118" s="33"/>
      <c r="N118" s="33"/>
      <c r="O118" s="33"/>
      <c r="P118" s="71"/>
      <c r="Q118" s="33"/>
      <c r="S118" s="33"/>
      <c r="T118" s="35"/>
      <c r="U118" s="33"/>
    </row>
    <row r="119" ht="15.75" customHeight="1">
      <c r="D119" s="33"/>
      <c r="H119" s="33"/>
      <c r="I119" s="33"/>
      <c r="J119" s="33"/>
      <c r="K119" s="33"/>
      <c r="L119" s="33"/>
      <c r="M119" s="33"/>
      <c r="N119" s="33"/>
      <c r="O119" s="33"/>
      <c r="P119" s="71"/>
      <c r="Q119" s="33"/>
      <c r="S119" s="33"/>
      <c r="T119" s="35"/>
      <c r="U119" s="33"/>
    </row>
    <row r="120" ht="15.75" customHeight="1">
      <c r="D120" s="33"/>
      <c r="H120" s="33"/>
      <c r="I120" s="33"/>
      <c r="J120" s="33"/>
      <c r="K120" s="33"/>
      <c r="L120" s="33"/>
      <c r="M120" s="33"/>
      <c r="N120" s="33"/>
      <c r="O120" s="33"/>
      <c r="P120" s="71"/>
      <c r="Q120" s="33"/>
      <c r="S120" s="33"/>
      <c r="T120" s="35"/>
      <c r="U120" s="33"/>
    </row>
    <row r="121" ht="15.75" customHeight="1">
      <c r="D121" s="33"/>
      <c r="H121" s="33"/>
      <c r="I121" s="33"/>
      <c r="J121" s="33"/>
      <c r="K121" s="33"/>
      <c r="L121" s="33"/>
      <c r="M121" s="33"/>
      <c r="N121" s="33"/>
      <c r="O121" s="33"/>
      <c r="P121" s="71"/>
      <c r="Q121" s="33"/>
      <c r="S121" s="33"/>
      <c r="T121" s="35"/>
      <c r="U121" s="33"/>
    </row>
    <row r="122" ht="15.75" customHeight="1">
      <c r="D122" s="33"/>
      <c r="H122" s="33"/>
      <c r="I122" s="33"/>
      <c r="J122" s="33"/>
      <c r="K122" s="33"/>
      <c r="L122" s="33"/>
      <c r="M122" s="33"/>
      <c r="N122" s="33"/>
      <c r="O122" s="33"/>
      <c r="P122" s="71"/>
      <c r="Q122" s="33"/>
      <c r="S122" s="33"/>
      <c r="T122" s="35"/>
      <c r="U122" s="33"/>
    </row>
    <row r="123" ht="15.75" customHeight="1">
      <c r="D123" s="33"/>
      <c r="H123" s="33"/>
      <c r="I123" s="33"/>
      <c r="J123" s="33"/>
      <c r="K123" s="33"/>
      <c r="L123" s="33"/>
      <c r="M123" s="33"/>
      <c r="N123" s="33"/>
      <c r="O123" s="33"/>
      <c r="P123" s="71"/>
      <c r="Q123" s="33"/>
      <c r="S123" s="33"/>
      <c r="T123" s="35"/>
      <c r="U123" s="33"/>
    </row>
    <row r="124" ht="15.75" customHeight="1">
      <c r="D124" s="33"/>
      <c r="H124" s="33"/>
      <c r="I124" s="33"/>
      <c r="J124" s="33"/>
      <c r="K124" s="33"/>
      <c r="L124" s="33"/>
      <c r="M124" s="33"/>
      <c r="N124" s="33"/>
      <c r="O124" s="33"/>
      <c r="P124" s="71"/>
      <c r="Q124" s="33"/>
      <c r="S124" s="33"/>
      <c r="T124" s="35"/>
      <c r="U124" s="33"/>
    </row>
    <row r="125" ht="15.75" customHeight="1">
      <c r="D125" s="33"/>
      <c r="H125" s="33"/>
      <c r="I125" s="33"/>
      <c r="J125" s="33"/>
      <c r="K125" s="33"/>
      <c r="L125" s="33"/>
      <c r="M125" s="33"/>
      <c r="N125" s="33"/>
      <c r="O125" s="33"/>
      <c r="P125" s="71"/>
      <c r="Q125" s="33"/>
      <c r="S125" s="33"/>
      <c r="T125" s="35"/>
      <c r="U125" s="33"/>
    </row>
    <row r="126" ht="15.75" customHeight="1">
      <c r="D126" s="33"/>
      <c r="H126" s="33"/>
      <c r="I126" s="33"/>
      <c r="J126" s="33"/>
      <c r="K126" s="33"/>
      <c r="L126" s="33"/>
      <c r="M126" s="33"/>
      <c r="N126" s="33"/>
      <c r="O126" s="33"/>
      <c r="P126" s="71"/>
      <c r="Q126" s="33"/>
      <c r="S126" s="33"/>
      <c r="T126" s="35"/>
      <c r="U126" s="33"/>
    </row>
    <row r="127" ht="15.75" customHeight="1">
      <c r="D127" s="33"/>
      <c r="H127" s="33"/>
      <c r="I127" s="33"/>
      <c r="J127" s="33"/>
      <c r="K127" s="33"/>
      <c r="L127" s="33"/>
      <c r="M127" s="33"/>
      <c r="N127" s="33"/>
      <c r="O127" s="33"/>
      <c r="P127" s="71"/>
      <c r="Q127" s="33"/>
      <c r="S127" s="33"/>
      <c r="T127" s="35"/>
      <c r="U127" s="33"/>
    </row>
    <row r="128" ht="15.75" customHeight="1">
      <c r="D128" s="33"/>
      <c r="H128" s="33"/>
      <c r="I128" s="33"/>
      <c r="J128" s="33"/>
      <c r="K128" s="33"/>
      <c r="L128" s="33"/>
      <c r="M128" s="33"/>
      <c r="N128" s="33"/>
      <c r="O128" s="33"/>
      <c r="P128" s="71"/>
      <c r="Q128" s="33"/>
      <c r="S128" s="33"/>
      <c r="T128" s="35"/>
      <c r="U128" s="33"/>
    </row>
    <row r="129" ht="15.75" customHeight="1">
      <c r="D129" s="33"/>
      <c r="H129" s="33"/>
      <c r="I129" s="33"/>
      <c r="J129" s="33"/>
      <c r="K129" s="33"/>
      <c r="L129" s="33"/>
      <c r="M129" s="33"/>
      <c r="N129" s="33"/>
      <c r="O129" s="33"/>
      <c r="P129" s="71"/>
      <c r="Q129" s="33"/>
      <c r="S129" s="33"/>
      <c r="T129" s="35"/>
      <c r="U129" s="33"/>
    </row>
    <row r="130" ht="15.75" customHeight="1">
      <c r="D130" s="33"/>
      <c r="H130" s="33"/>
      <c r="I130" s="33"/>
      <c r="J130" s="33"/>
      <c r="K130" s="33"/>
      <c r="L130" s="33"/>
      <c r="M130" s="33"/>
      <c r="N130" s="33"/>
      <c r="O130" s="33"/>
      <c r="P130" s="71"/>
      <c r="Q130" s="33"/>
      <c r="S130" s="33"/>
      <c r="T130" s="35"/>
      <c r="U130" s="33"/>
    </row>
    <row r="131" ht="15.75" customHeight="1">
      <c r="D131" s="33"/>
      <c r="H131" s="33"/>
      <c r="I131" s="33"/>
      <c r="J131" s="33"/>
      <c r="K131" s="33"/>
      <c r="L131" s="33"/>
      <c r="M131" s="33"/>
      <c r="N131" s="33"/>
      <c r="O131" s="33"/>
      <c r="P131" s="71"/>
      <c r="Q131" s="33"/>
      <c r="S131" s="33"/>
      <c r="T131" s="35"/>
      <c r="U131" s="33"/>
    </row>
    <row r="132" ht="15.75" customHeight="1">
      <c r="D132" s="33"/>
      <c r="H132" s="33"/>
      <c r="I132" s="33"/>
      <c r="J132" s="33"/>
      <c r="K132" s="33"/>
      <c r="L132" s="33"/>
      <c r="M132" s="33"/>
      <c r="N132" s="33"/>
      <c r="O132" s="33"/>
      <c r="P132" s="71"/>
      <c r="Q132" s="33"/>
      <c r="S132" s="33"/>
      <c r="T132" s="35"/>
      <c r="U132" s="33"/>
    </row>
    <row r="133" ht="15.75" customHeight="1">
      <c r="D133" s="33"/>
      <c r="H133" s="33"/>
      <c r="I133" s="33"/>
      <c r="J133" s="33"/>
      <c r="K133" s="33"/>
      <c r="L133" s="33"/>
      <c r="M133" s="33"/>
      <c r="N133" s="33"/>
      <c r="O133" s="33"/>
      <c r="P133" s="71"/>
      <c r="Q133" s="33"/>
      <c r="S133" s="33"/>
      <c r="T133" s="35"/>
      <c r="U133" s="33"/>
    </row>
    <row r="134" ht="15.75" customHeight="1">
      <c r="D134" s="33"/>
      <c r="H134" s="33"/>
      <c r="I134" s="33"/>
      <c r="J134" s="33"/>
      <c r="K134" s="33"/>
      <c r="L134" s="33"/>
      <c r="M134" s="33"/>
      <c r="N134" s="33"/>
      <c r="O134" s="33"/>
      <c r="P134" s="71"/>
      <c r="Q134" s="33"/>
      <c r="S134" s="33"/>
      <c r="T134" s="35"/>
      <c r="U134" s="33"/>
    </row>
    <row r="135" ht="15.75" customHeight="1">
      <c r="D135" s="33"/>
      <c r="H135" s="33"/>
      <c r="I135" s="33"/>
      <c r="J135" s="33"/>
      <c r="K135" s="33"/>
      <c r="L135" s="33"/>
      <c r="M135" s="33"/>
      <c r="N135" s="33"/>
      <c r="O135" s="33"/>
      <c r="P135" s="71"/>
      <c r="Q135" s="33"/>
      <c r="S135" s="33"/>
      <c r="T135" s="35"/>
      <c r="U135" s="33"/>
    </row>
    <row r="136" ht="15.75" customHeight="1">
      <c r="D136" s="33"/>
      <c r="H136" s="33"/>
      <c r="I136" s="33"/>
      <c r="J136" s="33"/>
      <c r="K136" s="33"/>
      <c r="L136" s="33"/>
      <c r="M136" s="33"/>
      <c r="N136" s="33"/>
      <c r="O136" s="33"/>
      <c r="P136" s="71"/>
      <c r="Q136" s="33"/>
      <c r="S136" s="33"/>
      <c r="T136" s="35"/>
      <c r="U136" s="33"/>
    </row>
    <row r="137" ht="15.75" customHeight="1">
      <c r="D137" s="33"/>
      <c r="H137" s="33"/>
      <c r="I137" s="33"/>
      <c r="J137" s="33"/>
      <c r="K137" s="33"/>
      <c r="L137" s="33"/>
      <c r="M137" s="33"/>
      <c r="N137" s="33"/>
      <c r="O137" s="33"/>
      <c r="P137" s="71"/>
      <c r="Q137" s="33"/>
      <c r="S137" s="33"/>
      <c r="T137" s="35"/>
      <c r="U137" s="33"/>
    </row>
    <row r="138" ht="15.75" customHeight="1">
      <c r="D138" s="33"/>
      <c r="H138" s="33"/>
      <c r="I138" s="33"/>
      <c r="J138" s="33"/>
      <c r="K138" s="33"/>
      <c r="L138" s="33"/>
      <c r="M138" s="33"/>
      <c r="N138" s="33"/>
      <c r="O138" s="33"/>
      <c r="P138" s="71"/>
      <c r="Q138" s="33"/>
      <c r="S138" s="33"/>
      <c r="T138" s="35"/>
      <c r="U138" s="33"/>
    </row>
    <row r="139" ht="15.75" customHeight="1">
      <c r="D139" s="33"/>
      <c r="H139" s="33"/>
      <c r="I139" s="33"/>
      <c r="J139" s="33"/>
      <c r="K139" s="33"/>
      <c r="L139" s="33"/>
      <c r="M139" s="33"/>
      <c r="N139" s="33"/>
      <c r="O139" s="33"/>
      <c r="P139" s="71"/>
      <c r="Q139" s="33"/>
      <c r="S139" s="33"/>
      <c r="T139" s="35"/>
      <c r="U139" s="33"/>
    </row>
    <row r="140" ht="15.75" customHeight="1">
      <c r="D140" s="33"/>
      <c r="H140" s="33"/>
      <c r="I140" s="33"/>
      <c r="J140" s="33"/>
      <c r="K140" s="33"/>
      <c r="L140" s="33"/>
      <c r="M140" s="33"/>
      <c r="N140" s="33"/>
      <c r="O140" s="33"/>
      <c r="P140" s="71"/>
      <c r="Q140" s="33"/>
      <c r="S140" s="33"/>
      <c r="T140" s="35"/>
      <c r="U140" s="33"/>
    </row>
    <row r="141" ht="15.75" customHeight="1">
      <c r="D141" s="33"/>
      <c r="H141" s="33"/>
      <c r="I141" s="33"/>
      <c r="J141" s="33"/>
      <c r="K141" s="33"/>
      <c r="L141" s="33"/>
      <c r="M141" s="33"/>
      <c r="N141" s="33"/>
      <c r="O141" s="33"/>
      <c r="P141" s="71"/>
      <c r="Q141" s="33"/>
      <c r="S141" s="33"/>
      <c r="T141" s="35"/>
      <c r="U141" s="33"/>
    </row>
    <row r="142" ht="15.75" customHeight="1">
      <c r="D142" s="33"/>
      <c r="H142" s="33"/>
      <c r="I142" s="33"/>
      <c r="J142" s="33"/>
      <c r="K142" s="33"/>
      <c r="L142" s="33"/>
      <c r="M142" s="33"/>
      <c r="N142" s="33"/>
      <c r="O142" s="33"/>
      <c r="P142" s="71"/>
      <c r="Q142" s="33"/>
      <c r="S142" s="33"/>
      <c r="T142" s="35"/>
      <c r="U142" s="33"/>
    </row>
    <row r="143" ht="15.75" customHeight="1">
      <c r="D143" s="33"/>
      <c r="H143" s="33"/>
      <c r="I143" s="33"/>
      <c r="J143" s="33"/>
      <c r="K143" s="33"/>
      <c r="L143" s="33"/>
      <c r="M143" s="33"/>
      <c r="N143" s="33"/>
      <c r="O143" s="33"/>
      <c r="P143" s="71"/>
      <c r="Q143" s="33"/>
      <c r="S143" s="33"/>
      <c r="T143" s="35"/>
      <c r="U143" s="33"/>
    </row>
    <row r="144" ht="15.75" customHeight="1">
      <c r="D144" s="33"/>
      <c r="H144" s="33"/>
      <c r="I144" s="33"/>
      <c r="J144" s="33"/>
      <c r="K144" s="33"/>
      <c r="L144" s="33"/>
      <c r="M144" s="33"/>
      <c r="N144" s="33"/>
      <c r="O144" s="33"/>
      <c r="P144" s="71"/>
      <c r="Q144" s="33"/>
      <c r="S144" s="33"/>
      <c r="T144" s="35"/>
      <c r="U144" s="33"/>
    </row>
    <row r="145" ht="15.75" customHeight="1">
      <c r="D145" s="33"/>
      <c r="H145" s="33"/>
      <c r="I145" s="33"/>
      <c r="J145" s="33"/>
      <c r="K145" s="33"/>
      <c r="L145" s="33"/>
      <c r="M145" s="33"/>
      <c r="N145" s="33"/>
      <c r="O145" s="33"/>
      <c r="P145" s="71"/>
      <c r="Q145" s="33"/>
      <c r="S145" s="33"/>
      <c r="T145" s="35"/>
      <c r="U145" s="33"/>
    </row>
    <row r="146" ht="15.75" customHeight="1">
      <c r="D146" s="33"/>
      <c r="H146" s="33"/>
      <c r="I146" s="33"/>
      <c r="J146" s="33"/>
      <c r="K146" s="33"/>
      <c r="L146" s="33"/>
      <c r="M146" s="33"/>
      <c r="N146" s="33"/>
      <c r="O146" s="33"/>
      <c r="P146" s="71"/>
      <c r="Q146" s="33"/>
      <c r="S146" s="33"/>
      <c r="T146" s="35"/>
      <c r="U146" s="33"/>
    </row>
    <row r="147" ht="15.75" customHeight="1">
      <c r="D147" s="33"/>
      <c r="H147" s="33"/>
      <c r="I147" s="33"/>
      <c r="J147" s="33"/>
      <c r="K147" s="33"/>
      <c r="L147" s="33"/>
      <c r="M147" s="33"/>
      <c r="N147" s="33"/>
      <c r="O147" s="33"/>
      <c r="P147" s="71"/>
      <c r="Q147" s="33"/>
      <c r="S147" s="33"/>
      <c r="T147" s="35"/>
      <c r="U147" s="33"/>
    </row>
    <row r="148" ht="15.75" customHeight="1">
      <c r="D148" s="33"/>
      <c r="H148" s="33"/>
      <c r="I148" s="33"/>
      <c r="J148" s="33"/>
      <c r="K148" s="33"/>
      <c r="L148" s="33"/>
      <c r="M148" s="33"/>
      <c r="N148" s="33"/>
      <c r="O148" s="33"/>
      <c r="P148" s="71"/>
      <c r="Q148" s="33"/>
      <c r="S148" s="33"/>
      <c r="T148" s="35"/>
      <c r="U148" s="33"/>
    </row>
    <row r="149" ht="15.75" customHeight="1">
      <c r="D149" s="33"/>
      <c r="H149" s="33"/>
      <c r="I149" s="33"/>
      <c r="J149" s="33"/>
      <c r="K149" s="33"/>
      <c r="L149" s="33"/>
      <c r="M149" s="33"/>
      <c r="N149" s="33"/>
      <c r="O149" s="33"/>
      <c r="P149" s="71"/>
      <c r="Q149" s="33"/>
      <c r="S149" s="33"/>
      <c r="T149" s="35"/>
      <c r="U149" s="33"/>
    </row>
    <row r="150" ht="15.75" customHeight="1">
      <c r="D150" s="33"/>
      <c r="H150" s="33"/>
      <c r="I150" s="33"/>
      <c r="J150" s="33"/>
      <c r="K150" s="33"/>
      <c r="L150" s="33"/>
      <c r="M150" s="33"/>
      <c r="N150" s="33"/>
      <c r="O150" s="33"/>
      <c r="P150" s="71"/>
      <c r="Q150" s="33"/>
      <c r="S150" s="33"/>
      <c r="T150" s="35"/>
      <c r="U150" s="33"/>
    </row>
    <row r="151" ht="15.75" customHeight="1">
      <c r="D151" s="33"/>
      <c r="H151" s="33"/>
      <c r="I151" s="33"/>
      <c r="J151" s="33"/>
      <c r="K151" s="33"/>
      <c r="L151" s="33"/>
      <c r="M151" s="33"/>
      <c r="N151" s="33"/>
      <c r="O151" s="33"/>
      <c r="P151" s="71"/>
      <c r="Q151" s="33"/>
      <c r="S151" s="33"/>
      <c r="T151" s="35"/>
      <c r="U151" s="33"/>
    </row>
    <row r="152" ht="15.75" customHeight="1">
      <c r="D152" s="33"/>
      <c r="H152" s="33"/>
      <c r="I152" s="33"/>
      <c r="J152" s="33"/>
      <c r="K152" s="33"/>
      <c r="L152" s="33"/>
      <c r="M152" s="33"/>
      <c r="N152" s="33"/>
      <c r="O152" s="33"/>
      <c r="P152" s="71"/>
      <c r="Q152" s="33"/>
      <c r="S152" s="33"/>
      <c r="T152" s="35"/>
      <c r="U152" s="33"/>
    </row>
    <row r="153" ht="15.75" customHeight="1">
      <c r="D153" s="33"/>
      <c r="H153" s="33"/>
      <c r="I153" s="33"/>
      <c r="J153" s="33"/>
      <c r="K153" s="33"/>
      <c r="L153" s="33"/>
      <c r="M153" s="33"/>
      <c r="N153" s="33"/>
      <c r="O153" s="33"/>
      <c r="P153" s="71"/>
      <c r="Q153" s="33"/>
      <c r="S153" s="33"/>
      <c r="T153" s="35"/>
      <c r="U153" s="33"/>
    </row>
    <row r="154" ht="15.75" customHeight="1">
      <c r="D154" s="33"/>
      <c r="H154" s="33"/>
      <c r="I154" s="33"/>
      <c r="J154" s="33"/>
      <c r="K154" s="33"/>
      <c r="L154" s="33"/>
      <c r="M154" s="33"/>
      <c r="N154" s="33"/>
      <c r="O154" s="33"/>
      <c r="P154" s="71"/>
      <c r="Q154" s="33"/>
      <c r="S154" s="33"/>
      <c r="T154" s="35"/>
      <c r="U154" s="33"/>
    </row>
    <row r="155" ht="15.75" customHeight="1">
      <c r="D155" s="33"/>
      <c r="H155" s="33"/>
      <c r="I155" s="33"/>
      <c r="J155" s="33"/>
      <c r="K155" s="33"/>
      <c r="L155" s="33"/>
      <c r="M155" s="33"/>
      <c r="N155" s="33"/>
      <c r="O155" s="33"/>
      <c r="P155" s="71"/>
      <c r="Q155" s="33"/>
      <c r="S155" s="33"/>
      <c r="T155" s="35"/>
      <c r="U155" s="33"/>
    </row>
    <row r="156" ht="15.75" customHeight="1">
      <c r="D156" s="33"/>
      <c r="H156" s="33"/>
      <c r="I156" s="33"/>
      <c r="J156" s="33"/>
      <c r="K156" s="33"/>
      <c r="L156" s="33"/>
      <c r="M156" s="33"/>
      <c r="N156" s="33"/>
      <c r="O156" s="33"/>
      <c r="P156" s="71"/>
      <c r="Q156" s="33"/>
      <c r="S156" s="33"/>
      <c r="T156" s="35"/>
      <c r="U156" s="33"/>
    </row>
    <row r="157" ht="15.75" customHeight="1">
      <c r="D157" s="33"/>
      <c r="H157" s="33"/>
      <c r="I157" s="33"/>
      <c r="J157" s="33"/>
      <c r="K157" s="33"/>
      <c r="L157" s="33"/>
      <c r="M157" s="33"/>
      <c r="N157" s="33"/>
      <c r="O157" s="33"/>
      <c r="P157" s="71"/>
      <c r="Q157" s="33"/>
      <c r="S157" s="33"/>
      <c r="T157" s="35"/>
      <c r="U157" s="33"/>
    </row>
    <row r="158" ht="15.75" customHeight="1">
      <c r="D158" s="33"/>
      <c r="H158" s="33"/>
      <c r="I158" s="33"/>
      <c r="J158" s="33"/>
      <c r="K158" s="33"/>
      <c r="L158" s="33"/>
      <c r="M158" s="33"/>
      <c r="N158" s="33"/>
      <c r="O158" s="33"/>
      <c r="P158" s="71"/>
      <c r="Q158" s="33"/>
      <c r="S158" s="33"/>
      <c r="T158" s="35"/>
      <c r="U158" s="33"/>
    </row>
    <row r="159" ht="15.75" customHeight="1">
      <c r="D159" s="33"/>
      <c r="H159" s="33"/>
      <c r="I159" s="33"/>
      <c r="J159" s="33"/>
      <c r="K159" s="33"/>
      <c r="L159" s="33"/>
      <c r="M159" s="33"/>
      <c r="N159" s="33"/>
      <c r="O159" s="33"/>
      <c r="P159" s="71"/>
      <c r="Q159" s="33"/>
      <c r="S159" s="33"/>
      <c r="T159" s="35"/>
      <c r="U159" s="33"/>
    </row>
    <row r="160" ht="15.75" customHeight="1">
      <c r="D160" s="33"/>
      <c r="H160" s="33"/>
      <c r="I160" s="33"/>
      <c r="J160" s="33"/>
      <c r="K160" s="33"/>
      <c r="L160" s="33"/>
      <c r="M160" s="33"/>
      <c r="N160" s="33"/>
      <c r="O160" s="33"/>
      <c r="P160" s="71"/>
      <c r="Q160" s="33"/>
      <c r="S160" s="33"/>
      <c r="T160" s="35"/>
      <c r="U160" s="33"/>
    </row>
    <row r="161" ht="15.75" customHeight="1">
      <c r="D161" s="33"/>
      <c r="H161" s="33"/>
      <c r="I161" s="33"/>
      <c r="J161" s="33"/>
      <c r="K161" s="33"/>
      <c r="L161" s="33"/>
      <c r="M161" s="33"/>
      <c r="N161" s="33"/>
      <c r="O161" s="33"/>
      <c r="P161" s="71"/>
      <c r="Q161" s="33"/>
      <c r="S161" s="33"/>
      <c r="T161" s="35"/>
      <c r="U161" s="33"/>
    </row>
    <row r="162" ht="15.75" customHeight="1">
      <c r="D162" s="33"/>
      <c r="H162" s="33"/>
      <c r="I162" s="33"/>
      <c r="J162" s="33"/>
      <c r="K162" s="33"/>
      <c r="L162" s="33"/>
      <c r="M162" s="33"/>
      <c r="N162" s="33"/>
      <c r="O162" s="33"/>
      <c r="P162" s="71"/>
      <c r="Q162" s="33"/>
      <c r="S162" s="33"/>
      <c r="T162" s="35"/>
      <c r="U162" s="33"/>
    </row>
    <row r="163" ht="15.75" customHeight="1">
      <c r="D163" s="33"/>
      <c r="H163" s="33"/>
      <c r="I163" s="33"/>
      <c r="J163" s="33"/>
      <c r="K163" s="33"/>
      <c r="L163" s="33"/>
      <c r="M163" s="33"/>
      <c r="N163" s="33"/>
      <c r="O163" s="33"/>
      <c r="P163" s="71"/>
      <c r="Q163" s="33"/>
      <c r="S163" s="33"/>
      <c r="T163" s="35"/>
      <c r="U163" s="33"/>
    </row>
    <row r="164" ht="15.75" customHeight="1">
      <c r="D164" s="33"/>
      <c r="H164" s="33"/>
      <c r="I164" s="33"/>
      <c r="J164" s="33"/>
      <c r="K164" s="33"/>
      <c r="L164" s="33"/>
      <c r="M164" s="33"/>
      <c r="N164" s="33"/>
      <c r="O164" s="33"/>
      <c r="P164" s="71"/>
      <c r="Q164" s="33"/>
      <c r="S164" s="33"/>
      <c r="T164" s="35"/>
      <c r="U164" s="33"/>
    </row>
    <row r="165" ht="15.75" customHeight="1">
      <c r="D165" s="33"/>
      <c r="H165" s="33"/>
      <c r="I165" s="33"/>
      <c r="J165" s="33"/>
      <c r="K165" s="33"/>
      <c r="L165" s="33"/>
      <c r="M165" s="33"/>
      <c r="N165" s="33"/>
      <c r="O165" s="33"/>
      <c r="P165" s="71"/>
      <c r="Q165" s="33"/>
      <c r="S165" s="33"/>
      <c r="T165" s="35"/>
      <c r="U165" s="33"/>
    </row>
    <row r="166" ht="15.75" customHeight="1">
      <c r="D166" s="33"/>
      <c r="H166" s="33"/>
      <c r="I166" s="33"/>
      <c r="J166" s="33"/>
      <c r="K166" s="33"/>
      <c r="L166" s="33"/>
      <c r="M166" s="33"/>
      <c r="N166" s="33"/>
      <c r="O166" s="33"/>
      <c r="P166" s="71"/>
      <c r="Q166" s="33"/>
      <c r="S166" s="33"/>
      <c r="T166" s="35"/>
      <c r="U166" s="33"/>
    </row>
    <row r="167" ht="15.75" customHeight="1">
      <c r="D167" s="33"/>
      <c r="H167" s="33"/>
      <c r="I167" s="33"/>
      <c r="J167" s="33"/>
      <c r="K167" s="33"/>
      <c r="L167" s="33"/>
      <c r="M167" s="33"/>
      <c r="N167" s="33"/>
      <c r="O167" s="33"/>
      <c r="P167" s="71"/>
      <c r="Q167" s="33"/>
      <c r="S167" s="33"/>
      <c r="T167" s="35"/>
      <c r="U167" s="33"/>
    </row>
    <row r="168" ht="15.75" customHeight="1">
      <c r="D168" s="33"/>
      <c r="H168" s="33"/>
      <c r="I168" s="33"/>
      <c r="J168" s="33"/>
      <c r="K168" s="33"/>
      <c r="L168" s="33"/>
      <c r="M168" s="33"/>
      <c r="N168" s="33"/>
      <c r="O168" s="33"/>
      <c r="P168" s="71"/>
      <c r="Q168" s="33"/>
      <c r="S168" s="33"/>
      <c r="T168" s="35"/>
      <c r="U168" s="33"/>
    </row>
    <row r="169" ht="15.75" customHeight="1">
      <c r="D169" s="33"/>
      <c r="H169" s="33"/>
      <c r="I169" s="33"/>
      <c r="J169" s="33"/>
      <c r="K169" s="33"/>
      <c r="L169" s="33"/>
      <c r="M169" s="33"/>
      <c r="N169" s="33"/>
      <c r="O169" s="33"/>
      <c r="P169" s="71"/>
      <c r="Q169" s="33"/>
      <c r="S169" s="33"/>
      <c r="T169" s="35"/>
      <c r="U169" s="33"/>
    </row>
    <row r="170" ht="15.75" customHeight="1">
      <c r="D170" s="33"/>
      <c r="H170" s="33"/>
      <c r="I170" s="33"/>
      <c r="J170" s="33"/>
      <c r="K170" s="33"/>
      <c r="L170" s="33"/>
      <c r="M170" s="33"/>
      <c r="N170" s="33"/>
      <c r="O170" s="33"/>
      <c r="P170" s="71"/>
      <c r="Q170" s="33"/>
      <c r="S170" s="33"/>
      <c r="T170" s="35"/>
      <c r="U170" s="33"/>
    </row>
    <row r="171" ht="15.75" customHeight="1">
      <c r="D171" s="33"/>
      <c r="H171" s="33"/>
      <c r="I171" s="33"/>
      <c r="J171" s="33"/>
      <c r="K171" s="33"/>
      <c r="L171" s="33"/>
      <c r="M171" s="33"/>
      <c r="N171" s="33"/>
      <c r="O171" s="33"/>
      <c r="P171" s="71"/>
      <c r="Q171" s="33"/>
      <c r="S171" s="33"/>
      <c r="T171" s="35"/>
      <c r="U171" s="33"/>
    </row>
    <row r="172" ht="15.75" customHeight="1">
      <c r="D172" s="33"/>
      <c r="H172" s="33"/>
      <c r="I172" s="33"/>
      <c r="J172" s="33"/>
      <c r="K172" s="33"/>
      <c r="L172" s="33"/>
      <c r="M172" s="33"/>
      <c r="N172" s="33"/>
      <c r="O172" s="33"/>
      <c r="P172" s="71"/>
      <c r="Q172" s="33"/>
      <c r="S172" s="33"/>
      <c r="T172" s="35"/>
      <c r="U172" s="33"/>
    </row>
    <row r="173" ht="15.75" customHeight="1">
      <c r="D173" s="33"/>
      <c r="H173" s="33"/>
      <c r="I173" s="33"/>
      <c r="J173" s="33"/>
      <c r="K173" s="33"/>
      <c r="L173" s="33"/>
      <c r="M173" s="33"/>
      <c r="N173" s="33"/>
      <c r="O173" s="33"/>
      <c r="P173" s="71"/>
      <c r="Q173" s="33"/>
      <c r="S173" s="33"/>
      <c r="T173" s="35"/>
      <c r="U173" s="33"/>
    </row>
    <row r="174" ht="15.75" customHeight="1">
      <c r="D174" s="33"/>
      <c r="H174" s="33"/>
      <c r="I174" s="33"/>
      <c r="J174" s="33"/>
      <c r="K174" s="33"/>
      <c r="L174" s="33"/>
      <c r="M174" s="33"/>
      <c r="N174" s="33"/>
      <c r="O174" s="33"/>
      <c r="P174" s="71"/>
      <c r="Q174" s="33"/>
      <c r="S174" s="33"/>
      <c r="T174" s="35"/>
      <c r="U174" s="33"/>
    </row>
    <row r="175" ht="15.75" customHeight="1">
      <c r="D175" s="33"/>
      <c r="H175" s="33"/>
      <c r="I175" s="33"/>
      <c r="J175" s="33"/>
      <c r="K175" s="33"/>
      <c r="L175" s="33"/>
      <c r="M175" s="33"/>
      <c r="N175" s="33"/>
      <c r="O175" s="33"/>
      <c r="P175" s="71"/>
      <c r="Q175" s="33"/>
      <c r="S175" s="33"/>
      <c r="T175" s="35"/>
      <c r="U175" s="33"/>
    </row>
    <row r="176" ht="15.75" customHeight="1">
      <c r="D176" s="33"/>
      <c r="H176" s="33"/>
      <c r="I176" s="33"/>
      <c r="J176" s="33"/>
      <c r="K176" s="33"/>
      <c r="L176" s="33"/>
      <c r="M176" s="33"/>
      <c r="N176" s="33"/>
      <c r="O176" s="33"/>
      <c r="P176" s="71"/>
      <c r="Q176" s="33"/>
      <c r="S176" s="33"/>
      <c r="T176" s="35"/>
      <c r="U176" s="33"/>
    </row>
    <row r="177" ht="15.75" customHeight="1">
      <c r="D177" s="33"/>
      <c r="H177" s="33"/>
      <c r="I177" s="33"/>
      <c r="J177" s="33"/>
      <c r="K177" s="33"/>
      <c r="L177" s="33"/>
      <c r="M177" s="33"/>
      <c r="N177" s="33"/>
      <c r="O177" s="33"/>
      <c r="P177" s="71"/>
      <c r="Q177" s="33"/>
      <c r="S177" s="33"/>
      <c r="T177" s="35"/>
      <c r="U177" s="33"/>
    </row>
    <row r="178" ht="15.75" customHeight="1">
      <c r="D178" s="33"/>
      <c r="H178" s="33"/>
      <c r="I178" s="33"/>
      <c r="J178" s="33"/>
      <c r="K178" s="33"/>
      <c r="L178" s="33"/>
      <c r="M178" s="33"/>
      <c r="N178" s="33"/>
      <c r="O178" s="33"/>
      <c r="P178" s="71"/>
      <c r="Q178" s="33"/>
      <c r="S178" s="33"/>
      <c r="T178" s="35"/>
      <c r="U178" s="33"/>
    </row>
    <row r="179" ht="15.75" customHeight="1">
      <c r="D179" s="33"/>
      <c r="H179" s="33"/>
      <c r="I179" s="33"/>
      <c r="J179" s="33"/>
      <c r="K179" s="33"/>
      <c r="L179" s="33"/>
      <c r="M179" s="33"/>
      <c r="N179" s="33"/>
      <c r="O179" s="33"/>
      <c r="P179" s="71"/>
      <c r="Q179" s="33"/>
      <c r="S179" s="33"/>
      <c r="T179" s="35"/>
      <c r="U179" s="33"/>
    </row>
    <row r="180" ht="15.75" customHeight="1">
      <c r="D180" s="33"/>
      <c r="H180" s="33"/>
      <c r="I180" s="33"/>
      <c r="J180" s="33"/>
      <c r="K180" s="33"/>
      <c r="L180" s="33"/>
      <c r="M180" s="33"/>
      <c r="N180" s="33"/>
      <c r="O180" s="33"/>
      <c r="P180" s="71"/>
      <c r="Q180" s="33"/>
      <c r="S180" s="33"/>
      <c r="T180" s="35"/>
      <c r="U180" s="33"/>
    </row>
    <row r="181" ht="15.75" customHeight="1">
      <c r="D181" s="33"/>
      <c r="H181" s="33"/>
      <c r="I181" s="33"/>
      <c r="J181" s="33"/>
      <c r="K181" s="33"/>
      <c r="L181" s="33"/>
      <c r="M181" s="33"/>
      <c r="N181" s="33"/>
      <c r="O181" s="33"/>
      <c r="P181" s="71"/>
      <c r="Q181" s="33"/>
      <c r="S181" s="33"/>
      <c r="T181" s="35"/>
      <c r="U181" s="33"/>
    </row>
    <row r="182" ht="15.75" customHeight="1">
      <c r="D182" s="33"/>
      <c r="H182" s="33"/>
      <c r="I182" s="33"/>
      <c r="J182" s="33"/>
      <c r="K182" s="33"/>
      <c r="L182" s="33"/>
      <c r="M182" s="33"/>
      <c r="N182" s="33"/>
      <c r="O182" s="33"/>
      <c r="P182" s="71"/>
      <c r="Q182" s="33"/>
      <c r="S182" s="33"/>
      <c r="T182" s="35"/>
      <c r="U182" s="33"/>
    </row>
    <row r="183" ht="15.75" customHeight="1">
      <c r="D183" s="33"/>
      <c r="H183" s="33"/>
      <c r="I183" s="33"/>
      <c r="J183" s="33"/>
      <c r="K183" s="33"/>
      <c r="L183" s="33"/>
      <c r="M183" s="33"/>
      <c r="N183" s="33"/>
      <c r="O183" s="33"/>
      <c r="P183" s="71"/>
      <c r="Q183" s="33"/>
      <c r="S183" s="33"/>
      <c r="T183" s="35"/>
      <c r="U183" s="33"/>
    </row>
    <row r="184" ht="15.75" customHeight="1">
      <c r="D184" s="33"/>
      <c r="H184" s="33"/>
      <c r="I184" s="33"/>
      <c r="J184" s="33"/>
      <c r="K184" s="33"/>
      <c r="L184" s="33"/>
      <c r="M184" s="33"/>
      <c r="N184" s="33"/>
      <c r="O184" s="33"/>
      <c r="P184" s="71"/>
      <c r="Q184" s="33"/>
      <c r="S184" s="33"/>
      <c r="T184" s="35"/>
      <c r="U184" s="33"/>
    </row>
    <row r="185" ht="15.75" customHeight="1">
      <c r="D185" s="33"/>
      <c r="H185" s="33"/>
      <c r="I185" s="33"/>
      <c r="J185" s="33"/>
      <c r="K185" s="33"/>
      <c r="L185" s="33"/>
      <c r="M185" s="33"/>
      <c r="N185" s="33"/>
      <c r="O185" s="33"/>
      <c r="P185" s="71"/>
      <c r="Q185" s="33"/>
      <c r="S185" s="33"/>
      <c r="T185" s="35"/>
      <c r="U185" s="33"/>
    </row>
    <row r="186" ht="15.75" customHeight="1">
      <c r="D186" s="33"/>
      <c r="H186" s="33"/>
      <c r="I186" s="33"/>
      <c r="J186" s="33"/>
      <c r="K186" s="33"/>
      <c r="L186" s="33"/>
      <c r="M186" s="33"/>
      <c r="N186" s="33"/>
      <c r="O186" s="33"/>
      <c r="P186" s="71"/>
      <c r="Q186" s="33"/>
      <c r="S186" s="33"/>
      <c r="T186" s="35"/>
      <c r="U186" s="33"/>
    </row>
    <row r="187" ht="15.75" customHeight="1">
      <c r="D187" s="33"/>
      <c r="H187" s="33"/>
      <c r="I187" s="33"/>
      <c r="J187" s="33"/>
      <c r="K187" s="33"/>
      <c r="L187" s="33"/>
      <c r="M187" s="33"/>
      <c r="N187" s="33"/>
      <c r="O187" s="33"/>
      <c r="P187" s="71"/>
      <c r="Q187" s="33"/>
      <c r="S187" s="33"/>
      <c r="T187" s="35"/>
      <c r="U187" s="33"/>
    </row>
    <row r="188" ht="15.75" customHeight="1">
      <c r="D188" s="33"/>
      <c r="H188" s="33"/>
      <c r="I188" s="33"/>
      <c r="J188" s="33"/>
      <c r="K188" s="33"/>
      <c r="L188" s="33"/>
      <c r="M188" s="33"/>
      <c r="N188" s="33"/>
      <c r="O188" s="33"/>
      <c r="P188" s="71"/>
      <c r="Q188" s="33"/>
      <c r="S188" s="33"/>
      <c r="T188" s="35"/>
      <c r="U188" s="33"/>
    </row>
    <row r="189" ht="15.75" customHeight="1">
      <c r="D189" s="33"/>
      <c r="H189" s="33"/>
      <c r="I189" s="33"/>
      <c r="J189" s="33"/>
      <c r="K189" s="33"/>
      <c r="L189" s="33"/>
      <c r="M189" s="33"/>
      <c r="N189" s="33"/>
      <c r="O189" s="33"/>
      <c r="P189" s="71"/>
      <c r="Q189" s="33"/>
      <c r="S189" s="33"/>
      <c r="T189" s="35"/>
      <c r="U189" s="33"/>
    </row>
    <row r="190" ht="15.75" customHeight="1">
      <c r="D190" s="33"/>
      <c r="H190" s="33"/>
      <c r="I190" s="33"/>
      <c r="J190" s="33"/>
      <c r="K190" s="33"/>
      <c r="L190" s="33"/>
      <c r="M190" s="33"/>
      <c r="N190" s="33"/>
      <c r="O190" s="33"/>
      <c r="P190" s="71"/>
      <c r="Q190" s="33"/>
      <c r="S190" s="33"/>
      <c r="T190" s="35"/>
      <c r="U190" s="33"/>
    </row>
    <row r="191" ht="15.75" customHeight="1">
      <c r="D191" s="33"/>
      <c r="H191" s="33"/>
      <c r="I191" s="33"/>
      <c r="J191" s="33"/>
      <c r="K191" s="33"/>
      <c r="L191" s="33"/>
      <c r="M191" s="33"/>
      <c r="N191" s="33"/>
      <c r="O191" s="33"/>
      <c r="P191" s="71"/>
      <c r="Q191" s="33"/>
      <c r="S191" s="33"/>
      <c r="T191" s="35"/>
      <c r="U191" s="33"/>
    </row>
    <row r="192" ht="15.75" customHeight="1">
      <c r="D192" s="33"/>
      <c r="H192" s="33"/>
      <c r="I192" s="33"/>
      <c r="J192" s="33"/>
      <c r="K192" s="33"/>
      <c r="L192" s="33"/>
      <c r="M192" s="33"/>
      <c r="N192" s="33"/>
      <c r="O192" s="33"/>
      <c r="P192" s="71"/>
      <c r="Q192" s="33"/>
      <c r="S192" s="33"/>
      <c r="T192" s="35"/>
      <c r="U192" s="33"/>
    </row>
    <row r="193" ht="15.75" customHeight="1">
      <c r="D193" s="33"/>
      <c r="H193" s="33"/>
      <c r="I193" s="33"/>
      <c r="J193" s="33"/>
      <c r="K193" s="33"/>
      <c r="L193" s="33"/>
      <c r="M193" s="33"/>
      <c r="N193" s="33"/>
      <c r="O193" s="33"/>
      <c r="P193" s="71"/>
      <c r="Q193" s="33"/>
      <c r="S193" s="33"/>
      <c r="T193" s="35"/>
      <c r="U193" s="33"/>
    </row>
    <row r="194" ht="15.75" customHeight="1">
      <c r="D194" s="33"/>
      <c r="H194" s="33"/>
      <c r="I194" s="33"/>
      <c r="J194" s="33"/>
      <c r="K194" s="33"/>
      <c r="L194" s="33"/>
      <c r="M194" s="33"/>
      <c r="N194" s="33"/>
      <c r="O194" s="33"/>
      <c r="P194" s="71"/>
      <c r="Q194" s="33"/>
      <c r="S194" s="33"/>
      <c r="T194" s="35"/>
      <c r="U194" s="33"/>
    </row>
    <row r="195" ht="15.75" customHeight="1">
      <c r="D195" s="33"/>
      <c r="H195" s="33"/>
      <c r="I195" s="33"/>
      <c r="J195" s="33"/>
      <c r="K195" s="33"/>
      <c r="L195" s="33"/>
      <c r="M195" s="33"/>
      <c r="N195" s="33"/>
      <c r="O195" s="33"/>
      <c r="P195" s="71"/>
      <c r="Q195" s="33"/>
      <c r="S195" s="33"/>
      <c r="T195" s="35"/>
      <c r="U195" s="33"/>
    </row>
    <row r="196" ht="15.75" customHeight="1">
      <c r="D196" s="33"/>
      <c r="H196" s="33"/>
      <c r="I196" s="33"/>
      <c r="J196" s="33"/>
      <c r="K196" s="33"/>
      <c r="L196" s="33"/>
      <c r="M196" s="33"/>
      <c r="N196" s="33"/>
      <c r="O196" s="33"/>
      <c r="P196" s="71"/>
      <c r="Q196" s="33"/>
      <c r="S196" s="33"/>
      <c r="T196" s="35"/>
      <c r="U196" s="33"/>
    </row>
    <row r="197" ht="15.75" customHeight="1">
      <c r="D197" s="33"/>
      <c r="H197" s="33"/>
      <c r="I197" s="33"/>
      <c r="J197" s="33"/>
      <c r="K197" s="33"/>
      <c r="L197" s="33"/>
      <c r="M197" s="33"/>
      <c r="N197" s="33"/>
      <c r="O197" s="33"/>
      <c r="P197" s="71"/>
      <c r="Q197" s="33"/>
      <c r="S197" s="33"/>
      <c r="T197" s="35"/>
      <c r="U197" s="33"/>
    </row>
    <row r="198" ht="15.75" customHeight="1">
      <c r="D198" s="33"/>
      <c r="H198" s="33"/>
      <c r="I198" s="33"/>
      <c r="J198" s="33"/>
      <c r="K198" s="33"/>
      <c r="L198" s="33"/>
      <c r="M198" s="33"/>
      <c r="N198" s="33"/>
      <c r="O198" s="33"/>
      <c r="P198" s="71"/>
      <c r="Q198" s="33"/>
      <c r="S198" s="33"/>
      <c r="T198" s="35"/>
      <c r="U198" s="33"/>
    </row>
    <row r="199" ht="15.75" customHeight="1">
      <c r="D199" s="33"/>
      <c r="H199" s="33"/>
      <c r="I199" s="33"/>
      <c r="J199" s="33"/>
      <c r="K199" s="33"/>
      <c r="L199" s="33"/>
      <c r="M199" s="33"/>
      <c r="N199" s="33"/>
      <c r="O199" s="33"/>
      <c r="P199" s="71"/>
      <c r="Q199" s="33"/>
      <c r="S199" s="33"/>
      <c r="T199" s="35"/>
      <c r="U199" s="33"/>
    </row>
    <row r="200" ht="15.75" customHeight="1">
      <c r="D200" s="33"/>
      <c r="H200" s="33"/>
      <c r="I200" s="33"/>
      <c r="J200" s="33"/>
      <c r="K200" s="33"/>
      <c r="L200" s="33"/>
      <c r="M200" s="33"/>
      <c r="N200" s="33"/>
      <c r="O200" s="33"/>
      <c r="P200" s="71"/>
      <c r="Q200" s="33"/>
      <c r="S200" s="33"/>
      <c r="T200" s="35"/>
      <c r="U200" s="33"/>
    </row>
    <row r="201" ht="15.75" customHeight="1">
      <c r="D201" s="33"/>
      <c r="H201" s="33"/>
      <c r="I201" s="33"/>
      <c r="J201" s="33"/>
      <c r="K201" s="33"/>
      <c r="L201" s="33"/>
      <c r="M201" s="33"/>
      <c r="N201" s="33"/>
      <c r="O201" s="33"/>
      <c r="P201" s="71"/>
      <c r="Q201" s="33"/>
      <c r="S201" s="33"/>
      <c r="T201" s="35"/>
      <c r="U201" s="33"/>
    </row>
    <row r="202" ht="15.75" customHeight="1">
      <c r="D202" s="33"/>
      <c r="H202" s="33"/>
      <c r="I202" s="33"/>
      <c r="J202" s="33"/>
      <c r="K202" s="33"/>
      <c r="L202" s="33"/>
      <c r="M202" s="33"/>
      <c r="N202" s="33"/>
      <c r="O202" s="33"/>
      <c r="P202" s="71"/>
      <c r="Q202" s="33"/>
      <c r="S202" s="33"/>
      <c r="T202" s="35"/>
      <c r="U202" s="33"/>
    </row>
    <row r="203" ht="15.75" customHeight="1">
      <c r="D203" s="33"/>
      <c r="H203" s="33"/>
      <c r="I203" s="33"/>
      <c r="J203" s="33"/>
      <c r="K203" s="33"/>
      <c r="L203" s="33"/>
      <c r="M203" s="33"/>
      <c r="N203" s="33"/>
      <c r="O203" s="33"/>
      <c r="P203" s="71"/>
      <c r="Q203" s="33"/>
      <c r="S203" s="33"/>
      <c r="T203" s="35"/>
      <c r="U203" s="33"/>
    </row>
    <row r="204" ht="15.75" customHeight="1">
      <c r="D204" s="33"/>
      <c r="H204" s="33"/>
      <c r="I204" s="33"/>
      <c r="J204" s="33"/>
      <c r="K204" s="33"/>
      <c r="L204" s="33"/>
      <c r="M204" s="33"/>
      <c r="N204" s="33"/>
      <c r="O204" s="33"/>
      <c r="P204" s="71"/>
      <c r="Q204" s="33"/>
      <c r="S204" s="33"/>
      <c r="T204" s="35"/>
      <c r="U204" s="33"/>
    </row>
    <row r="205" ht="15.75" customHeight="1">
      <c r="D205" s="33"/>
      <c r="H205" s="33"/>
      <c r="I205" s="33"/>
      <c r="J205" s="33"/>
      <c r="K205" s="33"/>
      <c r="L205" s="33"/>
      <c r="M205" s="33"/>
      <c r="N205" s="33"/>
      <c r="O205" s="33"/>
      <c r="P205" s="71"/>
      <c r="Q205" s="33"/>
      <c r="S205" s="33"/>
      <c r="T205" s="35"/>
      <c r="U205" s="33"/>
    </row>
    <row r="206" ht="15.75" customHeight="1">
      <c r="D206" s="33"/>
      <c r="H206" s="33"/>
      <c r="I206" s="33"/>
      <c r="J206" s="33"/>
      <c r="K206" s="33"/>
      <c r="L206" s="33"/>
      <c r="M206" s="33"/>
      <c r="N206" s="33"/>
      <c r="O206" s="33"/>
      <c r="P206" s="71"/>
      <c r="Q206" s="33"/>
      <c r="S206" s="33"/>
      <c r="T206" s="35"/>
      <c r="U206" s="33"/>
    </row>
    <row r="207" ht="15.75" customHeight="1">
      <c r="D207" s="33"/>
      <c r="H207" s="33"/>
      <c r="I207" s="33"/>
      <c r="J207" s="33"/>
      <c r="K207" s="33"/>
      <c r="L207" s="33"/>
      <c r="M207" s="33"/>
      <c r="N207" s="33"/>
      <c r="O207" s="33"/>
      <c r="P207" s="71"/>
      <c r="Q207" s="33"/>
      <c r="S207" s="33"/>
      <c r="T207" s="35"/>
      <c r="U207" s="33"/>
    </row>
    <row r="208" ht="15.75" customHeight="1">
      <c r="D208" s="33"/>
      <c r="H208" s="33"/>
      <c r="I208" s="33"/>
      <c r="J208" s="33"/>
      <c r="K208" s="33"/>
      <c r="L208" s="33"/>
      <c r="M208" s="33"/>
      <c r="N208" s="33"/>
      <c r="O208" s="33"/>
      <c r="P208" s="71"/>
      <c r="Q208" s="33"/>
      <c r="S208" s="33"/>
      <c r="T208" s="35"/>
      <c r="U208" s="33"/>
    </row>
    <row r="209" ht="15.75" customHeight="1">
      <c r="D209" s="33"/>
      <c r="H209" s="33"/>
      <c r="I209" s="33"/>
      <c r="J209" s="33"/>
      <c r="K209" s="33"/>
      <c r="L209" s="33"/>
      <c r="M209" s="33"/>
      <c r="N209" s="33"/>
      <c r="O209" s="33"/>
      <c r="P209" s="71"/>
      <c r="Q209" s="33"/>
      <c r="S209" s="33"/>
      <c r="T209" s="35"/>
      <c r="U209" s="33"/>
    </row>
    <row r="210" ht="15.75" customHeight="1">
      <c r="D210" s="33"/>
      <c r="H210" s="33"/>
      <c r="I210" s="33"/>
      <c r="J210" s="33"/>
      <c r="K210" s="33"/>
      <c r="L210" s="33"/>
      <c r="M210" s="33"/>
      <c r="N210" s="33"/>
      <c r="O210" s="33"/>
      <c r="P210" s="71"/>
      <c r="Q210" s="33"/>
      <c r="S210" s="33"/>
      <c r="T210" s="35"/>
      <c r="U210" s="33"/>
    </row>
    <row r="211" ht="15.75" customHeight="1">
      <c r="D211" s="33"/>
      <c r="H211" s="33"/>
      <c r="I211" s="33"/>
      <c r="J211" s="33"/>
      <c r="K211" s="33"/>
      <c r="L211" s="33"/>
      <c r="M211" s="33"/>
      <c r="N211" s="33"/>
      <c r="O211" s="33"/>
      <c r="P211" s="71"/>
      <c r="Q211" s="33"/>
      <c r="S211" s="33"/>
      <c r="T211" s="35"/>
      <c r="U211" s="33"/>
    </row>
    <row r="212" ht="15.75" customHeight="1">
      <c r="D212" s="33"/>
      <c r="H212" s="33"/>
      <c r="I212" s="33"/>
      <c r="J212" s="33"/>
      <c r="K212" s="33"/>
      <c r="L212" s="33"/>
      <c r="M212" s="33"/>
      <c r="N212" s="33"/>
      <c r="O212" s="33"/>
      <c r="P212" s="71"/>
      <c r="Q212" s="33"/>
      <c r="S212" s="33"/>
      <c r="T212" s="35"/>
      <c r="U212" s="33"/>
    </row>
    <row r="213" ht="15.75" customHeight="1">
      <c r="D213" s="33"/>
      <c r="H213" s="33"/>
      <c r="I213" s="33"/>
      <c r="J213" s="33"/>
      <c r="K213" s="33"/>
      <c r="L213" s="33"/>
      <c r="M213" s="33"/>
      <c r="N213" s="33"/>
      <c r="O213" s="33"/>
      <c r="P213" s="71"/>
      <c r="Q213" s="33"/>
      <c r="S213" s="33"/>
      <c r="T213" s="35"/>
      <c r="U213" s="33"/>
    </row>
    <row r="214" ht="15.75" customHeight="1">
      <c r="D214" s="33"/>
      <c r="H214" s="33"/>
      <c r="I214" s="33"/>
      <c r="J214" s="33"/>
      <c r="K214" s="33"/>
      <c r="L214" s="33"/>
      <c r="M214" s="33"/>
      <c r="N214" s="33"/>
      <c r="O214" s="33"/>
      <c r="P214" s="71"/>
      <c r="Q214" s="33"/>
      <c r="S214" s="33"/>
      <c r="T214" s="35"/>
      <c r="U214" s="33"/>
    </row>
    <row r="215" ht="15.75" customHeight="1">
      <c r="D215" s="33"/>
      <c r="H215" s="33"/>
      <c r="I215" s="33"/>
      <c r="J215" s="33"/>
      <c r="K215" s="33"/>
      <c r="L215" s="33"/>
      <c r="M215" s="33"/>
      <c r="N215" s="33"/>
      <c r="O215" s="33"/>
      <c r="P215" s="71"/>
      <c r="Q215" s="33"/>
      <c r="S215" s="33"/>
      <c r="T215" s="35"/>
      <c r="U215" s="33"/>
    </row>
    <row r="216" ht="15.75" customHeight="1">
      <c r="D216" s="33"/>
      <c r="H216" s="33"/>
      <c r="I216" s="33"/>
      <c r="J216" s="33"/>
      <c r="K216" s="33"/>
      <c r="L216" s="33"/>
      <c r="M216" s="33"/>
      <c r="N216" s="33"/>
      <c r="O216" s="33"/>
      <c r="P216" s="71"/>
      <c r="Q216" s="33"/>
      <c r="S216" s="33"/>
      <c r="T216" s="35"/>
      <c r="U216" s="33"/>
    </row>
    <row r="217" ht="15.75" customHeight="1">
      <c r="D217" s="33"/>
      <c r="H217" s="33"/>
      <c r="I217" s="33"/>
      <c r="J217" s="33"/>
      <c r="K217" s="33"/>
      <c r="L217" s="33"/>
      <c r="M217" s="33"/>
      <c r="N217" s="33"/>
      <c r="O217" s="33"/>
      <c r="P217" s="71"/>
      <c r="Q217" s="33"/>
      <c r="S217" s="33"/>
      <c r="T217" s="35"/>
      <c r="U217" s="33"/>
    </row>
    <row r="218" ht="15.75" customHeight="1">
      <c r="D218" s="33"/>
      <c r="H218" s="33"/>
      <c r="I218" s="33"/>
      <c r="J218" s="33"/>
      <c r="K218" s="33"/>
      <c r="L218" s="33"/>
      <c r="M218" s="33"/>
      <c r="N218" s="33"/>
      <c r="O218" s="33"/>
      <c r="P218" s="71"/>
      <c r="Q218" s="33"/>
      <c r="S218" s="33"/>
      <c r="T218" s="35"/>
      <c r="U218" s="33"/>
    </row>
    <row r="219" ht="15.75" customHeight="1">
      <c r="D219" s="33"/>
      <c r="H219" s="33"/>
      <c r="I219" s="33"/>
      <c r="J219" s="33"/>
      <c r="K219" s="33"/>
      <c r="L219" s="33"/>
      <c r="M219" s="33"/>
      <c r="N219" s="33"/>
      <c r="O219" s="33"/>
      <c r="P219" s="71"/>
      <c r="Q219" s="33"/>
      <c r="S219" s="33"/>
      <c r="T219" s="35"/>
      <c r="U219" s="33"/>
    </row>
    <row r="220" ht="15.75" customHeight="1">
      <c r="D220" s="33"/>
      <c r="H220" s="33"/>
      <c r="I220" s="33"/>
      <c r="J220" s="33"/>
      <c r="K220" s="33"/>
      <c r="L220" s="33"/>
      <c r="M220" s="33"/>
      <c r="N220" s="33"/>
      <c r="O220" s="33"/>
      <c r="P220" s="71"/>
      <c r="Q220" s="33"/>
      <c r="S220" s="33"/>
      <c r="T220" s="35"/>
      <c r="U220" s="33"/>
    </row>
    <row r="221" ht="15.75" customHeight="1">
      <c r="D221" s="33"/>
      <c r="H221" s="33"/>
      <c r="I221" s="33"/>
      <c r="J221" s="33"/>
      <c r="K221" s="33"/>
      <c r="L221" s="33"/>
      <c r="M221" s="33"/>
      <c r="N221" s="33"/>
      <c r="O221" s="33"/>
      <c r="P221" s="71"/>
      <c r="Q221" s="33"/>
      <c r="S221" s="33"/>
      <c r="T221" s="35"/>
      <c r="U221" s="33"/>
    </row>
    <row r="222" ht="15.75" customHeight="1">
      <c r="D222" s="33"/>
      <c r="H222" s="33"/>
      <c r="I222" s="33"/>
      <c r="J222" s="33"/>
      <c r="K222" s="33"/>
      <c r="L222" s="33"/>
      <c r="M222" s="33"/>
      <c r="N222" s="33"/>
      <c r="O222" s="33"/>
      <c r="P222" s="71"/>
      <c r="Q222" s="33"/>
      <c r="S222" s="33"/>
      <c r="T222" s="35"/>
      <c r="U222" s="33"/>
    </row>
    <row r="223" ht="15.75" customHeight="1">
      <c r="D223" s="33"/>
      <c r="H223" s="33"/>
      <c r="I223" s="33"/>
      <c r="J223" s="33"/>
      <c r="K223" s="33"/>
      <c r="L223" s="33"/>
      <c r="M223" s="33"/>
      <c r="N223" s="33"/>
      <c r="O223" s="33"/>
      <c r="P223" s="71"/>
      <c r="Q223" s="33"/>
      <c r="S223" s="33"/>
      <c r="T223" s="35"/>
      <c r="U223" s="33"/>
    </row>
    <row r="224" ht="15.75" customHeight="1">
      <c r="D224" s="33"/>
      <c r="H224" s="33"/>
      <c r="I224" s="33"/>
      <c r="J224" s="33"/>
      <c r="K224" s="33"/>
      <c r="L224" s="33"/>
      <c r="M224" s="33"/>
      <c r="N224" s="33"/>
      <c r="O224" s="33"/>
      <c r="P224" s="71"/>
      <c r="Q224" s="33"/>
      <c r="S224" s="33"/>
      <c r="T224" s="35"/>
      <c r="U224" s="33"/>
    </row>
    <row r="225" ht="15.75" customHeight="1">
      <c r="D225" s="33"/>
      <c r="H225" s="33"/>
      <c r="I225" s="33"/>
      <c r="J225" s="33"/>
      <c r="K225" s="33"/>
      <c r="L225" s="33"/>
      <c r="M225" s="33"/>
      <c r="N225" s="33"/>
      <c r="O225" s="33"/>
      <c r="P225" s="71"/>
      <c r="Q225" s="33"/>
      <c r="S225" s="33"/>
      <c r="T225" s="35"/>
      <c r="U225" s="33"/>
    </row>
    <row r="226" ht="15.75" customHeight="1">
      <c r="D226" s="33"/>
      <c r="H226" s="33"/>
      <c r="I226" s="33"/>
      <c r="J226" s="33"/>
      <c r="K226" s="33"/>
      <c r="L226" s="33"/>
      <c r="M226" s="33"/>
      <c r="N226" s="33"/>
      <c r="O226" s="33"/>
      <c r="P226" s="71"/>
      <c r="Q226" s="33"/>
      <c r="S226" s="33"/>
      <c r="T226" s="35"/>
      <c r="U226" s="33"/>
    </row>
    <row r="227" ht="15.75" customHeight="1">
      <c r="D227" s="33"/>
      <c r="H227" s="33"/>
      <c r="I227" s="33"/>
      <c r="J227" s="33"/>
      <c r="K227" s="33"/>
      <c r="L227" s="33"/>
      <c r="M227" s="33"/>
      <c r="N227" s="33"/>
      <c r="O227" s="33"/>
      <c r="P227" s="71"/>
      <c r="Q227" s="33"/>
      <c r="S227" s="33"/>
      <c r="T227" s="35"/>
      <c r="U227" s="33"/>
    </row>
    <row r="228" ht="15.75" customHeight="1">
      <c r="D228" s="33"/>
      <c r="H228" s="33"/>
      <c r="I228" s="33"/>
      <c r="J228" s="33"/>
      <c r="K228" s="33"/>
      <c r="L228" s="33"/>
      <c r="M228" s="33"/>
      <c r="N228" s="33"/>
      <c r="O228" s="33"/>
      <c r="P228" s="71"/>
      <c r="Q228" s="33"/>
      <c r="S228" s="33"/>
      <c r="T228" s="35"/>
      <c r="U228" s="33"/>
    </row>
    <row r="229" ht="15.75" customHeight="1">
      <c r="D229" s="33"/>
      <c r="H229" s="33"/>
      <c r="I229" s="33"/>
      <c r="J229" s="33"/>
      <c r="K229" s="33"/>
      <c r="L229" s="33"/>
      <c r="M229" s="33"/>
      <c r="N229" s="33"/>
      <c r="O229" s="33"/>
      <c r="P229" s="71"/>
      <c r="Q229" s="33"/>
      <c r="S229" s="33"/>
      <c r="T229" s="35"/>
      <c r="U229" s="33"/>
    </row>
    <row r="230" ht="15.75" customHeight="1">
      <c r="D230" s="33"/>
      <c r="H230" s="33"/>
      <c r="I230" s="33"/>
      <c r="J230" s="33"/>
      <c r="K230" s="33"/>
      <c r="L230" s="33"/>
      <c r="M230" s="33"/>
      <c r="N230" s="33"/>
      <c r="O230" s="33"/>
      <c r="P230" s="71"/>
      <c r="Q230" s="33"/>
      <c r="S230" s="33"/>
      <c r="T230" s="35"/>
      <c r="U230" s="33"/>
    </row>
    <row r="231" ht="15.75" customHeight="1">
      <c r="D231" s="33"/>
      <c r="H231" s="33"/>
      <c r="I231" s="33"/>
      <c r="J231" s="33"/>
      <c r="K231" s="33"/>
      <c r="L231" s="33"/>
      <c r="M231" s="33"/>
      <c r="N231" s="33"/>
      <c r="O231" s="33"/>
      <c r="P231" s="71"/>
      <c r="Q231" s="33"/>
      <c r="S231" s="33"/>
      <c r="T231" s="35"/>
      <c r="U231" s="33"/>
    </row>
    <row r="232" ht="15.75" customHeight="1">
      <c r="D232" s="33"/>
      <c r="H232" s="33"/>
      <c r="I232" s="33"/>
      <c r="J232" s="33"/>
      <c r="K232" s="33"/>
      <c r="L232" s="33"/>
      <c r="M232" s="33"/>
      <c r="N232" s="33"/>
      <c r="O232" s="33"/>
      <c r="P232" s="71"/>
      <c r="Q232" s="33"/>
      <c r="S232" s="33"/>
      <c r="T232" s="35"/>
      <c r="U232" s="33"/>
    </row>
    <row r="233" ht="15.75" customHeight="1">
      <c r="D233" s="33"/>
      <c r="H233" s="33"/>
      <c r="I233" s="33"/>
      <c r="J233" s="33"/>
      <c r="K233" s="33"/>
      <c r="L233" s="33"/>
      <c r="M233" s="33"/>
      <c r="N233" s="33"/>
      <c r="O233" s="33"/>
      <c r="P233" s="71"/>
      <c r="Q233" s="33"/>
      <c r="S233" s="33"/>
      <c r="T233" s="35"/>
      <c r="U233" s="33"/>
    </row>
    <row r="234" ht="15.75" customHeight="1">
      <c r="D234" s="33"/>
      <c r="H234" s="33"/>
      <c r="I234" s="33"/>
      <c r="J234" s="33"/>
      <c r="K234" s="33"/>
      <c r="L234" s="33"/>
      <c r="M234" s="33"/>
      <c r="N234" s="33"/>
      <c r="O234" s="33"/>
      <c r="P234" s="71"/>
      <c r="Q234" s="33"/>
      <c r="S234" s="33"/>
      <c r="T234" s="35"/>
      <c r="U234" s="33"/>
    </row>
    <row r="235" ht="15.75" customHeight="1">
      <c r="D235" s="33"/>
      <c r="H235" s="33"/>
      <c r="I235" s="33"/>
      <c r="J235" s="33"/>
      <c r="K235" s="33"/>
      <c r="L235" s="33"/>
      <c r="M235" s="33"/>
      <c r="N235" s="33"/>
      <c r="O235" s="33"/>
      <c r="P235" s="71"/>
      <c r="Q235" s="33"/>
      <c r="S235" s="33"/>
      <c r="T235" s="35"/>
      <c r="U235" s="33"/>
    </row>
    <row r="236" ht="15.75" customHeight="1">
      <c r="D236" s="33"/>
      <c r="H236" s="33"/>
      <c r="I236" s="33"/>
      <c r="J236" s="33"/>
      <c r="K236" s="33"/>
      <c r="L236" s="33"/>
      <c r="M236" s="33"/>
      <c r="N236" s="33"/>
      <c r="O236" s="33"/>
      <c r="P236" s="71"/>
      <c r="Q236" s="33"/>
      <c r="S236" s="33"/>
      <c r="T236" s="35"/>
      <c r="U236" s="33"/>
    </row>
    <row r="237" ht="15.75" customHeight="1">
      <c r="D237" s="33"/>
      <c r="H237" s="33"/>
      <c r="I237" s="33"/>
      <c r="J237" s="33"/>
      <c r="K237" s="33"/>
      <c r="L237" s="33"/>
      <c r="M237" s="33"/>
      <c r="N237" s="33"/>
      <c r="O237" s="33"/>
      <c r="P237" s="71"/>
      <c r="Q237" s="33"/>
      <c r="S237" s="33"/>
      <c r="T237" s="35"/>
      <c r="U237" s="33"/>
    </row>
    <row r="238" ht="15.75" customHeight="1">
      <c r="D238" s="33"/>
      <c r="H238" s="33"/>
      <c r="I238" s="33"/>
      <c r="J238" s="33"/>
      <c r="K238" s="33"/>
      <c r="L238" s="33"/>
      <c r="M238" s="33"/>
      <c r="N238" s="33"/>
      <c r="O238" s="33"/>
      <c r="P238" s="71"/>
      <c r="Q238" s="33"/>
      <c r="S238" s="33"/>
      <c r="T238" s="35"/>
      <c r="U238" s="33"/>
    </row>
    <row r="239" ht="15.75" customHeight="1">
      <c r="D239" s="33"/>
      <c r="H239" s="33"/>
      <c r="I239" s="33"/>
      <c r="J239" s="33"/>
      <c r="K239" s="33"/>
      <c r="L239" s="33"/>
      <c r="M239" s="33"/>
      <c r="N239" s="33"/>
      <c r="O239" s="33"/>
      <c r="P239" s="71"/>
      <c r="Q239" s="33"/>
      <c r="S239" s="33"/>
      <c r="T239" s="35"/>
      <c r="U239" s="33"/>
    </row>
    <row r="240" ht="15.75" customHeight="1">
      <c r="D240" s="33"/>
      <c r="H240" s="33"/>
      <c r="I240" s="33"/>
      <c r="J240" s="33"/>
      <c r="K240" s="33"/>
      <c r="L240" s="33"/>
      <c r="M240" s="33"/>
      <c r="N240" s="33"/>
      <c r="O240" s="33"/>
      <c r="P240" s="71"/>
      <c r="Q240" s="33"/>
      <c r="S240" s="33"/>
      <c r="T240" s="35"/>
      <c r="U240" s="33"/>
    </row>
    <row r="241" ht="15.75" customHeight="1">
      <c r="D241" s="33"/>
      <c r="H241" s="33"/>
      <c r="I241" s="33"/>
      <c r="J241" s="33"/>
      <c r="K241" s="33"/>
      <c r="L241" s="33"/>
      <c r="M241" s="33"/>
      <c r="N241" s="33"/>
      <c r="O241" s="33"/>
      <c r="P241" s="71"/>
      <c r="Q241" s="33"/>
      <c r="S241" s="33"/>
      <c r="T241" s="35"/>
      <c r="U241" s="33"/>
    </row>
    <row r="242" ht="15.75" customHeight="1">
      <c r="D242" s="33"/>
      <c r="H242" s="33"/>
      <c r="I242" s="33"/>
      <c r="J242" s="33"/>
      <c r="K242" s="33"/>
      <c r="L242" s="33"/>
      <c r="M242" s="33"/>
      <c r="N242" s="33"/>
      <c r="O242" s="33"/>
      <c r="P242" s="71"/>
      <c r="Q242" s="33"/>
      <c r="S242" s="33"/>
      <c r="T242" s="35"/>
      <c r="U242" s="33"/>
    </row>
    <row r="243" ht="15.75" customHeight="1">
      <c r="D243" s="33"/>
      <c r="H243" s="33"/>
      <c r="I243" s="33"/>
      <c r="J243" s="33"/>
      <c r="K243" s="33"/>
      <c r="L243" s="33"/>
      <c r="M243" s="33"/>
      <c r="N243" s="33"/>
      <c r="O243" s="33"/>
      <c r="P243" s="71"/>
      <c r="Q243" s="33"/>
      <c r="S243" s="33"/>
      <c r="T243" s="35"/>
      <c r="U243" s="33"/>
    </row>
    <row r="244" ht="15.75" customHeight="1">
      <c r="D244" s="33"/>
      <c r="H244" s="33"/>
      <c r="I244" s="33"/>
      <c r="J244" s="33"/>
      <c r="K244" s="33"/>
      <c r="L244" s="33"/>
      <c r="M244" s="33"/>
      <c r="N244" s="33"/>
      <c r="O244" s="33"/>
      <c r="P244" s="71"/>
      <c r="Q244" s="33"/>
      <c r="S244" s="33"/>
      <c r="T244" s="35"/>
      <c r="U244" s="33"/>
    </row>
    <row r="245" ht="15.75" customHeight="1">
      <c r="D245" s="33"/>
      <c r="H245" s="33"/>
      <c r="I245" s="33"/>
      <c r="J245" s="33"/>
      <c r="K245" s="33"/>
      <c r="L245" s="33"/>
      <c r="M245" s="33"/>
      <c r="N245" s="33"/>
      <c r="O245" s="33"/>
      <c r="P245" s="71"/>
      <c r="Q245" s="33"/>
      <c r="S245" s="33"/>
      <c r="T245" s="35"/>
      <c r="U245" s="33"/>
    </row>
    <row r="246" ht="15.75" customHeight="1">
      <c r="D246" s="33"/>
      <c r="H246" s="33"/>
      <c r="I246" s="33"/>
      <c r="J246" s="33"/>
      <c r="K246" s="33"/>
      <c r="L246" s="33"/>
      <c r="M246" s="33"/>
      <c r="N246" s="33"/>
      <c r="O246" s="33"/>
      <c r="P246" s="71"/>
      <c r="Q246" s="33"/>
      <c r="S246" s="33"/>
      <c r="T246" s="35"/>
      <c r="U246" s="33"/>
    </row>
    <row r="247" ht="15.75" customHeight="1">
      <c r="D247" s="33"/>
      <c r="H247" s="33"/>
      <c r="I247" s="33"/>
      <c r="J247" s="33"/>
      <c r="K247" s="33"/>
      <c r="L247" s="33"/>
      <c r="M247" s="33"/>
      <c r="N247" s="33"/>
      <c r="O247" s="33"/>
      <c r="P247" s="71"/>
      <c r="Q247" s="33"/>
      <c r="S247" s="33"/>
      <c r="T247" s="35"/>
      <c r="U247" s="33"/>
    </row>
    <row r="248" ht="15.75" customHeight="1">
      <c r="D248" s="33"/>
      <c r="H248" s="33"/>
      <c r="I248" s="33"/>
      <c r="J248" s="33"/>
      <c r="K248" s="33"/>
      <c r="L248" s="33"/>
      <c r="M248" s="33"/>
      <c r="N248" s="33"/>
      <c r="O248" s="33"/>
      <c r="P248" s="71"/>
      <c r="Q248" s="33"/>
      <c r="S248" s="33"/>
      <c r="T248" s="35"/>
      <c r="U248" s="33"/>
    </row>
    <row r="249" ht="15.75" customHeight="1">
      <c r="D249" s="33"/>
      <c r="H249" s="33"/>
      <c r="I249" s="33"/>
      <c r="J249" s="33"/>
      <c r="K249" s="33"/>
      <c r="L249" s="33"/>
      <c r="M249" s="33"/>
      <c r="N249" s="33"/>
      <c r="O249" s="33"/>
      <c r="P249" s="71"/>
      <c r="Q249" s="33"/>
      <c r="S249" s="33"/>
      <c r="T249" s="35"/>
      <c r="U249" s="33"/>
    </row>
    <row r="250" ht="15.75" customHeight="1">
      <c r="D250" s="33"/>
      <c r="H250" s="33"/>
      <c r="I250" s="33"/>
      <c r="J250" s="33"/>
      <c r="K250" s="33"/>
      <c r="L250" s="33"/>
      <c r="M250" s="33"/>
      <c r="N250" s="33"/>
      <c r="O250" s="33"/>
      <c r="P250" s="71"/>
      <c r="Q250" s="33"/>
      <c r="S250" s="33"/>
      <c r="T250" s="35"/>
      <c r="U250" s="33"/>
    </row>
    <row r="251" ht="15.75" customHeight="1">
      <c r="D251" s="33"/>
      <c r="H251" s="33"/>
      <c r="I251" s="33"/>
      <c r="J251" s="33"/>
      <c r="K251" s="33"/>
      <c r="L251" s="33"/>
      <c r="M251" s="33"/>
      <c r="N251" s="33"/>
      <c r="O251" s="33"/>
      <c r="P251" s="71"/>
      <c r="Q251" s="33"/>
      <c r="S251" s="33"/>
      <c r="T251" s="35"/>
      <c r="U251" s="33"/>
    </row>
    <row r="252" ht="15.75" customHeight="1">
      <c r="D252" s="33"/>
      <c r="H252" s="33"/>
      <c r="I252" s="33"/>
      <c r="J252" s="33"/>
      <c r="K252" s="33"/>
      <c r="L252" s="33"/>
      <c r="M252" s="33"/>
      <c r="N252" s="33"/>
      <c r="O252" s="33"/>
      <c r="P252" s="71"/>
      <c r="Q252" s="33"/>
      <c r="S252" s="33"/>
      <c r="T252" s="35"/>
      <c r="U252" s="33"/>
    </row>
    <row r="253" ht="15.75" customHeight="1">
      <c r="D253" s="33"/>
      <c r="H253" s="33"/>
      <c r="I253" s="33"/>
      <c r="J253" s="33"/>
      <c r="K253" s="33"/>
      <c r="L253" s="33"/>
      <c r="M253" s="33"/>
      <c r="N253" s="33"/>
      <c r="O253" s="33"/>
      <c r="P253" s="71"/>
      <c r="Q253" s="33"/>
      <c r="S253" s="33"/>
      <c r="T253" s="35"/>
      <c r="U253" s="33"/>
    </row>
    <row r="254" ht="15.75" customHeight="1">
      <c r="D254" s="33"/>
      <c r="H254" s="33"/>
      <c r="I254" s="33"/>
      <c r="J254" s="33"/>
      <c r="K254" s="33"/>
      <c r="L254" s="33"/>
      <c r="M254" s="33"/>
      <c r="N254" s="33"/>
      <c r="O254" s="33"/>
      <c r="P254" s="71"/>
      <c r="Q254" s="33"/>
      <c r="S254" s="33"/>
      <c r="T254" s="35"/>
      <c r="U254" s="33"/>
    </row>
    <row r="255" ht="15.75" customHeight="1">
      <c r="D255" s="33"/>
      <c r="H255" s="33"/>
      <c r="I255" s="33"/>
      <c r="J255" s="33"/>
      <c r="K255" s="33"/>
      <c r="L255" s="33"/>
      <c r="M255" s="33"/>
      <c r="N255" s="33"/>
      <c r="O255" s="33"/>
      <c r="P255" s="71"/>
      <c r="Q255" s="33"/>
      <c r="S255" s="33"/>
      <c r="T255" s="35"/>
      <c r="U255" s="33"/>
    </row>
    <row r="256" ht="15.75" customHeight="1">
      <c r="D256" s="33"/>
      <c r="H256" s="33"/>
      <c r="I256" s="33"/>
      <c r="J256" s="33"/>
      <c r="K256" s="33"/>
      <c r="L256" s="33"/>
      <c r="M256" s="33"/>
      <c r="N256" s="33"/>
      <c r="O256" s="33"/>
      <c r="P256" s="71"/>
      <c r="Q256" s="33"/>
      <c r="S256" s="33"/>
      <c r="T256" s="35"/>
      <c r="U256" s="33"/>
    </row>
    <row r="257" ht="15.75" customHeight="1">
      <c r="D257" s="33"/>
      <c r="H257" s="33"/>
      <c r="I257" s="33"/>
      <c r="J257" s="33"/>
      <c r="K257" s="33"/>
      <c r="L257" s="33"/>
      <c r="M257" s="33"/>
      <c r="N257" s="33"/>
      <c r="O257" s="33"/>
      <c r="P257" s="71"/>
      <c r="Q257" s="33"/>
      <c r="S257" s="33"/>
      <c r="T257" s="35"/>
      <c r="U257" s="33"/>
    </row>
    <row r="258" ht="15.75" customHeight="1">
      <c r="D258" s="33"/>
      <c r="H258" s="33"/>
      <c r="I258" s="33"/>
      <c r="J258" s="33"/>
      <c r="K258" s="33"/>
      <c r="L258" s="33"/>
      <c r="M258" s="33"/>
      <c r="N258" s="33"/>
      <c r="O258" s="33"/>
      <c r="P258" s="71"/>
      <c r="Q258" s="33"/>
      <c r="S258" s="33"/>
      <c r="T258" s="35"/>
      <c r="U258" s="33"/>
    </row>
    <row r="259" ht="15.75" customHeight="1">
      <c r="D259" s="33"/>
      <c r="H259" s="33"/>
      <c r="I259" s="33"/>
      <c r="J259" s="33"/>
      <c r="K259" s="33"/>
      <c r="L259" s="33"/>
      <c r="M259" s="33"/>
      <c r="N259" s="33"/>
      <c r="O259" s="33"/>
      <c r="P259" s="71"/>
      <c r="Q259" s="33"/>
      <c r="S259" s="33"/>
      <c r="T259" s="35"/>
      <c r="U259" s="33"/>
    </row>
    <row r="260" ht="15.75" customHeight="1">
      <c r="D260" s="33"/>
      <c r="H260" s="33"/>
      <c r="I260" s="33"/>
      <c r="J260" s="33"/>
      <c r="K260" s="33"/>
      <c r="L260" s="33"/>
      <c r="M260" s="33"/>
      <c r="N260" s="33"/>
      <c r="O260" s="33"/>
      <c r="P260" s="71"/>
      <c r="Q260" s="33"/>
      <c r="S260" s="33"/>
      <c r="T260" s="35"/>
      <c r="U260" s="33"/>
    </row>
    <row r="261" ht="15.75" customHeight="1">
      <c r="D261" s="33"/>
      <c r="H261" s="33"/>
      <c r="I261" s="33"/>
      <c r="J261" s="33"/>
      <c r="K261" s="33"/>
      <c r="L261" s="33"/>
      <c r="M261" s="33"/>
      <c r="N261" s="33"/>
      <c r="O261" s="33"/>
      <c r="P261" s="71"/>
      <c r="Q261" s="33"/>
      <c r="S261" s="33"/>
      <c r="T261" s="35"/>
      <c r="U261" s="33"/>
    </row>
    <row r="262" ht="15.75" customHeight="1">
      <c r="D262" s="33"/>
      <c r="H262" s="33"/>
      <c r="I262" s="33"/>
      <c r="J262" s="33"/>
      <c r="K262" s="33"/>
      <c r="L262" s="33"/>
      <c r="M262" s="33"/>
      <c r="N262" s="33"/>
      <c r="O262" s="33"/>
      <c r="P262" s="71"/>
      <c r="Q262" s="33"/>
      <c r="S262" s="33"/>
      <c r="T262" s="35"/>
      <c r="U262" s="33"/>
    </row>
    <row r="263" ht="15.75" customHeight="1">
      <c r="D263" s="33"/>
      <c r="H263" s="33"/>
      <c r="I263" s="33"/>
      <c r="J263" s="33"/>
      <c r="K263" s="33"/>
      <c r="L263" s="33"/>
      <c r="M263" s="33"/>
      <c r="N263" s="33"/>
      <c r="O263" s="33"/>
      <c r="P263" s="71"/>
      <c r="Q263" s="33"/>
      <c r="S263" s="33"/>
      <c r="T263" s="35"/>
      <c r="U263" s="33"/>
    </row>
    <row r="264" ht="15.75" customHeight="1">
      <c r="D264" s="33"/>
      <c r="H264" s="33"/>
      <c r="I264" s="33"/>
      <c r="J264" s="33"/>
      <c r="K264" s="33"/>
      <c r="L264" s="33"/>
      <c r="M264" s="33"/>
      <c r="N264" s="33"/>
      <c r="O264" s="33"/>
      <c r="P264" s="71"/>
      <c r="Q264" s="33"/>
      <c r="S264" s="33"/>
      <c r="T264" s="35"/>
      <c r="U264" s="33"/>
    </row>
    <row r="265" ht="15.75" customHeight="1">
      <c r="D265" s="33"/>
      <c r="H265" s="33"/>
      <c r="I265" s="33"/>
      <c r="J265" s="33"/>
      <c r="K265" s="33"/>
      <c r="L265" s="33"/>
      <c r="M265" s="33"/>
      <c r="N265" s="33"/>
      <c r="O265" s="33"/>
      <c r="P265" s="71"/>
      <c r="Q265" s="33"/>
      <c r="S265" s="33"/>
      <c r="T265" s="35"/>
      <c r="U265" s="33"/>
    </row>
    <row r="266" ht="15.75" customHeight="1">
      <c r="D266" s="33"/>
      <c r="H266" s="33"/>
      <c r="I266" s="33"/>
      <c r="J266" s="33"/>
      <c r="K266" s="33"/>
      <c r="L266" s="33"/>
      <c r="M266" s="33"/>
      <c r="N266" s="33"/>
      <c r="O266" s="33"/>
      <c r="P266" s="71"/>
      <c r="Q266" s="33"/>
      <c r="S266" s="33"/>
      <c r="T266" s="35"/>
      <c r="U266" s="33"/>
    </row>
    <row r="267" ht="15.75" customHeight="1">
      <c r="D267" s="33"/>
      <c r="H267" s="33"/>
      <c r="I267" s="33"/>
      <c r="J267" s="33"/>
      <c r="K267" s="33"/>
      <c r="L267" s="33"/>
      <c r="M267" s="33"/>
      <c r="N267" s="33"/>
      <c r="O267" s="33"/>
      <c r="P267" s="71"/>
      <c r="Q267" s="33"/>
      <c r="S267" s="33"/>
      <c r="T267" s="35"/>
      <c r="U267" s="33"/>
    </row>
    <row r="268" ht="15.75" customHeight="1">
      <c r="D268" s="33"/>
      <c r="H268" s="33"/>
      <c r="I268" s="33"/>
      <c r="J268" s="33"/>
      <c r="K268" s="33"/>
      <c r="L268" s="33"/>
      <c r="M268" s="33"/>
      <c r="N268" s="33"/>
      <c r="O268" s="33"/>
      <c r="P268" s="71"/>
      <c r="Q268" s="33"/>
      <c r="S268" s="33"/>
      <c r="T268" s="35"/>
      <c r="U268" s="33"/>
    </row>
    <row r="269" ht="15.75" customHeight="1">
      <c r="D269" s="33"/>
      <c r="H269" s="33"/>
      <c r="I269" s="33"/>
      <c r="J269" s="33"/>
      <c r="K269" s="33"/>
      <c r="L269" s="33"/>
      <c r="M269" s="33"/>
      <c r="N269" s="33"/>
      <c r="O269" s="33"/>
      <c r="P269" s="71"/>
      <c r="Q269" s="33"/>
      <c r="S269" s="33"/>
      <c r="T269" s="35"/>
      <c r="U269" s="33"/>
    </row>
    <row r="270" ht="15.75" customHeight="1">
      <c r="D270" s="33"/>
      <c r="H270" s="33"/>
      <c r="I270" s="33"/>
      <c r="J270" s="33"/>
      <c r="K270" s="33"/>
      <c r="L270" s="33"/>
      <c r="M270" s="33"/>
      <c r="N270" s="33"/>
      <c r="O270" s="33"/>
      <c r="P270" s="71"/>
      <c r="Q270" s="33"/>
      <c r="S270" s="33"/>
      <c r="T270" s="35"/>
      <c r="U270" s="33"/>
    </row>
    <row r="271" ht="15.75" customHeight="1">
      <c r="D271" s="33"/>
      <c r="H271" s="33"/>
      <c r="I271" s="33"/>
      <c r="J271" s="33"/>
      <c r="K271" s="33"/>
      <c r="L271" s="33"/>
      <c r="M271" s="33"/>
      <c r="N271" s="33"/>
      <c r="O271" s="33"/>
      <c r="P271" s="71"/>
      <c r="Q271" s="33"/>
      <c r="S271" s="33"/>
      <c r="T271" s="35"/>
      <c r="U271" s="33"/>
    </row>
    <row r="272" ht="15.75" customHeight="1">
      <c r="D272" s="33"/>
      <c r="H272" s="33"/>
      <c r="I272" s="33"/>
      <c r="J272" s="33"/>
      <c r="K272" s="33"/>
      <c r="L272" s="33"/>
      <c r="M272" s="33"/>
      <c r="N272" s="33"/>
      <c r="O272" s="33"/>
      <c r="P272" s="71"/>
      <c r="Q272" s="33"/>
      <c r="S272" s="33"/>
      <c r="T272" s="35"/>
      <c r="U272" s="33"/>
    </row>
    <row r="273" ht="15.75" customHeight="1">
      <c r="D273" s="33"/>
      <c r="H273" s="33"/>
      <c r="I273" s="33"/>
      <c r="J273" s="33"/>
      <c r="K273" s="33"/>
      <c r="L273" s="33"/>
      <c r="M273" s="33"/>
      <c r="N273" s="33"/>
      <c r="O273" s="33"/>
      <c r="P273" s="71"/>
      <c r="Q273" s="33"/>
      <c r="S273" s="33"/>
      <c r="T273" s="35"/>
      <c r="U273" s="33"/>
    </row>
    <row r="274" ht="15.75" customHeight="1">
      <c r="D274" s="33"/>
      <c r="H274" s="33"/>
      <c r="I274" s="33"/>
      <c r="J274" s="33"/>
      <c r="K274" s="33"/>
      <c r="L274" s="33"/>
      <c r="M274" s="33"/>
      <c r="N274" s="33"/>
      <c r="O274" s="33"/>
      <c r="P274" s="71"/>
      <c r="Q274" s="33"/>
      <c r="S274" s="33"/>
      <c r="T274" s="35"/>
      <c r="U274" s="33"/>
    </row>
    <row r="275" ht="15.75" customHeight="1">
      <c r="D275" s="33"/>
      <c r="H275" s="33"/>
      <c r="I275" s="33"/>
      <c r="J275" s="33"/>
      <c r="K275" s="33"/>
      <c r="L275" s="33"/>
      <c r="M275" s="33"/>
      <c r="N275" s="33"/>
      <c r="O275" s="33"/>
      <c r="P275" s="71"/>
      <c r="Q275" s="33"/>
      <c r="S275" s="33"/>
      <c r="T275" s="35"/>
      <c r="U275" s="33"/>
    </row>
    <row r="276" ht="15.75" customHeight="1">
      <c r="D276" s="33"/>
      <c r="H276" s="33"/>
      <c r="I276" s="33"/>
      <c r="J276" s="33"/>
      <c r="K276" s="33"/>
      <c r="L276" s="33"/>
      <c r="M276" s="33"/>
      <c r="N276" s="33"/>
      <c r="O276" s="33"/>
      <c r="P276" s="71"/>
      <c r="Q276" s="33"/>
      <c r="S276" s="33"/>
      <c r="T276" s="35"/>
      <c r="U276" s="33"/>
    </row>
    <row r="277" ht="15.75" customHeight="1">
      <c r="D277" s="33"/>
      <c r="H277" s="33"/>
      <c r="I277" s="33"/>
      <c r="J277" s="33"/>
      <c r="K277" s="33"/>
      <c r="L277" s="33"/>
      <c r="M277" s="33"/>
      <c r="N277" s="33"/>
      <c r="O277" s="33"/>
      <c r="P277" s="71"/>
      <c r="Q277" s="33"/>
      <c r="S277" s="33"/>
      <c r="T277" s="35"/>
      <c r="U277" s="33"/>
    </row>
    <row r="278" ht="15.75" customHeight="1">
      <c r="D278" s="33"/>
      <c r="H278" s="33"/>
      <c r="I278" s="33"/>
      <c r="J278" s="33"/>
      <c r="K278" s="33"/>
      <c r="L278" s="33"/>
      <c r="M278" s="33"/>
      <c r="N278" s="33"/>
      <c r="O278" s="33"/>
      <c r="P278" s="71"/>
      <c r="Q278" s="33"/>
      <c r="S278" s="33"/>
      <c r="T278" s="35"/>
      <c r="U278" s="33"/>
    </row>
    <row r="279" ht="15.75" customHeight="1">
      <c r="D279" s="33"/>
      <c r="H279" s="33"/>
      <c r="I279" s="33"/>
      <c r="J279" s="33"/>
      <c r="K279" s="33"/>
      <c r="L279" s="33"/>
      <c r="M279" s="33"/>
      <c r="N279" s="33"/>
      <c r="O279" s="33"/>
      <c r="P279" s="71"/>
      <c r="Q279" s="33"/>
      <c r="S279" s="33"/>
      <c r="T279" s="35"/>
      <c r="U279" s="33"/>
    </row>
    <row r="280" ht="15.75" customHeight="1">
      <c r="D280" s="33"/>
      <c r="H280" s="33"/>
      <c r="I280" s="33"/>
      <c r="J280" s="33"/>
      <c r="K280" s="33"/>
      <c r="L280" s="33"/>
      <c r="M280" s="33"/>
      <c r="N280" s="33"/>
      <c r="O280" s="33"/>
      <c r="P280" s="71"/>
      <c r="Q280" s="33"/>
      <c r="S280" s="33"/>
      <c r="T280" s="35"/>
      <c r="U280" s="33"/>
    </row>
    <row r="281" ht="15.75" customHeight="1">
      <c r="D281" s="33"/>
      <c r="H281" s="33"/>
      <c r="I281" s="33"/>
      <c r="J281" s="33"/>
      <c r="K281" s="33"/>
      <c r="L281" s="33"/>
      <c r="M281" s="33"/>
      <c r="N281" s="33"/>
      <c r="O281" s="33"/>
      <c r="P281" s="71"/>
      <c r="Q281" s="33"/>
      <c r="S281" s="33"/>
      <c r="T281" s="35"/>
      <c r="U281" s="33"/>
    </row>
    <row r="282" ht="15.75" customHeight="1">
      <c r="D282" s="33"/>
      <c r="H282" s="33"/>
      <c r="I282" s="33"/>
      <c r="J282" s="33"/>
      <c r="K282" s="33"/>
      <c r="L282" s="33"/>
      <c r="M282" s="33"/>
      <c r="N282" s="33"/>
      <c r="O282" s="33"/>
      <c r="P282" s="71"/>
      <c r="Q282" s="33"/>
      <c r="S282" s="33"/>
      <c r="T282" s="35"/>
      <c r="U282" s="33"/>
    </row>
    <row r="283" ht="15.75" customHeight="1">
      <c r="D283" s="33"/>
      <c r="H283" s="33"/>
      <c r="I283" s="33"/>
      <c r="J283" s="33"/>
      <c r="K283" s="33"/>
      <c r="L283" s="33"/>
      <c r="M283" s="33"/>
      <c r="N283" s="33"/>
      <c r="O283" s="33"/>
      <c r="P283" s="71"/>
      <c r="Q283" s="33"/>
      <c r="S283" s="33"/>
      <c r="T283" s="35"/>
      <c r="U283" s="33"/>
    </row>
    <row r="284" ht="15.75" customHeight="1">
      <c r="D284" s="33"/>
      <c r="H284" s="33"/>
      <c r="I284" s="33"/>
      <c r="J284" s="33"/>
      <c r="K284" s="33"/>
      <c r="L284" s="33"/>
      <c r="M284" s="33"/>
      <c r="N284" s="33"/>
      <c r="O284" s="33"/>
      <c r="P284" s="71"/>
      <c r="Q284" s="33"/>
      <c r="S284" s="33"/>
      <c r="T284" s="35"/>
      <c r="U284" s="33"/>
    </row>
    <row r="285" ht="15.75" customHeight="1">
      <c r="D285" s="33"/>
      <c r="H285" s="33"/>
      <c r="I285" s="33"/>
      <c r="J285" s="33"/>
      <c r="K285" s="33"/>
      <c r="L285" s="33"/>
      <c r="M285" s="33"/>
      <c r="N285" s="33"/>
      <c r="O285" s="33"/>
      <c r="P285" s="71"/>
      <c r="Q285" s="33"/>
      <c r="S285" s="33"/>
      <c r="T285" s="35"/>
      <c r="U285" s="33"/>
    </row>
    <row r="286" ht="15.75" customHeight="1">
      <c r="D286" s="33"/>
      <c r="H286" s="33"/>
      <c r="I286" s="33"/>
      <c r="J286" s="33"/>
      <c r="K286" s="33"/>
      <c r="L286" s="33"/>
      <c r="M286" s="33"/>
      <c r="N286" s="33"/>
      <c r="O286" s="33"/>
      <c r="P286" s="71"/>
      <c r="Q286" s="33"/>
      <c r="S286" s="33"/>
      <c r="T286" s="35"/>
      <c r="U286" s="33"/>
    </row>
    <row r="287" ht="15.75" customHeight="1">
      <c r="D287" s="33"/>
      <c r="H287" s="33"/>
      <c r="I287" s="33"/>
      <c r="J287" s="33"/>
      <c r="K287" s="33"/>
      <c r="L287" s="33"/>
      <c r="M287" s="33"/>
      <c r="N287" s="33"/>
      <c r="O287" s="33"/>
      <c r="P287" s="71"/>
      <c r="Q287" s="33"/>
      <c r="S287" s="33"/>
      <c r="T287" s="35"/>
      <c r="U287" s="33"/>
    </row>
    <row r="288" ht="15.75" customHeight="1">
      <c r="D288" s="33"/>
      <c r="H288" s="33"/>
      <c r="I288" s="33"/>
      <c r="J288" s="33"/>
      <c r="K288" s="33"/>
      <c r="L288" s="33"/>
      <c r="M288" s="33"/>
      <c r="N288" s="33"/>
      <c r="O288" s="33"/>
      <c r="P288" s="71"/>
      <c r="Q288" s="33"/>
      <c r="S288" s="33"/>
      <c r="T288" s="35"/>
      <c r="U288" s="33"/>
    </row>
    <row r="289" ht="15.75" customHeight="1">
      <c r="D289" s="33"/>
      <c r="H289" s="33"/>
      <c r="I289" s="33"/>
      <c r="J289" s="33"/>
      <c r="K289" s="33"/>
      <c r="L289" s="33"/>
      <c r="M289" s="33"/>
      <c r="N289" s="33"/>
      <c r="O289" s="33"/>
      <c r="P289" s="71"/>
      <c r="Q289" s="33"/>
      <c r="S289" s="33"/>
      <c r="T289" s="35"/>
      <c r="U289" s="33"/>
    </row>
    <row r="290" ht="15.75" customHeight="1">
      <c r="D290" s="33"/>
      <c r="H290" s="33"/>
      <c r="I290" s="33"/>
      <c r="J290" s="33"/>
      <c r="K290" s="33"/>
      <c r="L290" s="33"/>
      <c r="M290" s="33"/>
      <c r="N290" s="33"/>
      <c r="O290" s="33"/>
      <c r="P290" s="71"/>
      <c r="Q290" s="33"/>
      <c r="S290" s="33"/>
      <c r="T290" s="35"/>
      <c r="U290" s="33"/>
    </row>
    <row r="291" ht="15.75" customHeight="1">
      <c r="D291" s="33"/>
      <c r="H291" s="33"/>
      <c r="I291" s="33"/>
      <c r="J291" s="33"/>
      <c r="K291" s="33"/>
      <c r="L291" s="33"/>
      <c r="M291" s="33"/>
      <c r="N291" s="33"/>
      <c r="O291" s="33"/>
      <c r="P291" s="71"/>
      <c r="Q291" s="33"/>
      <c r="S291" s="33"/>
      <c r="T291" s="35"/>
      <c r="U291" s="33"/>
    </row>
    <row r="292" ht="15.75" customHeight="1">
      <c r="D292" s="33"/>
      <c r="H292" s="33"/>
      <c r="I292" s="33"/>
      <c r="J292" s="33"/>
      <c r="K292" s="33"/>
      <c r="L292" s="33"/>
      <c r="M292" s="33"/>
      <c r="N292" s="33"/>
      <c r="O292" s="33"/>
      <c r="P292" s="71"/>
      <c r="Q292" s="33"/>
      <c r="S292" s="33"/>
      <c r="T292" s="35"/>
      <c r="U292" s="33"/>
    </row>
    <row r="293" ht="15.75" customHeight="1">
      <c r="D293" s="33"/>
      <c r="H293" s="33"/>
      <c r="I293" s="33"/>
      <c r="J293" s="33"/>
      <c r="K293" s="33"/>
      <c r="L293" s="33"/>
      <c r="M293" s="33"/>
      <c r="N293" s="33"/>
      <c r="O293" s="33"/>
      <c r="P293" s="71"/>
      <c r="Q293" s="33"/>
      <c r="S293" s="33"/>
      <c r="T293" s="35"/>
      <c r="U293" s="33"/>
    </row>
    <row r="294" ht="15.75" customHeight="1">
      <c r="D294" s="33"/>
      <c r="H294" s="33"/>
      <c r="I294" s="33"/>
      <c r="J294" s="33"/>
      <c r="K294" s="33"/>
      <c r="L294" s="33"/>
      <c r="M294" s="33"/>
      <c r="N294" s="33"/>
      <c r="O294" s="33"/>
      <c r="P294" s="71"/>
      <c r="Q294" s="33"/>
      <c r="S294" s="33"/>
      <c r="T294" s="35"/>
      <c r="U294" s="33"/>
    </row>
    <row r="295" ht="15.75" customHeight="1">
      <c r="D295" s="33"/>
      <c r="H295" s="33"/>
      <c r="I295" s="33"/>
      <c r="J295" s="33"/>
      <c r="K295" s="33"/>
      <c r="L295" s="33"/>
      <c r="M295" s="33"/>
      <c r="N295" s="33"/>
      <c r="O295" s="33"/>
      <c r="P295" s="71"/>
      <c r="Q295" s="33"/>
      <c r="S295" s="33"/>
      <c r="T295" s="35"/>
      <c r="U295" s="33"/>
    </row>
    <row r="296" ht="15.75" customHeight="1">
      <c r="D296" s="33"/>
      <c r="H296" s="33"/>
      <c r="I296" s="33"/>
      <c r="J296" s="33"/>
      <c r="K296" s="33"/>
      <c r="L296" s="33"/>
      <c r="M296" s="33"/>
      <c r="N296" s="33"/>
      <c r="O296" s="33"/>
      <c r="P296" s="71"/>
      <c r="Q296" s="33"/>
      <c r="S296" s="33"/>
      <c r="T296" s="35"/>
      <c r="U296" s="33"/>
    </row>
    <row r="297" ht="15.75" customHeight="1">
      <c r="D297" s="33"/>
      <c r="H297" s="33"/>
      <c r="I297" s="33"/>
      <c r="J297" s="33"/>
      <c r="K297" s="33"/>
      <c r="L297" s="33"/>
      <c r="M297" s="33"/>
      <c r="N297" s="33"/>
      <c r="O297" s="33"/>
      <c r="P297" s="71"/>
      <c r="Q297" s="33"/>
      <c r="S297" s="33"/>
      <c r="T297" s="35"/>
      <c r="U297" s="33"/>
    </row>
    <row r="298" ht="15.75" customHeight="1">
      <c r="D298" s="33"/>
      <c r="H298" s="33"/>
      <c r="I298" s="33"/>
      <c r="J298" s="33"/>
      <c r="K298" s="33"/>
      <c r="L298" s="33"/>
      <c r="M298" s="33"/>
      <c r="N298" s="33"/>
      <c r="O298" s="33"/>
      <c r="P298" s="71"/>
      <c r="Q298" s="33"/>
      <c r="S298" s="33"/>
      <c r="T298" s="35"/>
      <c r="U298" s="33"/>
    </row>
    <row r="299" ht="15.75" customHeight="1">
      <c r="D299" s="33"/>
      <c r="H299" s="33"/>
      <c r="I299" s="33"/>
      <c r="J299" s="33"/>
      <c r="K299" s="33"/>
      <c r="L299" s="33"/>
      <c r="M299" s="33"/>
      <c r="N299" s="33"/>
      <c r="O299" s="33"/>
      <c r="P299" s="71"/>
      <c r="Q299" s="33"/>
      <c r="S299" s="33"/>
      <c r="T299" s="35"/>
      <c r="U299" s="33"/>
    </row>
    <row r="300" ht="15.75" customHeight="1">
      <c r="D300" s="33"/>
      <c r="H300" s="33"/>
      <c r="I300" s="33"/>
      <c r="J300" s="33"/>
      <c r="K300" s="33"/>
      <c r="L300" s="33"/>
      <c r="M300" s="33"/>
      <c r="N300" s="33"/>
      <c r="O300" s="33"/>
      <c r="P300" s="71"/>
      <c r="Q300" s="33"/>
      <c r="S300" s="33"/>
      <c r="T300" s="35"/>
      <c r="U300" s="33"/>
    </row>
    <row r="301" ht="15.75" customHeight="1">
      <c r="D301" s="33"/>
      <c r="H301" s="33"/>
      <c r="I301" s="33"/>
      <c r="J301" s="33"/>
      <c r="K301" s="33"/>
      <c r="L301" s="33"/>
      <c r="M301" s="33"/>
      <c r="N301" s="33"/>
      <c r="O301" s="33"/>
      <c r="P301" s="71"/>
      <c r="Q301" s="33"/>
      <c r="S301" s="33"/>
      <c r="T301" s="35"/>
      <c r="U301" s="33"/>
    </row>
    <row r="302" ht="15.75" customHeight="1">
      <c r="D302" s="33"/>
      <c r="H302" s="33"/>
      <c r="I302" s="33"/>
      <c r="J302" s="33"/>
      <c r="K302" s="33"/>
      <c r="L302" s="33"/>
      <c r="M302" s="33"/>
      <c r="N302" s="33"/>
      <c r="O302" s="33"/>
      <c r="P302" s="71"/>
      <c r="Q302" s="33"/>
      <c r="S302" s="33"/>
      <c r="T302" s="35"/>
      <c r="U302" s="33"/>
    </row>
    <row r="303" ht="15.75" customHeight="1">
      <c r="D303" s="33"/>
      <c r="H303" s="33"/>
      <c r="I303" s="33"/>
      <c r="J303" s="33"/>
      <c r="K303" s="33"/>
      <c r="L303" s="33"/>
      <c r="M303" s="33"/>
      <c r="N303" s="33"/>
      <c r="O303" s="33"/>
      <c r="P303" s="71"/>
      <c r="Q303" s="33"/>
      <c r="S303" s="33"/>
      <c r="T303" s="35"/>
      <c r="U303" s="33"/>
    </row>
    <row r="304" ht="15.75" customHeight="1">
      <c r="D304" s="33"/>
      <c r="H304" s="33"/>
      <c r="I304" s="33"/>
      <c r="J304" s="33"/>
      <c r="K304" s="33"/>
      <c r="L304" s="33"/>
      <c r="M304" s="33"/>
      <c r="N304" s="33"/>
      <c r="O304" s="33"/>
      <c r="P304" s="71"/>
      <c r="Q304" s="33"/>
      <c r="S304" s="33"/>
      <c r="T304" s="35"/>
      <c r="U304" s="33"/>
    </row>
    <row r="305" ht="15.75" customHeight="1">
      <c r="D305" s="33"/>
      <c r="H305" s="33"/>
      <c r="I305" s="33"/>
      <c r="J305" s="33"/>
      <c r="K305" s="33"/>
      <c r="L305" s="33"/>
      <c r="M305" s="33"/>
      <c r="N305" s="33"/>
      <c r="O305" s="33"/>
      <c r="P305" s="71"/>
      <c r="Q305" s="33"/>
      <c r="S305" s="33"/>
      <c r="T305" s="35"/>
      <c r="U305" s="33"/>
    </row>
    <row r="306" ht="15.75" customHeight="1">
      <c r="D306" s="33"/>
      <c r="H306" s="33"/>
      <c r="I306" s="33"/>
      <c r="J306" s="33"/>
      <c r="K306" s="33"/>
      <c r="L306" s="33"/>
      <c r="M306" s="33"/>
      <c r="N306" s="33"/>
      <c r="O306" s="33"/>
      <c r="P306" s="71"/>
      <c r="Q306" s="33"/>
      <c r="S306" s="33"/>
      <c r="T306" s="35"/>
      <c r="U306" s="33"/>
    </row>
    <row r="307" ht="15.75" customHeight="1">
      <c r="D307" s="33"/>
      <c r="H307" s="33"/>
      <c r="I307" s="33"/>
      <c r="J307" s="33"/>
      <c r="K307" s="33"/>
      <c r="L307" s="33"/>
      <c r="M307" s="33"/>
      <c r="N307" s="33"/>
      <c r="O307" s="33"/>
      <c r="P307" s="71"/>
      <c r="Q307" s="33"/>
      <c r="S307" s="33"/>
      <c r="T307" s="35"/>
      <c r="U307" s="33"/>
    </row>
    <row r="308" ht="15.75" customHeight="1">
      <c r="D308" s="33"/>
      <c r="H308" s="33"/>
      <c r="I308" s="33"/>
      <c r="J308" s="33"/>
      <c r="K308" s="33"/>
      <c r="L308" s="33"/>
      <c r="M308" s="33"/>
      <c r="N308" s="33"/>
      <c r="O308" s="33"/>
      <c r="P308" s="71"/>
      <c r="Q308" s="33"/>
      <c r="S308" s="33"/>
      <c r="T308" s="35"/>
      <c r="U308" s="33"/>
    </row>
    <row r="309" ht="15.75" customHeight="1">
      <c r="D309" s="33"/>
      <c r="H309" s="33"/>
      <c r="I309" s="33"/>
      <c r="J309" s="33"/>
      <c r="K309" s="33"/>
      <c r="L309" s="33"/>
      <c r="M309" s="33"/>
      <c r="N309" s="33"/>
      <c r="O309" s="33"/>
      <c r="P309" s="71"/>
      <c r="Q309" s="33"/>
      <c r="S309" s="33"/>
      <c r="T309" s="35"/>
      <c r="U309" s="33"/>
    </row>
    <row r="310" ht="15.75" customHeight="1">
      <c r="D310" s="33"/>
      <c r="H310" s="33"/>
      <c r="I310" s="33"/>
      <c r="J310" s="33"/>
      <c r="K310" s="33"/>
      <c r="L310" s="33"/>
      <c r="M310" s="33"/>
      <c r="N310" s="33"/>
      <c r="O310" s="33"/>
      <c r="P310" s="71"/>
      <c r="Q310" s="33"/>
      <c r="S310" s="33"/>
      <c r="T310" s="35"/>
      <c r="U310" s="33"/>
    </row>
    <row r="311" ht="15.75" customHeight="1">
      <c r="D311" s="33"/>
      <c r="H311" s="33"/>
      <c r="I311" s="33"/>
      <c r="J311" s="33"/>
      <c r="K311" s="33"/>
      <c r="L311" s="33"/>
      <c r="M311" s="33"/>
      <c r="N311" s="33"/>
      <c r="O311" s="33"/>
      <c r="P311" s="71"/>
      <c r="Q311" s="33"/>
      <c r="S311" s="33"/>
      <c r="T311" s="35"/>
      <c r="U311" s="33"/>
    </row>
    <row r="312" ht="15.75" customHeight="1">
      <c r="D312" s="33"/>
      <c r="H312" s="33"/>
      <c r="I312" s="33"/>
      <c r="J312" s="33"/>
      <c r="K312" s="33"/>
      <c r="L312" s="33"/>
      <c r="M312" s="33"/>
      <c r="N312" s="33"/>
      <c r="O312" s="33"/>
      <c r="P312" s="71"/>
      <c r="Q312" s="33"/>
      <c r="S312" s="33"/>
      <c r="T312" s="35"/>
      <c r="U312" s="33"/>
    </row>
    <row r="313" ht="15.75" customHeight="1">
      <c r="D313" s="33"/>
      <c r="H313" s="33"/>
      <c r="I313" s="33"/>
      <c r="J313" s="33"/>
      <c r="K313" s="33"/>
      <c r="L313" s="33"/>
      <c r="M313" s="33"/>
      <c r="N313" s="33"/>
      <c r="O313" s="33"/>
      <c r="P313" s="71"/>
      <c r="Q313" s="33"/>
      <c r="S313" s="33"/>
      <c r="T313" s="35"/>
      <c r="U313" s="33"/>
    </row>
    <row r="314" ht="15.75" customHeight="1">
      <c r="D314" s="33"/>
      <c r="H314" s="33"/>
      <c r="I314" s="33"/>
      <c r="J314" s="33"/>
      <c r="K314" s="33"/>
      <c r="L314" s="33"/>
      <c r="M314" s="33"/>
      <c r="N314" s="33"/>
      <c r="O314" s="33"/>
      <c r="P314" s="71"/>
      <c r="Q314" s="33"/>
      <c r="S314" s="33"/>
      <c r="T314" s="35"/>
      <c r="U314" s="33"/>
    </row>
    <row r="315" ht="15.75" customHeight="1">
      <c r="D315" s="33"/>
      <c r="H315" s="33"/>
      <c r="I315" s="33"/>
      <c r="J315" s="33"/>
      <c r="K315" s="33"/>
      <c r="L315" s="33"/>
      <c r="M315" s="33"/>
      <c r="N315" s="33"/>
      <c r="O315" s="33"/>
      <c r="P315" s="71"/>
      <c r="Q315" s="33"/>
      <c r="S315" s="33"/>
      <c r="T315" s="35"/>
      <c r="U315" s="33"/>
    </row>
    <row r="316" ht="15.75" customHeight="1">
      <c r="D316" s="33"/>
      <c r="H316" s="33"/>
      <c r="I316" s="33"/>
      <c r="J316" s="33"/>
      <c r="K316" s="33"/>
      <c r="L316" s="33"/>
      <c r="M316" s="33"/>
      <c r="N316" s="33"/>
      <c r="O316" s="33"/>
      <c r="P316" s="71"/>
      <c r="Q316" s="33"/>
      <c r="S316" s="33"/>
      <c r="T316" s="35"/>
      <c r="U316" s="33"/>
    </row>
    <row r="317" ht="15.75" customHeight="1">
      <c r="D317" s="33"/>
      <c r="H317" s="33"/>
      <c r="I317" s="33"/>
      <c r="J317" s="33"/>
      <c r="K317" s="33"/>
      <c r="L317" s="33"/>
      <c r="M317" s="33"/>
      <c r="N317" s="33"/>
      <c r="O317" s="33"/>
      <c r="P317" s="71"/>
      <c r="Q317" s="33"/>
      <c r="S317" s="33"/>
      <c r="T317" s="35"/>
      <c r="U317" s="33"/>
    </row>
    <row r="318" ht="15.75" customHeight="1">
      <c r="D318" s="33"/>
      <c r="H318" s="33"/>
      <c r="I318" s="33"/>
      <c r="J318" s="33"/>
      <c r="K318" s="33"/>
      <c r="L318" s="33"/>
      <c r="M318" s="33"/>
      <c r="N318" s="33"/>
      <c r="O318" s="33"/>
      <c r="P318" s="71"/>
      <c r="Q318" s="33"/>
      <c r="S318" s="33"/>
      <c r="T318" s="35"/>
      <c r="U318" s="33"/>
    </row>
    <row r="319" ht="15.75" customHeight="1">
      <c r="D319" s="33"/>
      <c r="H319" s="33"/>
      <c r="I319" s="33"/>
      <c r="J319" s="33"/>
      <c r="K319" s="33"/>
      <c r="L319" s="33"/>
      <c r="M319" s="33"/>
      <c r="N319" s="33"/>
      <c r="O319" s="33"/>
      <c r="P319" s="71"/>
      <c r="Q319" s="33"/>
      <c r="S319" s="33"/>
      <c r="T319" s="35"/>
      <c r="U319" s="33"/>
    </row>
    <row r="320" ht="15.75" customHeight="1">
      <c r="D320" s="33"/>
      <c r="H320" s="33"/>
      <c r="I320" s="33"/>
      <c r="J320" s="33"/>
      <c r="K320" s="33"/>
      <c r="L320" s="33"/>
      <c r="M320" s="33"/>
      <c r="N320" s="33"/>
      <c r="O320" s="33"/>
      <c r="P320" s="71"/>
      <c r="Q320" s="33"/>
      <c r="S320" s="33"/>
      <c r="T320" s="35"/>
      <c r="U320" s="33"/>
    </row>
    <row r="321" ht="15.75" customHeight="1">
      <c r="D321" s="33"/>
      <c r="H321" s="33"/>
      <c r="I321" s="33"/>
      <c r="J321" s="33"/>
      <c r="K321" s="33"/>
      <c r="L321" s="33"/>
      <c r="M321" s="33"/>
      <c r="N321" s="33"/>
      <c r="O321" s="33"/>
      <c r="P321" s="71"/>
      <c r="Q321" s="33"/>
      <c r="S321" s="33"/>
      <c r="T321" s="35"/>
      <c r="U321" s="33"/>
    </row>
    <row r="322" ht="15.75" customHeight="1">
      <c r="D322" s="33"/>
      <c r="H322" s="33"/>
      <c r="I322" s="33"/>
      <c r="J322" s="33"/>
      <c r="K322" s="33"/>
      <c r="L322" s="33"/>
      <c r="M322" s="33"/>
      <c r="N322" s="33"/>
      <c r="O322" s="33"/>
      <c r="P322" s="71"/>
      <c r="Q322" s="33"/>
      <c r="S322" s="33"/>
      <c r="T322" s="35"/>
      <c r="U322" s="33"/>
    </row>
    <row r="323" ht="15.75" customHeight="1">
      <c r="D323" s="33"/>
      <c r="H323" s="33"/>
      <c r="I323" s="33"/>
      <c r="J323" s="33"/>
      <c r="K323" s="33"/>
      <c r="L323" s="33"/>
      <c r="M323" s="33"/>
      <c r="N323" s="33"/>
      <c r="O323" s="33"/>
      <c r="P323" s="71"/>
      <c r="Q323" s="33"/>
      <c r="S323" s="33"/>
      <c r="T323" s="35"/>
      <c r="U323" s="33"/>
    </row>
    <row r="324" ht="15.75" customHeight="1">
      <c r="D324" s="33"/>
      <c r="H324" s="33"/>
      <c r="I324" s="33"/>
      <c r="J324" s="33"/>
      <c r="K324" s="33"/>
      <c r="L324" s="33"/>
      <c r="M324" s="33"/>
      <c r="N324" s="33"/>
      <c r="O324" s="33"/>
      <c r="P324" s="71"/>
      <c r="Q324" s="33"/>
      <c r="S324" s="33"/>
      <c r="T324" s="35"/>
      <c r="U324" s="33"/>
    </row>
    <row r="325" ht="15.75" customHeight="1">
      <c r="D325" s="33"/>
      <c r="H325" s="33"/>
      <c r="I325" s="33"/>
      <c r="J325" s="33"/>
      <c r="K325" s="33"/>
      <c r="L325" s="33"/>
      <c r="M325" s="33"/>
      <c r="N325" s="33"/>
      <c r="O325" s="33"/>
      <c r="P325" s="71"/>
      <c r="Q325" s="33"/>
      <c r="S325" s="33"/>
      <c r="T325" s="35"/>
      <c r="U325" s="33"/>
    </row>
    <row r="326" ht="15.75" customHeight="1">
      <c r="D326" s="33"/>
      <c r="H326" s="33"/>
      <c r="I326" s="33"/>
      <c r="J326" s="33"/>
      <c r="K326" s="33"/>
      <c r="L326" s="33"/>
      <c r="M326" s="33"/>
      <c r="N326" s="33"/>
      <c r="O326" s="33"/>
      <c r="P326" s="71"/>
      <c r="Q326" s="33"/>
      <c r="S326" s="33"/>
      <c r="T326" s="35"/>
      <c r="U326" s="33"/>
    </row>
    <row r="327" ht="15.75" customHeight="1">
      <c r="D327" s="33"/>
      <c r="H327" s="33"/>
      <c r="I327" s="33"/>
      <c r="J327" s="33"/>
      <c r="K327" s="33"/>
      <c r="L327" s="33"/>
      <c r="M327" s="33"/>
      <c r="N327" s="33"/>
      <c r="O327" s="33"/>
      <c r="P327" s="71"/>
      <c r="Q327" s="33"/>
      <c r="S327" s="33"/>
      <c r="T327" s="35"/>
      <c r="U327" s="33"/>
    </row>
    <row r="328" ht="15.75" customHeight="1">
      <c r="D328" s="33"/>
      <c r="H328" s="33"/>
      <c r="I328" s="33"/>
      <c r="J328" s="33"/>
      <c r="K328" s="33"/>
      <c r="L328" s="33"/>
      <c r="M328" s="33"/>
      <c r="N328" s="33"/>
      <c r="O328" s="33"/>
      <c r="P328" s="71"/>
      <c r="Q328" s="33"/>
      <c r="S328" s="33"/>
      <c r="T328" s="35"/>
      <c r="U328" s="33"/>
    </row>
    <row r="329" ht="15.75" customHeight="1">
      <c r="D329" s="33"/>
      <c r="H329" s="33"/>
      <c r="I329" s="33"/>
      <c r="J329" s="33"/>
      <c r="K329" s="33"/>
      <c r="L329" s="33"/>
      <c r="M329" s="33"/>
      <c r="N329" s="33"/>
      <c r="O329" s="33"/>
      <c r="P329" s="71"/>
      <c r="Q329" s="33"/>
      <c r="S329" s="33"/>
      <c r="T329" s="35"/>
      <c r="U329" s="33"/>
    </row>
    <row r="330" ht="15.75" customHeight="1">
      <c r="D330" s="33"/>
      <c r="H330" s="33"/>
      <c r="I330" s="33"/>
      <c r="J330" s="33"/>
      <c r="K330" s="33"/>
      <c r="L330" s="33"/>
      <c r="M330" s="33"/>
      <c r="N330" s="33"/>
      <c r="O330" s="33"/>
      <c r="P330" s="71"/>
      <c r="Q330" s="33"/>
      <c r="S330" s="33"/>
      <c r="T330" s="35"/>
      <c r="U330" s="33"/>
    </row>
    <row r="331" ht="15.75" customHeight="1">
      <c r="D331" s="33"/>
      <c r="H331" s="33"/>
      <c r="I331" s="33"/>
      <c r="J331" s="33"/>
      <c r="K331" s="33"/>
      <c r="L331" s="33"/>
      <c r="M331" s="33"/>
      <c r="N331" s="33"/>
      <c r="O331" s="33"/>
      <c r="P331" s="71"/>
      <c r="Q331" s="33"/>
      <c r="S331" s="33"/>
      <c r="T331" s="35"/>
      <c r="U331" s="33"/>
    </row>
    <row r="332" ht="15.75" customHeight="1">
      <c r="D332" s="33"/>
      <c r="H332" s="33"/>
      <c r="I332" s="33"/>
      <c r="J332" s="33"/>
      <c r="K332" s="33"/>
      <c r="L332" s="33"/>
      <c r="M332" s="33"/>
      <c r="N332" s="33"/>
      <c r="O332" s="33"/>
      <c r="P332" s="71"/>
      <c r="Q332" s="33"/>
      <c r="S332" s="33"/>
      <c r="T332" s="35"/>
      <c r="U332" s="33"/>
    </row>
    <row r="333" ht="15.75" customHeight="1">
      <c r="D333" s="33"/>
      <c r="H333" s="33"/>
      <c r="I333" s="33"/>
      <c r="J333" s="33"/>
      <c r="K333" s="33"/>
      <c r="L333" s="33"/>
      <c r="M333" s="33"/>
      <c r="N333" s="33"/>
      <c r="O333" s="33"/>
      <c r="P333" s="71"/>
      <c r="Q333" s="33"/>
      <c r="S333" s="33"/>
      <c r="T333" s="35"/>
      <c r="U333" s="33"/>
    </row>
    <row r="334" ht="15.75" customHeight="1">
      <c r="D334" s="33"/>
      <c r="H334" s="33"/>
      <c r="I334" s="33"/>
      <c r="J334" s="33"/>
      <c r="K334" s="33"/>
      <c r="L334" s="33"/>
      <c r="M334" s="33"/>
      <c r="N334" s="33"/>
      <c r="O334" s="33"/>
      <c r="P334" s="71"/>
      <c r="Q334" s="33"/>
      <c r="S334" s="33"/>
      <c r="T334" s="35"/>
      <c r="U334" s="33"/>
    </row>
    <row r="335" ht="15.75" customHeight="1">
      <c r="D335" s="33"/>
      <c r="H335" s="33"/>
      <c r="I335" s="33"/>
      <c r="J335" s="33"/>
      <c r="K335" s="33"/>
      <c r="L335" s="33"/>
      <c r="M335" s="33"/>
      <c r="N335" s="33"/>
      <c r="O335" s="33"/>
      <c r="P335" s="71"/>
      <c r="Q335" s="33"/>
      <c r="S335" s="33"/>
      <c r="T335" s="35"/>
      <c r="U335" s="33"/>
    </row>
    <row r="336" ht="15.75" customHeight="1">
      <c r="D336" s="33"/>
      <c r="H336" s="33"/>
      <c r="I336" s="33"/>
      <c r="J336" s="33"/>
      <c r="K336" s="33"/>
      <c r="L336" s="33"/>
      <c r="M336" s="33"/>
      <c r="N336" s="33"/>
      <c r="O336" s="33"/>
      <c r="P336" s="71"/>
      <c r="Q336" s="33"/>
      <c r="S336" s="33"/>
      <c r="T336" s="35"/>
      <c r="U336" s="33"/>
    </row>
    <row r="337" ht="15.75" customHeight="1">
      <c r="D337" s="33"/>
      <c r="H337" s="33"/>
      <c r="I337" s="33"/>
      <c r="J337" s="33"/>
      <c r="K337" s="33"/>
      <c r="L337" s="33"/>
      <c r="M337" s="33"/>
      <c r="N337" s="33"/>
      <c r="O337" s="33"/>
      <c r="P337" s="71"/>
      <c r="Q337" s="33"/>
      <c r="S337" s="33"/>
      <c r="T337" s="35"/>
      <c r="U337" s="33"/>
    </row>
    <row r="338" ht="15.75" customHeight="1">
      <c r="D338" s="33"/>
      <c r="H338" s="33"/>
      <c r="I338" s="33"/>
      <c r="J338" s="33"/>
      <c r="K338" s="33"/>
      <c r="L338" s="33"/>
      <c r="M338" s="33"/>
      <c r="N338" s="33"/>
      <c r="O338" s="33"/>
      <c r="P338" s="71"/>
      <c r="Q338" s="33"/>
      <c r="S338" s="33"/>
      <c r="T338" s="35"/>
      <c r="U338" s="33"/>
    </row>
    <row r="339" ht="15.75" customHeight="1">
      <c r="D339" s="33"/>
      <c r="H339" s="33"/>
      <c r="I339" s="33"/>
      <c r="J339" s="33"/>
      <c r="K339" s="33"/>
      <c r="L339" s="33"/>
      <c r="M339" s="33"/>
      <c r="N339" s="33"/>
      <c r="O339" s="33"/>
      <c r="P339" s="71"/>
      <c r="Q339" s="33"/>
      <c r="S339" s="33"/>
      <c r="T339" s="35"/>
      <c r="U339" s="33"/>
    </row>
    <row r="340" ht="15.75" customHeight="1">
      <c r="D340" s="33"/>
      <c r="H340" s="33"/>
      <c r="I340" s="33"/>
      <c r="J340" s="33"/>
      <c r="K340" s="33"/>
      <c r="L340" s="33"/>
      <c r="M340" s="33"/>
      <c r="N340" s="33"/>
      <c r="O340" s="33"/>
      <c r="P340" s="71"/>
      <c r="Q340" s="33"/>
      <c r="S340" s="33"/>
      <c r="T340" s="35"/>
      <c r="U340" s="33"/>
    </row>
    <row r="341" ht="15.75" customHeight="1">
      <c r="D341" s="33"/>
      <c r="H341" s="33"/>
      <c r="I341" s="33"/>
      <c r="J341" s="33"/>
      <c r="K341" s="33"/>
      <c r="L341" s="33"/>
      <c r="M341" s="33"/>
      <c r="N341" s="33"/>
      <c r="O341" s="33"/>
      <c r="P341" s="71"/>
      <c r="Q341" s="33"/>
      <c r="S341" s="33"/>
      <c r="T341" s="35"/>
      <c r="U341" s="33"/>
    </row>
    <row r="342" ht="15.75" customHeight="1">
      <c r="D342" s="33"/>
      <c r="H342" s="33"/>
      <c r="I342" s="33"/>
      <c r="J342" s="33"/>
      <c r="K342" s="33"/>
      <c r="L342" s="33"/>
      <c r="M342" s="33"/>
      <c r="N342" s="33"/>
      <c r="O342" s="33"/>
      <c r="P342" s="71"/>
      <c r="Q342" s="33"/>
      <c r="S342" s="33"/>
      <c r="T342" s="35"/>
      <c r="U342" s="33"/>
    </row>
    <row r="343" ht="15.75" customHeight="1">
      <c r="D343" s="33"/>
      <c r="H343" s="33"/>
      <c r="I343" s="33"/>
      <c r="J343" s="33"/>
      <c r="K343" s="33"/>
      <c r="L343" s="33"/>
      <c r="M343" s="33"/>
      <c r="N343" s="33"/>
      <c r="O343" s="33"/>
      <c r="P343" s="71"/>
      <c r="Q343" s="33"/>
      <c r="S343" s="33"/>
      <c r="T343" s="35"/>
      <c r="U343" s="33"/>
    </row>
    <row r="344" ht="15.75" customHeight="1">
      <c r="D344" s="33"/>
      <c r="H344" s="33"/>
      <c r="I344" s="33"/>
      <c r="J344" s="33"/>
      <c r="K344" s="33"/>
      <c r="L344" s="33"/>
      <c r="M344" s="33"/>
      <c r="N344" s="33"/>
      <c r="O344" s="33"/>
      <c r="P344" s="71"/>
      <c r="Q344" s="33"/>
      <c r="S344" s="33"/>
      <c r="T344" s="35"/>
      <c r="U344" s="33"/>
    </row>
    <row r="345" ht="15.75" customHeight="1">
      <c r="D345" s="33"/>
      <c r="H345" s="33"/>
      <c r="I345" s="33"/>
      <c r="J345" s="33"/>
      <c r="K345" s="33"/>
      <c r="L345" s="33"/>
      <c r="M345" s="33"/>
      <c r="N345" s="33"/>
      <c r="O345" s="33"/>
      <c r="P345" s="71"/>
      <c r="Q345" s="33"/>
      <c r="S345" s="33"/>
      <c r="T345" s="35"/>
      <c r="U345" s="33"/>
    </row>
    <row r="346" ht="15.75" customHeight="1">
      <c r="D346" s="33"/>
      <c r="H346" s="33"/>
      <c r="I346" s="33"/>
      <c r="J346" s="33"/>
      <c r="K346" s="33"/>
      <c r="L346" s="33"/>
      <c r="M346" s="33"/>
      <c r="N346" s="33"/>
      <c r="O346" s="33"/>
      <c r="P346" s="71"/>
      <c r="Q346" s="33"/>
      <c r="S346" s="33"/>
      <c r="T346" s="35"/>
      <c r="U346" s="33"/>
    </row>
    <row r="347" ht="15.75" customHeight="1">
      <c r="D347" s="33"/>
      <c r="H347" s="33"/>
      <c r="I347" s="33"/>
      <c r="J347" s="33"/>
      <c r="K347" s="33"/>
      <c r="L347" s="33"/>
      <c r="M347" s="33"/>
      <c r="N347" s="33"/>
      <c r="O347" s="33"/>
      <c r="P347" s="71"/>
      <c r="Q347" s="33"/>
      <c r="S347" s="33"/>
      <c r="T347" s="35"/>
      <c r="U347" s="33"/>
    </row>
    <row r="348" ht="15.75" customHeight="1">
      <c r="D348" s="33"/>
      <c r="H348" s="33"/>
      <c r="I348" s="33"/>
      <c r="J348" s="33"/>
      <c r="K348" s="33"/>
      <c r="L348" s="33"/>
      <c r="M348" s="33"/>
      <c r="N348" s="33"/>
      <c r="O348" s="33"/>
      <c r="P348" s="71"/>
      <c r="Q348" s="33"/>
      <c r="S348" s="33"/>
      <c r="T348" s="35"/>
      <c r="U348" s="33"/>
    </row>
    <row r="349" ht="15.75" customHeight="1">
      <c r="D349" s="33"/>
      <c r="H349" s="33"/>
      <c r="I349" s="33"/>
      <c r="J349" s="33"/>
      <c r="K349" s="33"/>
      <c r="L349" s="33"/>
      <c r="M349" s="33"/>
      <c r="N349" s="33"/>
      <c r="O349" s="33"/>
      <c r="P349" s="71"/>
      <c r="Q349" s="33"/>
      <c r="S349" s="33"/>
      <c r="T349" s="35"/>
      <c r="U349" s="33"/>
    </row>
    <row r="350" ht="15.75" customHeight="1">
      <c r="D350" s="33"/>
      <c r="H350" s="33"/>
      <c r="I350" s="33"/>
      <c r="J350" s="33"/>
      <c r="K350" s="33"/>
      <c r="L350" s="33"/>
      <c r="M350" s="33"/>
      <c r="N350" s="33"/>
      <c r="O350" s="33"/>
      <c r="P350" s="71"/>
      <c r="Q350" s="33"/>
      <c r="S350" s="33"/>
      <c r="T350" s="35"/>
      <c r="U350" s="33"/>
    </row>
    <row r="351" ht="15.75" customHeight="1">
      <c r="D351" s="33"/>
      <c r="H351" s="33"/>
      <c r="I351" s="33"/>
      <c r="J351" s="33"/>
      <c r="K351" s="33"/>
      <c r="L351" s="33"/>
      <c r="M351" s="33"/>
      <c r="N351" s="33"/>
      <c r="O351" s="33"/>
      <c r="P351" s="71"/>
      <c r="Q351" s="33"/>
      <c r="S351" s="33"/>
      <c r="T351" s="35"/>
      <c r="U351" s="33"/>
    </row>
    <row r="352" ht="15.75" customHeight="1">
      <c r="D352" s="33"/>
      <c r="H352" s="33"/>
      <c r="I352" s="33"/>
      <c r="J352" s="33"/>
      <c r="K352" s="33"/>
      <c r="L352" s="33"/>
      <c r="M352" s="33"/>
      <c r="N352" s="33"/>
      <c r="O352" s="33"/>
      <c r="P352" s="71"/>
      <c r="Q352" s="33"/>
      <c r="S352" s="33"/>
      <c r="T352" s="35"/>
      <c r="U352" s="33"/>
    </row>
    <row r="353" ht="15.75" customHeight="1">
      <c r="D353" s="33"/>
      <c r="H353" s="33"/>
      <c r="I353" s="33"/>
      <c r="J353" s="33"/>
      <c r="K353" s="33"/>
      <c r="L353" s="33"/>
      <c r="M353" s="33"/>
      <c r="N353" s="33"/>
      <c r="O353" s="33"/>
      <c r="P353" s="71"/>
      <c r="Q353" s="33"/>
      <c r="S353" s="33"/>
      <c r="T353" s="35"/>
      <c r="U353" s="33"/>
    </row>
    <row r="354" ht="15.75" customHeight="1">
      <c r="D354" s="33"/>
      <c r="H354" s="33"/>
      <c r="I354" s="33"/>
      <c r="J354" s="33"/>
      <c r="K354" s="33"/>
      <c r="L354" s="33"/>
      <c r="M354" s="33"/>
      <c r="N354" s="33"/>
      <c r="O354" s="33"/>
      <c r="P354" s="71"/>
      <c r="Q354" s="33"/>
      <c r="S354" s="33"/>
      <c r="T354" s="35"/>
      <c r="U354" s="33"/>
    </row>
    <row r="355" ht="15.75" customHeight="1">
      <c r="D355" s="33"/>
      <c r="H355" s="33"/>
      <c r="I355" s="33"/>
      <c r="J355" s="33"/>
      <c r="K355" s="33"/>
      <c r="L355" s="33"/>
      <c r="M355" s="33"/>
      <c r="N355" s="33"/>
      <c r="O355" s="33"/>
      <c r="P355" s="71"/>
      <c r="Q355" s="33"/>
      <c r="S355" s="33"/>
      <c r="T355" s="35"/>
      <c r="U355" s="33"/>
    </row>
    <row r="356" ht="15.75" customHeight="1">
      <c r="D356" s="33"/>
      <c r="H356" s="33"/>
      <c r="I356" s="33"/>
      <c r="J356" s="33"/>
      <c r="K356" s="33"/>
      <c r="L356" s="33"/>
      <c r="M356" s="33"/>
      <c r="N356" s="33"/>
      <c r="O356" s="33"/>
      <c r="P356" s="71"/>
      <c r="Q356" s="33"/>
      <c r="S356" s="33"/>
      <c r="T356" s="35"/>
      <c r="U356" s="33"/>
    </row>
    <row r="357" ht="15.75" customHeight="1">
      <c r="D357" s="33"/>
      <c r="H357" s="33"/>
      <c r="I357" s="33"/>
      <c r="J357" s="33"/>
      <c r="K357" s="33"/>
      <c r="L357" s="33"/>
      <c r="M357" s="33"/>
      <c r="N357" s="33"/>
      <c r="O357" s="33"/>
      <c r="P357" s="71"/>
      <c r="Q357" s="33"/>
      <c r="S357" s="33"/>
      <c r="T357" s="35"/>
      <c r="U357" s="33"/>
    </row>
    <row r="358" ht="15.75" customHeight="1">
      <c r="D358" s="33"/>
      <c r="H358" s="33"/>
      <c r="I358" s="33"/>
      <c r="J358" s="33"/>
      <c r="K358" s="33"/>
      <c r="L358" s="33"/>
      <c r="M358" s="33"/>
      <c r="N358" s="33"/>
      <c r="O358" s="33"/>
      <c r="P358" s="71"/>
      <c r="Q358" s="33"/>
      <c r="S358" s="33"/>
      <c r="T358" s="35"/>
      <c r="U358" s="33"/>
    </row>
    <row r="359" ht="15.75" customHeight="1">
      <c r="D359" s="33"/>
      <c r="H359" s="33"/>
      <c r="I359" s="33"/>
      <c r="J359" s="33"/>
      <c r="K359" s="33"/>
      <c r="L359" s="33"/>
      <c r="M359" s="33"/>
      <c r="N359" s="33"/>
      <c r="O359" s="33"/>
      <c r="P359" s="71"/>
      <c r="Q359" s="33"/>
      <c r="S359" s="33"/>
      <c r="T359" s="35"/>
      <c r="U359" s="33"/>
    </row>
    <row r="360" ht="15.75" customHeight="1">
      <c r="D360" s="33"/>
      <c r="H360" s="33"/>
      <c r="I360" s="33"/>
      <c r="J360" s="33"/>
      <c r="K360" s="33"/>
      <c r="L360" s="33"/>
      <c r="M360" s="33"/>
      <c r="N360" s="33"/>
      <c r="O360" s="33"/>
      <c r="P360" s="71"/>
      <c r="Q360" s="33"/>
      <c r="S360" s="33"/>
      <c r="T360" s="35"/>
      <c r="U360" s="33"/>
    </row>
    <row r="361" ht="15.75" customHeight="1">
      <c r="D361" s="33"/>
      <c r="H361" s="33"/>
      <c r="I361" s="33"/>
      <c r="J361" s="33"/>
      <c r="K361" s="33"/>
      <c r="L361" s="33"/>
      <c r="M361" s="33"/>
      <c r="N361" s="33"/>
      <c r="O361" s="33"/>
      <c r="P361" s="71"/>
      <c r="Q361" s="33"/>
      <c r="S361" s="33"/>
      <c r="T361" s="35"/>
      <c r="U361" s="33"/>
    </row>
    <row r="362" ht="15.75" customHeight="1">
      <c r="D362" s="33"/>
      <c r="H362" s="33"/>
      <c r="I362" s="33"/>
      <c r="J362" s="33"/>
      <c r="K362" s="33"/>
      <c r="L362" s="33"/>
      <c r="M362" s="33"/>
      <c r="N362" s="33"/>
      <c r="O362" s="33"/>
      <c r="P362" s="71"/>
      <c r="Q362" s="33"/>
      <c r="S362" s="33"/>
      <c r="T362" s="35"/>
      <c r="U362" s="33"/>
    </row>
    <row r="363" ht="15.75" customHeight="1">
      <c r="D363" s="33"/>
      <c r="H363" s="33"/>
      <c r="I363" s="33"/>
      <c r="J363" s="33"/>
      <c r="K363" s="33"/>
      <c r="L363" s="33"/>
      <c r="M363" s="33"/>
      <c r="N363" s="33"/>
      <c r="O363" s="33"/>
      <c r="P363" s="71"/>
      <c r="Q363" s="33"/>
      <c r="S363" s="33"/>
      <c r="T363" s="35"/>
      <c r="U363" s="33"/>
    </row>
    <row r="364" ht="15.75" customHeight="1">
      <c r="D364" s="33"/>
      <c r="H364" s="33"/>
      <c r="I364" s="33"/>
      <c r="J364" s="33"/>
      <c r="K364" s="33"/>
      <c r="L364" s="33"/>
      <c r="M364" s="33"/>
      <c r="N364" s="33"/>
      <c r="O364" s="33"/>
      <c r="P364" s="71"/>
      <c r="Q364" s="33"/>
      <c r="S364" s="33"/>
      <c r="T364" s="35"/>
      <c r="U364" s="33"/>
    </row>
    <row r="365" ht="15.75" customHeight="1">
      <c r="D365" s="33"/>
      <c r="H365" s="33"/>
      <c r="I365" s="33"/>
      <c r="J365" s="33"/>
      <c r="K365" s="33"/>
      <c r="L365" s="33"/>
      <c r="M365" s="33"/>
      <c r="N365" s="33"/>
      <c r="O365" s="33"/>
      <c r="P365" s="71"/>
      <c r="Q365" s="33"/>
      <c r="S365" s="33"/>
      <c r="T365" s="35"/>
      <c r="U365" s="33"/>
    </row>
    <row r="366" ht="15.75" customHeight="1">
      <c r="D366" s="33"/>
      <c r="H366" s="33"/>
      <c r="I366" s="33"/>
      <c r="J366" s="33"/>
      <c r="K366" s="33"/>
      <c r="L366" s="33"/>
      <c r="M366" s="33"/>
      <c r="N366" s="33"/>
      <c r="O366" s="33"/>
      <c r="P366" s="71"/>
      <c r="Q366" s="33"/>
      <c r="S366" s="33"/>
      <c r="T366" s="35"/>
      <c r="U366" s="33"/>
    </row>
    <row r="367" ht="15.75" customHeight="1">
      <c r="D367" s="33"/>
      <c r="H367" s="33"/>
      <c r="I367" s="33"/>
      <c r="J367" s="33"/>
      <c r="K367" s="33"/>
      <c r="L367" s="33"/>
      <c r="M367" s="33"/>
      <c r="N367" s="33"/>
      <c r="O367" s="33"/>
      <c r="P367" s="71"/>
      <c r="Q367" s="33"/>
      <c r="S367" s="33"/>
      <c r="T367" s="35"/>
      <c r="U367" s="33"/>
    </row>
    <row r="368" ht="15.75" customHeight="1">
      <c r="D368" s="33"/>
      <c r="H368" s="33"/>
      <c r="I368" s="33"/>
      <c r="J368" s="33"/>
      <c r="K368" s="33"/>
      <c r="L368" s="33"/>
      <c r="M368" s="33"/>
      <c r="N368" s="33"/>
      <c r="O368" s="33"/>
      <c r="P368" s="71"/>
      <c r="Q368" s="33"/>
      <c r="S368" s="33"/>
      <c r="T368" s="35"/>
      <c r="U368" s="33"/>
    </row>
    <row r="369" ht="15.75" customHeight="1">
      <c r="D369" s="33"/>
      <c r="H369" s="33"/>
      <c r="I369" s="33"/>
      <c r="J369" s="33"/>
      <c r="K369" s="33"/>
      <c r="L369" s="33"/>
      <c r="M369" s="33"/>
      <c r="N369" s="33"/>
      <c r="O369" s="33"/>
      <c r="P369" s="71"/>
      <c r="Q369" s="33"/>
      <c r="S369" s="33"/>
      <c r="T369" s="35"/>
      <c r="U369" s="33"/>
    </row>
    <row r="370" ht="15.75" customHeight="1">
      <c r="D370" s="33"/>
      <c r="H370" s="33"/>
      <c r="I370" s="33"/>
      <c r="J370" s="33"/>
      <c r="K370" s="33"/>
      <c r="L370" s="33"/>
      <c r="M370" s="33"/>
      <c r="N370" s="33"/>
      <c r="O370" s="33"/>
      <c r="P370" s="71"/>
      <c r="Q370" s="33"/>
      <c r="S370" s="33"/>
      <c r="T370" s="35"/>
      <c r="U370" s="33"/>
    </row>
    <row r="371" ht="15.75" customHeight="1">
      <c r="D371" s="33"/>
      <c r="H371" s="33"/>
      <c r="I371" s="33"/>
      <c r="J371" s="33"/>
      <c r="K371" s="33"/>
      <c r="L371" s="33"/>
      <c r="M371" s="33"/>
      <c r="N371" s="33"/>
      <c r="O371" s="33"/>
      <c r="P371" s="71"/>
      <c r="Q371" s="33"/>
      <c r="S371" s="33"/>
      <c r="T371" s="35"/>
      <c r="U371" s="33"/>
    </row>
    <row r="372" ht="15.75" customHeight="1">
      <c r="D372" s="33"/>
      <c r="H372" s="33"/>
      <c r="I372" s="33"/>
      <c r="J372" s="33"/>
      <c r="K372" s="33"/>
      <c r="L372" s="33"/>
      <c r="M372" s="33"/>
      <c r="N372" s="33"/>
      <c r="O372" s="33"/>
      <c r="P372" s="71"/>
      <c r="Q372" s="33"/>
      <c r="S372" s="33"/>
      <c r="T372" s="35"/>
      <c r="U372" s="33"/>
    </row>
    <row r="373" ht="15.75" customHeight="1">
      <c r="D373" s="33"/>
      <c r="H373" s="33"/>
      <c r="I373" s="33"/>
      <c r="J373" s="33"/>
      <c r="K373" s="33"/>
      <c r="L373" s="33"/>
      <c r="M373" s="33"/>
      <c r="N373" s="33"/>
      <c r="O373" s="33"/>
      <c r="P373" s="71"/>
      <c r="Q373" s="33"/>
      <c r="S373" s="33"/>
      <c r="T373" s="35"/>
      <c r="U373" s="33"/>
    </row>
    <row r="374" ht="15.75" customHeight="1">
      <c r="D374" s="33"/>
      <c r="H374" s="33"/>
      <c r="I374" s="33"/>
      <c r="J374" s="33"/>
      <c r="K374" s="33"/>
      <c r="L374" s="33"/>
      <c r="M374" s="33"/>
      <c r="N374" s="33"/>
      <c r="O374" s="33"/>
      <c r="P374" s="71"/>
      <c r="Q374" s="33"/>
      <c r="S374" s="33"/>
      <c r="T374" s="35"/>
      <c r="U374" s="33"/>
    </row>
    <row r="375" ht="15.75" customHeight="1">
      <c r="D375" s="33"/>
      <c r="H375" s="33"/>
      <c r="I375" s="33"/>
      <c r="J375" s="33"/>
      <c r="K375" s="33"/>
      <c r="L375" s="33"/>
      <c r="M375" s="33"/>
      <c r="N375" s="33"/>
      <c r="O375" s="33"/>
      <c r="P375" s="71"/>
      <c r="Q375" s="33"/>
      <c r="S375" s="33"/>
      <c r="T375" s="35"/>
      <c r="U375" s="33"/>
    </row>
    <row r="376" ht="15.75" customHeight="1">
      <c r="D376" s="33"/>
      <c r="H376" s="33"/>
      <c r="I376" s="33"/>
      <c r="J376" s="33"/>
      <c r="K376" s="33"/>
      <c r="L376" s="33"/>
      <c r="M376" s="33"/>
      <c r="N376" s="33"/>
      <c r="O376" s="33"/>
      <c r="P376" s="71"/>
      <c r="Q376" s="33"/>
      <c r="S376" s="33"/>
      <c r="T376" s="35"/>
      <c r="U376" s="33"/>
    </row>
    <row r="377" ht="15.75" customHeight="1">
      <c r="D377" s="33"/>
      <c r="H377" s="33"/>
      <c r="I377" s="33"/>
      <c r="J377" s="33"/>
      <c r="K377" s="33"/>
      <c r="L377" s="33"/>
      <c r="M377" s="33"/>
      <c r="N377" s="33"/>
      <c r="O377" s="33"/>
      <c r="P377" s="71"/>
      <c r="Q377" s="33"/>
      <c r="S377" s="33"/>
      <c r="T377" s="35"/>
      <c r="U377" s="33"/>
    </row>
    <row r="378" ht="15.75" customHeight="1">
      <c r="D378" s="33"/>
      <c r="H378" s="33"/>
      <c r="I378" s="33"/>
      <c r="J378" s="33"/>
      <c r="K378" s="33"/>
      <c r="L378" s="33"/>
      <c r="M378" s="33"/>
      <c r="N378" s="33"/>
      <c r="O378" s="33"/>
      <c r="P378" s="71"/>
      <c r="Q378" s="33"/>
      <c r="S378" s="33"/>
      <c r="T378" s="35"/>
      <c r="U378" s="33"/>
    </row>
    <row r="379" ht="15.75" customHeight="1">
      <c r="D379" s="33"/>
      <c r="H379" s="33"/>
      <c r="I379" s="33"/>
      <c r="J379" s="33"/>
      <c r="K379" s="33"/>
      <c r="L379" s="33"/>
      <c r="M379" s="33"/>
      <c r="N379" s="33"/>
      <c r="O379" s="33"/>
      <c r="P379" s="71"/>
      <c r="Q379" s="33"/>
      <c r="S379" s="33"/>
      <c r="T379" s="35"/>
      <c r="U379" s="33"/>
    </row>
    <row r="380" ht="15.75" customHeight="1">
      <c r="D380" s="33"/>
      <c r="H380" s="33"/>
      <c r="I380" s="33"/>
      <c r="J380" s="33"/>
      <c r="K380" s="33"/>
      <c r="L380" s="33"/>
      <c r="M380" s="33"/>
      <c r="N380" s="33"/>
      <c r="O380" s="33"/>
      <c r="P380" s="71"/>
      <c r="Q380" s="33"/>
      <c r="S380" s="33"/>
      <c r="T380" s="35"/>
      <c r="U380" s="33"/>
    </row>
    <row r="381" ht="15.75" customHeight="1">
      <c r="D381" s="33"/>
      <c r="H381" s="33"/>
      <c r="I381" s="33"/>
      <c r="J381" s="33"/>
      <c r="K381" s="33"/>
      <c r="L381" s="33"/>
      <c r="M381" s="33"/>
      <c r="N381" s="33"/>
      <c r="O381" s="33"/>
      <c r="P381" s="71"/>
      <c r="Q381" s="33"/>
      <c r="S381" s="33"/>
      <c r="T381" s="35"/>
      <c r="U381" s="33"/>
    </row>
    <row r="382" ht="15.75" customHeight="1">
      <c r="D382" s="33"/>
      <c r="H382" s="33"/>
      <c r="I382" s="33"/>
      <c r="J382" s="33"/>
      <c r="K382" s="33"/>
      <c r="L382" s="33"/>
      <c r="M382" s="33"/>
      <c r="N382" s="33"/>
      <c r="O382" s="33"/>
      <c r="P382" s="71"/>
      <c r="Q382" s="33"/>
      <c r="S382" s="33"/>
      <c r="T382" s="35"/>
      <c r="U382" s="33"/>
    </row>
    <row r="383" ht="15.75" customHeight="1">
      <c r="D383" s="33"/>
      <c r="H383" s="33"/>
      <c r="I383" s="33"/>
      <c r="J383" s="33"/>
      <c r="K383" s="33"/>
      <c r="L383" s="33"/>
      <c r="M383" s="33"/>
      <c r="N383" s="33"/>
      <c r="O383" s="33"/>
      <c r="P383" s="71"/>
      <c r="Q383" s="33"/>
      <c r="S383" s="33"/>
      <c r="T383" s="35"/>
      <c r="U383" s="33"/>
    </row>
    <row r="384" ht="15.75" customHeight="1">
      <c r="D384" s="33"/>
      <c r="H384" s="33"/>
      <c r="I384" s="33"/>
      <c r="J384" s="33"/>
      <c r="K384" s="33"/>
      <c r="L384" s="33"/>
      <c r="M384" s="33"/>
      <c r="N384" s="33"/>
      <c r="O384" s="33"/>
      <c r="P384" s="71"/>
      <c r="Q384" s="33"/>
      <c r="S384" s="33"/>
      <c r="T384" s="35"/>
      <c r="U384" s="33"/>
    </row>
    <row r="385" ht="15.75" customHeight="1">
      <c r="D385" s="33"/>
      <c r="H385" s="33"/>
      <c r="I385" s="33"/>
      <c r="J385" s="33"/>
      <c r="K385" s="33"/>
      <c r="L385" s="33"/>
      <c r="M385" s="33"/>
      <c r="N385" s="33"/>
      <c r="O385" s="33"/>
      <c r="P385" s="71"/>
      <c r="Q385" s="33"/>
      <c r="S385" s="33"/>
      <c r="T385" s="35"/>
      <c r="U385" s="33"/>
    </row>
    <row r="386" ht="15.75" customHeight="1">
      <c r="D386" s="33"/>
      <c r="H386" s="33"/>
      <c r="I386" s="33"/>
      <c r="J386" s="33"/>
      <c r="K386" s="33"/>
      <c r="L386" s="33"/>
      <c r="M386" s="33"/>
      <c r="N386" s="33"/>
      <c r="O386" s="33"/>
      <c r="P386" s="71"/>
      <c r="Q386" s="33"/>
      <c r="S386" s="33"/>
      <c r="T386" s="35"/>
      <c r="U386" s="33"/>
    </row>
    <row r="387" ht="15.75" customHeight="1">
      <c r="D387" s="33"/>
      <c r="H387" s="33"/>
      <c r="I387" s="33"/>
      <c r="J387" s="33"/>
      <c r="K387" s="33"/>
      <c r="L387" s="33"/>
      <c r="M387" s="33"/>
      <c r="N387" s="33"/>
      <c r="O387" s="33"/>
      <c r="P387" s="71"/>
      <c r="Q387" s="33"/>
      <c r="S387" s="33"/>
      <c r="T387" s="35"/>
      <c r="U387" s="33"/>
    </row>
    <row r="388" ht="15.75" customHeight="1">
      <c r="D388" s="33"/>
      <c r="H388" s="33"/>
      <c r="I388" s="33"/>
      <c r="J388" s="33"/>
      <c r="K388" s="33"/>
      <c r="L388" s="33"/>
      <c r="M388" s="33"/>
      <c r="N388" s="33"/>
      <c r="O388" s="33"/>
      <c r="P388" s="71"/>
      <c r="Q388" s="33"/>
      <c r="S388" s="33"/>
      <c r="T388" s="35"/>
      <c r="U388" s="33"/>
    </row>
    <row r="389" ht="15.75" customHeight="1">
      <c r="D389" s="33"/>
      <c r="H389" s="33"/>
      <c r="I389" s="33"/>
      <c r="J389" s="33"/>
      <c r="K389" s="33"/>
      <c r="L389" s="33"/>
      <c r="M389" s="33"/>
      <c r="N389" s="33"/>
      <c r="O389" s="33"/>
      <c r="P389" s="71"/>
      <c r="Q389" s="33"/>
      <c r="S389" s="33"/>
      <c r="T389" s="35"/>
      <c r="U389" s="33"/>
    </row>
    <row r="390" ht="15.75" customHeight="1">
      <c r="D390" s="33"/>
      <c r="H390" s="33"/>
      <c r="I390" s="33"/>
      <c r="J390" s="33"/>
      <c r="K390" s="33"/>
      <c r="L390" s="33"/>
      <c r="M390" s="33"/>
      <c r="N390" s="33"/>
      <c r="O390" s="33"/>
      <c r="P390" s="71"/>
      <c r="Q390" s="33"/>
      <c r="S390" s="33"/>
      <c r="T390" s="35"/>
      <c r="U390" s="33"/>
    </row>
    <row r="391" ht="15.75" customHeight="1">
      <c r="D391" s="33"/>
      <c r="H391" s="33"/>
      <c r="I391" s="33"/>
      <c r="J391" s="33"/>
      <c r="K391" s="33"/>
      <c r="L391" s="33"/>
      <c r="M391" s="33"/>
      <c r="N391" s="33"/>
      <c r="O391" s="33"/>
      <c r="P391" s="71"/>
      <c r="Q391" s="33"/>
      <c r="S391" s="33"/>
      <c r="T391" s="35"/>
      <c r="U391" s="33"/>
    </row>
    <row r="392" ht="15.75" customHeight="1">
      <c r="D392" s="33"/>
      <c r="H392" s="33"/>
      <c r="I392" s="33"/>
      <c r="J392" s="33"/>
      <c r="K392" s="33"/>
      <c r="L392" s="33"/>
      <c r="M392" s="33"/>
      <c r="N392" s="33"/>
      <c r="O392" s="33"/>
      <c r="P392" s="71"/>
      <c r="Q392" s="33"/>
      <c r="S392" s="33"/>
      <c r="T392" s="35"/>
      <c r="U392" s="33"/>
    </row>
    <row r="393" ht="15.75" customHeight="1">
      <c r="D393" s="33"/>
      <c r="H393" s="33"/>
      <c r="I393" s="33"/>
      <c r="J393" s="33"/>
      <c r="K393" s="33"/>
      <c r="L393" s="33"/>
      <c r="M393" s="33"/>
      <c r="N393" s="33"/>
      <c r="O393" s="33"/>
      <c r="P393" s="71"/>
      <c r="Q393" s="33"/>
      <c r="S393" s="33"/>
      <c r="T393" s="35"/>
      <c r="U393" s="33"/>
    </row>
    <row r="394" ht="15.75" customHeight="1">
      <c r="D394" s="33"/>
      <c r="H394" s="33"/>
      <c r="I394" s="33"/>
      <c r="J394" s="33"/>
      <c r="K394" s="33"/>
      <c r="L394" s="33"/>
      <c r="M394" s="33"/>
      <c r="N394" s="33"/>
      <c r="O394" s="33"/>
      <c r="P394" s="71"/>
      <c r="Q394" s="33"/>
      <c r="S394" s="33"/>
      <c r="T394" s="35"/>
      <c r="U394" s="33"/>
    </row>
    <row r="395" ht="15.75" customHeight="1">
      <c r="D395" s="33"/>
      <c r="H395" s="33"/>
      <c r="I395" s="33"/>
      <c r="J395" s="33"/>
      <c r="K395" s="33"/>
      <c r="L395" s="33"/>
      <c r="M395" s="33"/>
      <c r="N395" s="33"/>
      <c r="O395" s="33"/>
      <c r="P395" s="71"/>
      <c r="Q395" s="33"/>
      <c r="S395" s="33"/>
      <c r="T395" s="35"/>
      <c r="U395" s="33"/>
    </row>
    <row r="396" ht="15.75" customHeight="1">
      <c r="D396" s="33"/>
      <c r="H396" s="33"/>
      <c r="I396" s="33"/>
      <c r="J396" s="33"/>
      <c r="K396" s="33"/>
      <c r="L396" s="33"/>
      <c r="M396" s="33"/>
      <c r="N396" s="33"/>
      <c r="O396" s="33"/>
      <c r="P396" s="71"/>
      <c r="Q396" s="33"/>
      <c r="S396" s="33"/>
      <c r="T396" s="35"/>
      <c r="U396" s="33"/>
    </row>
    <row r="397" ht="15.75" customHeight="1">
      <c r="D397" s="33"/>
      <c r="H397" s="33"/>
      <c r="I397" s="33"/>
      <c r="J397" s="33"/>
      <c r="K397" s="33"/>
      <c r="L397" s="33"/>
      <c r="M397" s="33"/>
      <c r="N397" s="33"/>
      <c r="O397" s="33"/>
      <c r="P397" s="71"/>
      <c r="Q397" s="33"/>
      <c r="S397" s="33"/>
      <c r="T397" s="35"/>
      <c r="U397" s="33"/>
    </row>
    <row r="398" ht="15.75" customHeight="1">
      <c r="D398" s="33"/>
      <c r="H398" s="33"/>
      <c r="I398" s="33"/>
      <c r="J398" s="33"/>
      <c r="K398" s="33"/>
      <c r="L398" s="33"/>
      <c r="M398" s="33"/>
      <c r="N398" s="33"/>
      <c r="O398" s="33"/>
      <c r="P398" s="71"/>
      <c r="Q398" s="33"/>
      <c r="S398" s="33"/>
      <c r="T398" s="35"/>
      <c r="U398" s="33"/>
    </row>
    <row r="399" ht="15.75" customHeight="1">
      <c r="D399" s="33"/>
      <c r="H399" s="33"/>
      <c r="I399" s="33"/>
      <c r="J399" s="33"/>
      <c r="K399" s="33"/>
      <c r="L399" s="33"/>
      <c r="M399" s="33"/>
      <c r="N399" s="33"/>
      <c r="O399" s="33"/>
      <c r="P399" s="71"/>
      <c r="Q399" s="33"/>
      <c r="S399" s="33"/>
      <c r="T399" s="35"/>
      <c r="U399" s="33"/>
    </row>
    <row r="400" ht="15.75" customHeight="1">
      <c r="D400" s="33"/>
      <c r="H400" s="33"/>
      <c r="I400" s="33"/>
      <c r="J400" s="33"/>
      <c r="K400" s="33"/>
      <c r="L400" s="33"/>
      <c r="M400" s="33"/>
      <c r="N400" s="33"/>
      <c r="O400" s="33"/>
      <c r="P400" s="71"/>
      <c r="Q400" s="33"/>
      <c r="S400" s="33"/>
      <c r="T400" s="35"/>
      <c r="U400" s="33"/>
    </row>
    <row r="401" ht="15.75" customHeight="1">
      <c r="D401" s="33"/>
      <c r="H401" s="33"/>
      <c r="I401" s="33"/>
      <c r="J401" s="33"/>
      <c r="K401" s="33"/>
      <c r="L401" s="33"/>
      <c r="M401" s="33"/>
      <c r="N401" s="33"/>
      <c r="O401" s="33"/>
      <c r="P401" s="71"/>
      <c r="Q401" s="33"/>
      <c r="S401" s="33"/>
      <c r="T401" s="35"/>
      <c r="U401" s="33"/>
    </row>
    <row r="402" ht="15.75" customHeight="1">
      <c r="D402" s="33"/>
      <c r="H402" s="33"/>
      <c r="I402" s="33"/>
      <c r="J402" s="33"/>
      <c r="K402" s="33"/>
      <c r="L402" s="33"/>
      <c r="M402" s="33"/>
      <c r="N402" s="33"/>
      <c r="O402" s="33"/>
      <c r="P402" s="71"/>
      <c r="Q402" s="33"/>
      <c r="S402" s="33"/>
      <c r="T402" s="35"/>
      <c r="U402" s="33"/>
    </row>
    <row r="403" ht="15.75" customHeight="1">
      <c r="D403" s="33"/>
      <c r="H403" s="33"/>
      <c r="I403" s="33"/>
      <c r="J403" s="33"/>
      <c r="K403" s="33"/>
      <c r="L403" s="33"/>
      <c r="M403" s="33"/>
      <c r="N403" s="33"/>
      <c r="O403" s="33"/>
      <c r="P403" s="71"/>
      <c r="Q403" s="33"/>
      <c r="S403" s="33"/>
      <c r="T403" s="35"/>
      <c r="U403" s="33"/>
    </row>
    <row r="404" ht="15.75" customHeight="1">
      <c r="D404" s="33"/>
      <c r="H404" s="33"/>
      <c r="I404" s="33"/>
      <c r="J404" s="33"/>
      <c r="K404" s="33"/>
      <c r="L404" s="33"/>
      <c r="M404" s="33"/>
      <c r="N404" s="33"/>
      <c r="O404" s="33"/>
      <c r="P404" s="71"/>
      <c r="Q404" s="33"/>
      <c r="S404" s="33"/>
      <c r="T404" s="35"/>
      <c r="U404" s="33"/>
    </row>
    <row r="405" ht="15.75" customHeight="1">
      <c r="D405" s="33"/>
      <c r="H405" s="33"/>
      <c r="I405" s="33"/>
      <c r="J405" s="33"/>
      <c r="K405" s="33"/>
      <c r="L405" s="33"/>
      <c r="M405" s="33"/>
      <c r="N405" s="33"/>
      <c r="O405" s="33"/>
      <c r="P405" s="71"/>
      <c r="Q405" s="33"/>
      <c r="S405" s="33"/>
      <c r="T405" s="35"/>
      <c r="U405" s="33"/>
    </row>
    <row r="406" ht="15.75" customHeight="1">
      <c r="D406" s="33"/>
      <c r="H406" s="33"/>
      <c r="I406" s="33"/>
      <c r="J406" s="33"/>
      <c r="K406" s="33"/>
      <c r="L406" s="33"/>
      <c r="M406" s="33"/>
      <c r="N406" s="33"/>
      <c r="O406" s="33"/>
      <c r="P406" s="71"/>
      <c r="Q406" s="33"/>
      <c r="S406" s="33"/>
      <c r="T406" s="35"/>
      <c r="U406" s="33"/>
    </row>
    <row r="407" ht="15.75" customHeight="1">
      <c r="D407" s="33"/>
      <c r="H407" s="33"/>
      <c r="I407" s="33"/>
      <c r="J407" s="33"/>
      <c r="K407" s="33"/>
      <c r="L407" s="33"/>
      <c r="M407" s="33"/>
      <c r="N407" s="33"/>
      <c r="O407" s="33"/>
      <c r="P407" s="71"/>
      <c r="Q407" s="33"/>
      <c r="S407" s="33"/>
      <c r="T407" s="35"/>
      <c r="U407" s="33"/>
    </row>
    <row r="408" ht="15.75" customHeight="1">
      <c r="D408" s="33"/>
      <c r="H408" s="33"/>
      <c r="I408" s="33"/>
      <c r="J408" s="33"/>
      <c r="K408" s="33"/>
      <c r="L408" s="33"/>
      <c r="M408" s="33"/>
      <c r="N408" s="33"/>
      <c r="O408" s="33"/>
      <c r="P408" s="71"/>
      <c r="Q408" s="33"/>
      <c r="S408" s="33"/>
      <c r="T408" s="35"/>
      <c r="U408" s="33"/>
    </row>
    <row r="409" ht="15.75" customHeight="1">
      <c r="D409" s="33"/>
      <c r="H409" s="33"/>
      <c r="I409" s="33"/>
      <c r="J409" s="33"/>
      <c r="K409" s="33"/>
      <c r="L409" s="33"/>
      <c r="M409" s="33"/>
      <c r="N409" s="33"/>
      <c r="O409" s="33"/>
      <c r="P409" s="71"/>
      <c r="Q409" s="33"/>
      <c r="S409" s="33"/>
      <c r="T409" s="35"/>
      <c r="U409" s="33"/>
    </row>
    <row r="410" ht="15.75" customHeight="1">
      <c r="D410" s="33"/>
      <c r="H410" s="33"/>
      <c r="I410" s="33"/>
      <c r="J410" s="33"/>
      <c r="K410" s="33"/>
      <c r="L410" s="33"/>
      <c r="M410" s="33"/>
      <c r="N410" s="33"/>
      <c r="O410" s="33"/>
      <c r="P410" s="71"/>
      <c r="Q410" s="33"/>
      <c r="S410" s="33"/>
      <c r="T410" s="35"/>
      <c r="U410" s="33"/>
    </row>
    <row r="411" ht="15.75" customHeight="1">
      <c r="D411" s="33"/>
      <c r="H411" s="33"/>
      <c r="I411" s="33"/>
      <c r="J411" s="33"/>
      <c r="K411" s="33"/>
      <c r="L411" s="33"/>
      <c r="M411" s="33"/>
      <c r="N411" s="33"/>
      <c r="O411" s="33"/>
      <c r="P411" s="71"/>
      <c r="Q411" s="33"/>
      <c r="S411" s="33"/>
      <c r="T411" s="35"/>
      <c r="U411" s="33"/>
    </row>
    <row r="412" ht="15.75" customHeight="1">
      <c r="D412" s="33"/>
      <c r="H412" s="33"/>
      <c r="I412" s="33"/>
      <c r="J412" s="33"/>
      <c r="K412" s="33"/>
      <c r="L412" s="33"/>
      <c r="M412" s="33"/>
      <c r="N412" s="33"/>
      <c r="O412" s="33"/>
      <c r="P412" s="71"/>
      <c r="Q412" s="33"/>
      <c r="S412" s="33"/>
      <c r="T412" s="35"/>
      <c r="U412" s="33"/>
    </row>
    <row r="413" ht="15.75" customHeight="1">
      <c r="D413" s="33"/>
      <c r="H413" s="33"/>
      <c r="I413" s="33"/>
      <c r="J413" s="33"/>
      <c r="K413" s="33"/>
      <c r="L413" s="33"/>
      <c r="M413" s="33"/>
      <c r="N413" s="33"/>
      <c r="O413" s="33"/>
      <c r="P413" s="71"/>
      <c r="Q413" s="33"/>
      <c r="S413" s="33"/>
      <c r="T413" s="35"/>
      <c r="U413" s="33"/>
    </row>
    <row r="414" ht="15.75" customHeight="1">
      <c r="D414" s="33"/>
      <c r="H414" s="33"/>
      <c r="I414" s="33"/>
      <c r="J414" s="33"/>
      <c r="K414" s="33"/>
      <c r="L414" s="33"/>
      <c r="M414" s="33"/>
      <c r="N414" s="33"/>
      <c r="O414" s="33"/>
      <c r="P414" s="71"/>
      <c r="Q414" s="33"/>
      <c r="S414" s="33"/>
      <c r="T414" s="35"/>
      <c r="U414" s="33"/>
    </row>
    <row r="415" ht="15.75" customHeight="1">
      <c r="D415" s="33"/>
      <c r="H415" s="33"/>
      <c r="I415" s="33"/>
      <c r="J415" s="33"/>
      <c r="K415" s="33"/>
      <c r="L415" s="33"/>
      <c r="M415" s="33"/>
      <c r="N415" s="33"/>
      <c r="O415" s="33"/>
      <c r="P415" s="71"/>
      <c r="Q415" s="33"/>
      <c r="S415" s="33"/>
      <c r="T415" s="35"/>
      <c r="U415" s="33"/>
    </row>
    <row r="416" ht="15.75" customHeight="1">
      <c r="D416" s="33"/>
      <c r="H416" s="33"/>
      <c r="I416" s="33"/>
      <c r="J416" s="33"/>
      <c r="K416" s="33"/>
      <c r="L416" s="33"/>
      <c r="M416" s="33"/>
      <c r="N416" s="33"/>
      <c r="O416" s="33"/>
      <c r="P416" s="71"/>
      <c r="Q416" s="33"/>
      <c r="S416" s="33"/>
      <c r="T416" s="35"/>
      <c r="U416" s="33"/>
    </row>
    <row r="417" ht="15.75" customHeight="1">
      <c r="D417" s="33"/>
      <c r="H417" s="33"/>
      <c r="I417" s="33"/>
      <c r="J417" s="33"/>
      <c r="K417" s="33"/>
      <c r="L417" s="33"/>
      <c r="M417" s="33"/>
      <c r="N417" s="33"/>
      <c r="O417" s="33"/>
      <c r="P417" s="71"/>
      <c r="Q417" s="33"/>
      <c r="S417" s="33"/>
      <c r="T417" s="35"/>
      <c r="U417" s="33"/>
    </row>
    <row r="418" ht="15.75" customHeight="1">
      <c r="D418" s="33"/>
      <c r="H418" s="33"/>
      <c r="I418" s="33"/>
      <c r="J418" s="33"/>
      <c r="K418" s="33"/>
      <c r="L418" s="33"/>
      <c r="M418" s="33"/>
      <c r="N418" s="33"/>
      <c r="O418" s="33"/>
      <c r="P418" s="71"/>
      <c r="Q418" s="33"/>
      <c r="S418" s="33"/>
      <c r="T418" s="35"/>
      <c r="U418" s="33"/>
    </row>
    <row r="419" ht="15.75" customHeight="1">
      <c r="D419" s="33"/>
      <c r="H419" s="33"/>
      <c r="I419" s="33"/>
      <c r="J419" s="33"/>
      <c r="K419" s="33"/>
      <c r="L419" s="33"/>
      <c r="M419" s="33"/>
      <c r="N419" s="33"/>
      <c r="O419" s="33"/>
      <c r="P419" s="71"/>
      <c r="Q419" s="33"/>
      <c r="S419" s="33"/>
      <c r="T419" s="35"/>
      <c r="U419" s="33"/>
    </row>
    <row r="420" ht="15.75" customHeight="1">
      <c r="D420" s="33"/>
      <c r="H420" s="33"/>
      <c r="I420" s="33"/>
      <c r="J420" s="33"/>
      <c r="K420" s="33"/>
      <c r="L420" s="33"/>
      <c r="M420" s="33"/>
      <c r="N420" s="33"/>
      <c r="O420" s="33"/>
      <c r="P420" s="71"/>
      <c r="Q420" s="33"/>
      <c r="S420" s="33"/>
      <c r="T420" s="35"/>
      <c r="U420" s="33"/>
    </row>
    <row r="421" ht="15.75" customHeight="1">
      <c r="D421" s="33"/>
      <c r="H421" s="33"/>
      <c r="I421" s="33"/>
      <c r="J421" s="33"/>
      <c r="K421" s="33"/>
      <c r="L421" s="33"/>
      <c r="M421" s="33"/>
      <c r="N421" s="33"/>
      <c r="O421" s="33"/>
      <c r="P421" s="71"/>
      <c r="Q421" s="33"/>
      <c r="S421" s="33"/>
      <c r="T421" s="35"/>
      <c r="U421" s="33"/>
    </row>
    <row r="422" ht="15.75" customHeight="1">
      <c r="D422" s="33"/>
      <c r="H422" s="33"/>
      <c r="I422" s="33"/>
      <c r="J422" s="33"/>
      <c r="K422" s="33"/>
      <c r="L422" s="33"/>
      <c r="M422" s="33"/>
      <c r="N422" s="33"/>
      <c r="O422" s="33"/>
      <c r="P422" s="71"/>
      <c r="Q422" s="33"/>
      <c r="S422" s="33"/>
      <c r="T422" s="35"/>
      <c r="U422" s="33"/>
    </row>
    <row r="423" ht="15.75" customHeight="1">
      <c r="D423" s="33"/>
      <c r="H423" s="33"/>
      <c r="I423" s="33"/>
      <c r="J423" s="33"/>
      <c r="K423" s="33"/>
      <c r="L423" s="33"/>
      <c r="M423" s="33"/>
      <c r="N423" s="33"/>
      <c r="O423" s="33"/>
      <c r="P423" s="71"/>
      <c r="Q423" s="33"/>
      <c r="S423" s="33"/>
      <c r="T423" s="35"/>
      <c r="U423" s="33"/>
    </row>
    <row r="424" ht="15.75" customHeight="1">
      <c r="D424" s="33"/>
      <c r="H424" s="33"/>
      <c r="I424" s="33"/>
      <c r="J424" s="33"/>
      <c r="K424" s="33"/>
      <c r="L424" s="33"/>
      <c r="M424" s="33"/>
      <c r="N424" s="33"/>
      <c r="O424" s="33"/>
      <c r="P424" s="71"/>
      <c r="Q424" s="33"/>
      <c r="S424" s="33"/>
      <c r="T424" s="35"/>
      <c r="U424" s="33"/>
    </row>
    <row r="425" ht="15.75" customHeight="1">
      <c r="D425" s="33"/>
      <c r="H425" s="33"/>
      <c r="I425" s="33"/>
      <c r="J425" s="33"/>
      <c r="K425" s="33"/>
      <c r="L425" s="33"/>
      <c r="M425" s="33"/>
      <c r="N425" s="33"/>
      <c r="O425" s="33"/>
      <c r="P425" s="71"/>
      <c r="Q425" s="33"/>
      <c r="S425" s="33"/>
      <c r="T425" s="35"/>
      <c r="U425" s="33"/>
    </row>
    <row r="426" ht="15.75" customHeight="1">
      <c r="D426" s="33"/>
      <c r="H426" s="33"/>
      <c r="I426" s="33"/>
      <c r="J426" s="33"/>
      <c r="K426" s="33"/>
      <c r="L426" s="33"/>
      <c r="M426" s="33"/>
      <c r="N426" s="33"/>
      <c r="O426" s="33"/>
      <c r="P426" s="71"/>
      <c r="Q426" s="33"/>
      <c r="S426" s="33"/>
      <c r="T426" s="35"/>
      <c r="U426" s="33"/>
    </row>
    <row r="427" ht="15.75" customHeight="1">
      <c r="D427" s="33"/>
      <c r="H427" s="33"/>
      <c r="I427" s="33"/>
      <c r="J427" s="33"/>
      <c r="K427" s="33"/>
      <c r="L427" s="33"/>
      <c r="M427" s="33"/>
      <c r="N427" s="33"/>
      <c r="O427" s="33"/>
      <c r="P427" s="71"/>
      <c r="Q427" s="33"/>
      <c r="S427" s="33"/>
      <c r="T427" s="35"/>
      <c r="U427" s="33"/>
    </row>
    <row r="428" ht="15.75" customHeight="1">
      <c r="D428" s="33"/>
      <c r="H428" s="33"/>
      <c r="I428" s="33"/>
      <c r="J428" s="33"/>
      <c r="K428" s="33"/>
      <c r="L428" s="33"/>
      <c r="M428" s="33"/>
      <c r="N428" s="33"/>
      <c r="O428" s="33"/>
      <c r="P428" s="71"/>
      <c r="Q428" s="33"/>
      <c r="S428" s="33"/>
      <c r="T428" s="35"/>
      <c r="U428" s="33"/>
    </row>
    <row r="429" ht="15.75" customHeight="1">
      <c r="D429" s="33"/>
      <c r="H429" s="33"/>
      <c r="I429" s="33"/>
      <c r="J429" s="33"/>
      <c r="K429" s="33"/>
      <c r="L429" s="33"/>
      <c r="M429" s="33"/>
      <c r="N429" s="33"/>
      <c r="O429" s="33"/>
      <c r="P429" s="71"/>
      <c r="Q429" s="33"/>
      <c r="S429" s="33"/>
      <c r="T429" s="35"/>
      <c r="U429" s="33"/>
    </row>
    <row r="430" ht="15.75" customHeight="1">
      <c r="D430" s="33"/>
      <c r="H430" s="33"/>
      <c r="I430" s="33"/>
      <c r="J430" s="33"/>
      <c r="K430" s="33"/>
      <c r="L430" s="33"/>
      <c r="M430" s="33"/>
      <c r="N430" s="33"/>
      <c r="O430" s="33"/>
      <c r="P430" s="71"/>
      <c r="Q430" s="33"/>
      <c r="S430" s="33"/>
      <c r="T430" s="35"/>
      <c r="U430" s="33"/>
    </row>
    <row r="431" ht="15.75" customHeight="1">
      <c r="D431" s="33"/>
      <c r="H431" s="33"/>
      <c r="I431" s="33"/>
      <c r="J431" s="33"/>
      <c r="K431" s="33"/>
      <c r="L431" s="33"/>
      <c r="M431" s="33"/>
      <c r="N431" s="33"/>
      <c r="O431" s="33"/>
      <c r="P431" s="71"/>
      <c r="Q431" s="33"/>
      <c r="S431" s="33"/>
      <c r="T431" s="35"/>
      <c r="U431" s="33"/>
    </row>
    <row r="432" ht="15.75" customHeight="1">
      <c r="D432" s="33"/>
      <c r="H432" s="33"/>
      <c r="I432" s="33"/>
      <c r="J432" s="33"/>
      <c r="K432" s="33"/>
      <c r="L432" s="33"/>
      <c r="M432" s="33"/>
      <c r="N432" s="33"/>
      <c r="O432" s="33"/>
      <c r="P432" s="71"/>
      <c r="Q432" s="33"/>
      <c r="S432" s="33"/>
      <c r="T432" s="35"/>
      <c r="U432" s="33"/>
    </row>
    <row r="433" ht="15.75" customHeight="1">
      <c r="D433" s="33"/>
      <c r="H433" s="33"/>
      <c r="I433" s="33"/>
      <c r="J433" s="33"/>
      <c r="K433" s="33"/>
      <c r="L433" s="33"/>
      <c r="M433" s="33"/>
      <c r="N433" s="33"/>
      <c r="O433" s="33"/>
      <c r="P433" s="71"/>
      <c r="Q433" s="33"/>
      <c r="S433" s="33"/>
      <c r="T433" s="35"/>
      <c r="U433" s="33"/>
    </row>
    <row r="434" ht="15.75" customHeight="1">
      <c r="D434" s="33"/>
      <c r="H434" s="33"/>
      <c r="I434" s="33"/>
      <c r="J434" s="33"/>
      <c r="K434" s="33"/>
      <c r="L434" s="33"/>
      <c r="M434" s="33"/>
      <c r="N434" s="33"/>
      <c r="O434" s="33"/>
      <c r="P434" s="71"/>
      <c r="Q434" s="33"/>
      <c r="S434" s="33"/>
      <c r="T434" s="35"/>
      <c r="U434" s="33"/>
    </row>
    <row r="435" ht="15.75" customHeight="1">
      <c r="D435" s="33"/>
      <c r="H435" s="33"/>
      <c r="I435" s="33"/>
      <c r="J435" s="33"/>
      <c r="K435" s="33"/>
      <c r="L435" s="33"/>
      <c r="M435" s="33"/>
      <c r="N435" s="33"/>
      <c r="O435" s="33"/>
      <c r="P435" s="71"/>
      <c r="Q435" s="33"/>
      <c r="S435" s="33"/>
      <c r="T435" s="35"/>
      <c r="U435" s="33"/>
    </row>
    <row r="436" ht="15.75" customHeight="1">
      <c r="D436" s="33"/>
      <c r="H436" s="33"/>
      <c r="I436" s="33"/>
      <c r="J436" s="33"/>
      <c r="K436" s="33"/>
      <c r="L436" s="33"/>
      <c r="M436" s="33"/>
      <c r="N436" s="33"/>
      <c r="O436" s="33"/>
      <c r="P436" s="71"/>
      <c r="Q436" s="33"/>
      <c r="S436" s="33"/>
      <c r="T436" s="35"/>
      <c r="U436" s="33"/>
    </row>
    <row r="437" ht="15.75" customHeight="1">
      <c r="D437" s="33"/>
      <c r="H437" s="33"/>
      <c r="I437" s="33"/>
      <c r="J437" s="33"/>
      <c r="K437" s="33"/>
      <c r="L437" s="33"/>
      <c r="M437" s="33"/>
      <c r="N437" s="33"/>
      <c r="O437" s="33"/>
      <c r="P437" s="71"/>
      <c r="Q437" s="33"/>
      <c r="S437" s="33"/>
      <c r="T437" s="35"/>
      <c r="U437" s="33"/>
    </row>
    <row r="438" ht="15.75" customHeight="1">
      <c r="D438" s="33"/>
      <c r="H438" s="33"/>
      <c r="I438" s="33"/>
      <c r="J438" s="33"/>
      <c r="K438" s="33"/>
      <c r="L438" s="33"/>
      <c r="M438" s="33"/>
      <c r="N438" s="33"/>
      <c r="O438" s="33"/>
      <c r="P438" s="71"/>
      <c r="Q438" s="33"/>
      <c r="S438" s="33"/>
      <c r="T438" s="35"/>
      <c r="U438" s="33"/>
    </row>
    <row r="439" ht="15.75" customHeight="1">
      <c r="D439" s="33"/>
      <c r="H439" s="33"/>
      <c r="I439" s="33"/>
      <c r="J439" s="33"/>
      <c r="K439" s="33"/>
      <c r="L439" s="33"/>
      <c r="M439" s="33"/>
      <c r="N439" s="33"/>
      <c r="O439" s="33"/>
      <c r="P439" s="71"/>
      <c r="Q439" s="33"/>
      <c r="S439" s="33"/>
      <c r="T439" s="35"/>
      <c r="U439" s="33"/>
    </row>
    <row r="440" ht="15.75" customHeight="1">
      <c r="D440" s="33"/>
      <c r="H440" s="33"/>
      <c r="I440" s="33"/>
      <c r="J440" s="33"/>
      <c r="K440" s="33"/>
      <c r="L440" s="33"/>
      <c r="M440" s="33"/>
      <c r="N440" s="33"/>
      <c r="O440" s="33"/>
      <c r="P440" s="71"/>
      <c r="Q440" s="33"/>
      <c r="S440" s="33"/>
      <c r="T440" s="35"/>
      <c r="U440" s="33"/>
    </row>
    <row r="441" ht="15.75" customHeight="1">
      <c r="D441" s="33"/>
      <c r="H441" s="33"/>
      <c r="I441" s="33"/>
      <c r="J441" s="33"/>
      <c r="K441" s="33"/>
      <c r="L441" s="33"/>
      <c r="M441" s="33"/>
      <c r="N441" s="33"/>
      <c r="O441" s="33"/>
      <c r="P441" s="71"/>
      <c r="Q441" s="33"/>
      <c r="S441" s="33"/>
      <c r="T441" s="35"/>
      <c r="U441" s="33"/>
    </row>
    <row r="442" ht="15.75" customHeight="1">
      <c r="D442" s="33"/>
      <c r="H442" s="33"/>
      <c r="I442" s="33"/>
      <c r="J442" s="33"/>
      <c r="K442" s="33"/>
      <c r="L442" s="33"/>
      <c r="M442" s="33"/>
      <c r="N442" s="33"/>
      <c r="O442" s="33"/>
      <c r="P442" s="71"/>
      <c r="Q442" s="33"/>
      <c r="S442" s="33"/>
      <c r="T442" s="35"/>
      <c r="U442" s="33"/>
    </row>
    <row r="443" ht="15.75" customHeight="1">
      <c r="D443" s="33"/>
      <c r="H443" s="33"/>
      <c r="I443" s="33"/>
      <c r="J443" s="33"/>
      <c r="K443" s="33"/>
      <c r="L443" s="33"/>
      <c r="M443" s="33"/>
      <c r="N443" s="33"/>
      <c r="O443" s="33"/>
      <c r="P443" s="71"/>
      <c r="Q443" s="33"/>
      <c r="S443" s="33"/>
      <c r="T443" s="35"/>
      <c r="U443" s="33"/>
    </row>
    <row r="444" ht="15.75" customHeight="1">
      <c r="D444" s="33"/>
      <c r="H444" s="33"/>
      <c r="I444" s="33"/>
      <c r="J444" s="33"/>
      <c r="K444" s="33"/>
      <c r="L444" s="33"/>
      <c r="M444" s="33"/>
      <c r="N444" s="33"/>
      <c r="O444" s="33"/>
      <c r="P444" s="71"/>
      <c r="Q444" s="33"/>
      <c r="S444" s="33"/>
      <c r="T444" s="35"/>
      <c r="U444" s="33"/>
    </row>
    <row r="445" ht="15.75" customHeight="1">
      <c r="D445" s="33"/>
      <c r="H445" s="33"/>
      <c r="I445" s="33"/>
      <c r="J445" s="33"/>
      <c r="K445" s="33"/>
      <c r="L445" s="33"/>
      <c r="M445" s="33"/>
      <c r="N445" s="33"/>
      <c r="O445" s="33"/>
      <c r="P445" s="71"/>
      <c r="Q445" s="33"/>
      <c r="S445" s="33"/>
      <c r="T445" s="35"/>
      <c r="U445" s="33"/>
    </row>
    <row r="446" ht="15.75" customHeight="1">
      <c r="D446" s="33"/>
      <c r="H446" s="33"/>
      <c r="I446" s="33"/>
      <c r="J446" s="33"/>
      <c r="K446" s="33"/>
      <c r="L446" s="33"/>
      <c r="M446" s="33"/>
      <c r="N446" s="33"/>
      <c r="O446" s="33"/>
      <c r="P446" s="71"/>
      <c r="Q446" s="33"/>
      <c r="S446" s="33"/>
      <c r="T446" s="35"/>
      <c r="U446" s="33"/>
    </row>
    <row r="447" ht="15.75" customHeight="1">
      <c r="D447" s="33"/>
      <c r="H447" s="33"/>
      <c r="I447" s="33"/>
      <c r="J447" s="33"/>
      <c r="K447" s="33"/>
      <c r="L447" s="33"/>
      <c r="M447" s="33"/>
      <c r="N447" s="33"/>
      <c r="O447" s="33"/>
      <c r="P447" s="71"/>
      <c r="Q447" s="33"/>
      <c r="S447" s="33"/>
      <c r="T447" s="35"/>
      <c r="U447" s="33"/>
    </row>
    <row r="448" ht="15.75" customHeight="1">
      <c r="D448" s="33"/>
      <c r="H448" s="33"/>
      <c r="I448" s="33"/>
      <c r="J448" s="33"/>
      <c r="K448" s="33"/>
      <c r="L448" s="33"/>
      <c r="M448" s="33"/>
      <c r="N448" s="33"/>
      <c r="O448" s="33"/>
      <c r="P448" s="71"/>
      <c r="Q448" s="33"/>
      <c r="S448" s="33"/>
      <c r="T448" s="35"/>
      <c r="U448" s="33"/>
    </row>
    <row r="449" ht="15.75" customHeight="1">
      <c r="D449" s="33"/>
      <c r="H449" s="33"/>
      <c r="I449" s="33"/>
      <c r="J449" s="33"/>
      <c r="K449" s="33"/>
      <c r="L449" s="33"/>
      <c r="M449" s="33"/>
      <c r="N449" s="33"/>
      <c r="O449" s="33"/>
      <c r="P449" s="71"/>
      <c r="Q449" s="33"/>
      <c r="S449" s="33"/>
      <c r="T449" s="35"/>
      <c r="U449" s="33"/>
    </row>
    <row r="450" ht="15.75" customHeight="1">
      <c r="D450" s="33"/>
      <c r="H450" s="33"/>
      <c r="I450" s="33"/>
      <c r="J450" s="33"/>
      <c r="K450" s="33"/>
      <c r="L450" s="33"/>
      <c r="M450" s="33"/>
      <c r="N450" s="33"/>
      <c r="O450" s="33"/>
      <c r="P450" s="71"/>
      <c r="Q450" s="33"/>
      <c r="S450" s="33"/>
      <c r="T450" s="35"/>
      <c r="U450" s="33"/>
    </row>
    <row r="451" ht="15.75" customHeight="1">
      <c r="D451" s="33"/>
      <c r="H451" s="33"/>
      <c r="I451" s="33"/>
      <c r="J451" s="33"/>
      <c r="K451" s="33"/>
      <c r="L451" s="33"/>
      <c r="M451" s="33"/>
      <c r="N451" s="33"/>
      <c r="O451" s="33"/>
      <c r="P451" s="71"/>
      <c r="Q451" s="33"/>
      <c r="S451" s="33"/>
      <c r="T451" s="35"/>
      <c r="U451" s="33"/>
    </row>
    <row r="452" ht="15.75" customHeight="1">
      <c r="D452" s="33"/>
      <c r="H452" s="33"/>
      <c r="I452" s="33"/>
      <c r="J452" s="33"/>
      <c r="K452" s="33"/>
      <c r="L452" s="33"/>
      <c r="M452" s="33"/>
      <c r="N452" s="33"/>
      <c r="O452" s="33"/>
      <c r="P452" s="71"/>
      <c r="Q452" s="33"/>
      <c r="S452" s="33"/>
      <c r="T452" s="35"/>
      <c r="U452" s="33"/>
    </row>
    <row r="453" ht="15.75" customHeight="1">
      <c r="D453" s="33"/>
      <c r="H453" s="33"/>
      <c r="I453" s="33"/>
      <c r="J453" s="33"/>
      <c r="K453" s="33"/>
      <c r="L453" s="33"/>
      <c r="M453" s="33"/>
      <c r="N453" s="33"/>
      <c r="O453" s="33"/>
      <c r="P453" s="71"/>
      <c r="Q453" s="33"/>
      <c r="S453" s="33"/>
      <c r="T453" s="35"/>
      <c r="U453" s="33"/>
    </row>
    <row r="454" ht="15.75" customHeight="1">
      <c r="D454" s="33"/>
      <c r="H454" s="33"/>
      <c r="I454" s="33"/>
      <c r="J454" s="33"/>
      <c r="K454" s="33"/>
      <c r="L454" s="33"/>
      <c r="M454" s="33"/>
      <c r="N454" s="33"/>
      <c r="O454" s="33"/>
      <c r="P454" s="71"/>
      <c r="Q454" s="33"/>
      <c r="S454" s="33"/>
      <c r="T454" s="35"/>
      <c r="U454" s="33"/>
    </row>
    <row r="455" ht="15.75" customHeight="1">
      <c r="D455" s="33"/>
      <c r="H455" s="33"/>
      <c r="I455" s="33"/>
      <c r="J455" s="33"/>
      <c r="K455" s="33"/>
      <c r="L455" s="33"/>
      <c r="M455" s="33"/>
      <c r="N455" s="33"/>
      <c r="O455" s="33"/>
      <c r="P455" s="71"/>
      <c r="Q455" s="33"/>
      <c r="S455" s="33"/>
      <c r="T455" s="35"/>
      <c r="U455" s="33"/>
    </row>
    <row r="456" ht="15.75" customHeight="1">
      <c r="D456" s="33"/>
      <c r="H456" s="33"/>
      <c r="I456" s="33"/>
      <c r="J456" s="33"/>
      <c r="K456" s="33"/>
      <c r="L456" s="33"/>
      <c r="M456" s="33"/>
      <c r="N456" s="33"/>
      <c r="O456" s="33"/>
      <c r="P456" s="71"/>
      <c r="Q456" s="33"/>
      <c r="S456" s="33"/>
      <c r="T456" s="35"/>
      <c r="U456" s="33"/>
    </row>
    <row r="457" ht="15.75" customHeight="1">
      <c r="D457" s="33"/>
      <c r="H457" s="33"/>
      <c r="I457" s="33"/>
      <c r="J457" s="33"/>
      <c r="K457" s="33"/>
      <c r="L457" s="33"/>
      <c r="M457" s="33"/>
      <c r="N457" s="33"/>
      <c r="O457" s="33"/>
      <c r="P457" s="71"/>
      <c r="Q457" s="33"/>
      <c r="S457" s="33"/>
      <c r="T457" s="35"/>
      <c r="U457" s="33"/>
    </row>
    <row r="458" ht="15.75" customHeight="1">
      <c r="D458" s="33"/>
      <c r="H458" s="33"/>
      <c r="I458" s="33"/>
      <c r="J458" s="33"/>
      <c r="K458" s="33"/>
      <c r="L458" s="33"/>
      <c r="M458" s="33"/>
      <c r="N458" s="33"/>
      <c r="O458" s="33"/>
      <c r="P458" s="71"/>
      <c r="Q458" s="33"/>
      <c r="S458" s="33"/>
      <c r="T458" s="35"/>
      <c r="U458" s="33"/>
    </row>
    <row r="459" ht="15.75" customHeight="1">
      <c r="D459" s="33"/>
      <c r="H459" s="33"/>
      <c r="I459" s="33"/>
      <c r="J459" s="33"/>
      <c r="K459" s="33"/>
      <c r="L459" s="33"/>
      <c r="M459" s="33"/>
      <c r="N459" s="33"/>
      <c r="O459" s="33"/>
      <c r="P459" s="71"/>
      <c r="Q459" s="33"/>
      <c r="S459" s="33"/>
      <c r="T459" s="35"/>
      <c r="U459" s="33"/>
    </row>
    <row r="460" ht="15.75" customHeight="1">
      <c r="D460" s="33"/>
      <c r="H460" s="33"/>
      <c r="I460" s="33"/>
      <c r="J460" s="33"/>
      <c r="K460" s="33"/>
      <c r="L460" s="33"/>
      <c r="M460" s="33"/>
      <c r="N460" s="33"/>
      <c r="O460" s="33"/>
      <c r="P460" s="71"/>
      <c r="Q460" s="33"/>
      <c r="S460" s="33"/>
      <c r="T460" s="35"/>
      <c r="U460" s="33"/>
    </row>
    <row r="461" ht="15.75" customHeight="1">
      <c r="D461" s="33"/>
      <c r="H461" s="33"/>
      <c r="I461" s="33"/>
      <c r="J461" s="33"/>
      <c r="K461" s="33"/>
      <c r="L461" s="33"/>
      <c r="M461" s="33"/>
      <c r="N461" s="33"/>
      <c r="O461" s="33"/>
      <c r="P461" s="71"/>
      <c r="Q461" s="33"/>
      <c r="S461" s="33"/>
      <c r="T461" s="35"/>
      <c r="U461" s="33"/>
    </row>
    <row r="462" ht="15.75" customHeight="1">
      <c r="D462" s="33"/>
      <c r="H462" s="33"/>
      <c r="I462" s="33"/>
      <c r="J462" s="33"/>
      <c r="K462" s="33"/>
      <c r="L462" s="33"/>
      <c r="M462" s="33"/>
      <c r="N462" s="33"/>
      <c r="O462" s="33"/>
      <c r="P462" s="71"/>
      <c r="Q462" s="33"/>
      <c r="S462" s="33"/>
      <c r="T462" s="35"/>
      <c r="U462" s="33"/>
    </row>
    <row r="463" ht="15.75" customHeight="1">
      <c r="D463" s="33"/>
      <c r="H463" s="33"/>
      <c r="I463" s="33"/>
      <c r="J463" s="33"/>
      <c r="K463" s="33"/>
      <c r="L463" s="33"/>
      <c r="M463" s="33"/>
      <c r="N463" s="33"/>
      <c r="O463" s="33"/>
      <c r="P463" s="71"/>
      <c r="Q463" s="33"/>
      <c r="S463" s="33"/>
      <c r="T463" s="35"/>
      <c r="U463" s="33"/>
    </row>
    <row r="464" ht="15.75" customHeight="1">
      <c r="D464" s="33"/>
      <c r="H464" s="33"/>
      <c r="I464" s="33"/>
      <c r="J464" s="33"/>
      <c r="K464" s="33"/>
      <c r="L464" s="33"/>
      <c r="M464" s="33"/>
      <c r="N464" s="33"/>
      <c r="O464" s="33"/>
      <c r="P464" s="71"/>
      <c r="Q464" s="33"/>
      <c r="S464" s="33"/>
      <c r="T464" s="35"/>
      <c r="U464" s="33"/>
    </row>
    <row r="465" ht="15.75" customHeight="1">
      <c r="D465" s="33"/>
      <c r="H465" s="33"/>
      <c r="I465" s="33"/>
      <c r="J465" s="33"/>
      <c r="K465" s="33"/>
      <c r="L465" s="33"/>
      <c r="M465" s="33"/>
      <c r="N465" s="33"/>
      <c r="O465" s="33"/>
      <c r="P465" s="71"/>
      <c r="Q465" s="33"/>
      <c r="S465" s="33"/>
      <c r="T465" s="35"/>
      <c r="U465" s="33"/>
    </row>
    <row r="466" ht="15.75" customHeight="1">
      <c r="D466" s="33"/>
      <c r="H466" s="33"/>
      <c r="I466" s="33"/>
      <c r="J466" s="33"/>
      <c r="K466" s="33"/>
      <c r="L466" s="33"/>
      <c r="M466" s="33"/>
      <c r="N466" s="33"/>
      <c r="O466" s="33"/>
      <c r="P466" s="71"/>
      <c r="Q466" s="33"/>
      <c r="S466" s="33"/>
      <c r="T466" s="35"/>
      <c r="U466" s="33"/>
    </row>
    <row r="467" ht="15.75" customHeight="1">
      <c r="D467" s="33"/>
      <c r="H467" s="33"/>
      <c r="I467" s="33"/>
      <c r="J467" s="33"/>
      <c r="K467" s="33"/>
      <c r="L467" s="33"/>
      <c r="M467" s="33"/>
      <c r="N467" s="33"/>
      <c r="O467" s="33"/>
      <c r="P467" s="71"/>
      <c r="Q467" s="33"/>
      <c r="S467" s="33"/>
      <c r="T467" s="35"/>
      <c r="U467" s="33"/>
    </row>
    <row r="468" ht="15.75" customHeight="1">
      <c r="D468" s="33"/>
      <c r="H468" s="33"/>
      <c r="I468" s="33"/>
      <c r="J468" s="33"/>
      <c r="K468" s="33"/>
      <c r="L468" s="33"/>
      <c r="M468" s="33"/>
      <c r="N468" s="33"/>
      <c r="O468" s="33"/>
      <c r="P468" s="71"/>
      <c r="Q468" s="33"/>
      <c r="S468" s="33"/>
      <c r="T468" s="35"/>
      <c r="U468" s="33"/>
    </row>
    <row r="469" ht="15.75" customHeight="1">
      <c r="D469" s="33"/>
      <c r="H469" s="33"/>
      <c r="I469" s="33"/>
      <c r="J469" s="33"/>
      <c r="K469" s="33"/>
      <c r="L469" s="33"/>
      <c r="M469" s="33"/>
      <c r="N469" s="33"/>
      <c r="O469" s="33"/>
      <c r="P469" s="71"/>
      <c r="Q469" s="33"/>
      <c r="S469" s="33"/>
      <c r="T469" s="35"/>
      <c r="U469" s="33"/>
    </row>
    <row r="470" ht="15.75" customHeight="1">
      <c r="D470" s="33"/>
      <c r="H470" s="33"/>
      <c r="I470" s="33"/>
      <c r="J470" s="33"/>
      <c r="K470" s="33"/>
      <c r="L470" s="33"/>
      <c r="M470" s="33"/>
      <c r="N470" s="33"/>
      <c r="O470" s="33"/>
      <c r="P470" s="71"/>
      <c r="Q470" s="33"/>
      <c r="S470" s="33"/>
      <c r="T470" s="35"/>
      <c r="U470" s="33"/>
    </row>
    <row r="471" ht="15.75" customHeight="1">
      <c r="D471" s="33"/>
      <c r="H471" s="33"/>
      <c r="I471" s="33"/>
      <c r="J471" s="33"/>
      <c r="K471" s="33"/>
      <c r="L471" s="33"/>
      <c r="M471" s="33"/>
      <c r="N471" s="33"/>
      <c r="O471" s="33"/>
      <c r="P471" s="71"/>
      <c r="Q471" s="33"/>
      <c r="S471" s="33"/>
      <c r="T471" s="35"/>
      <c r="U471" s="33"/>
    </row>
    <row r="472" ht="15.75" customHeight="1">
      <c r="D472" s="33"/>
      <c r="H472" s="33"/>
      <c r="I472" s="33"/>
      <c r="J472" s="33"/>
      <c r="K472" s="33"/>
      <c r="L472" s="33"/>
      <c r="M472" s="33"/>
      <c r="N472" s="33"/>
      <c r="O472" s="33"/>
      <c r="P472" s="71"/>
      <c r="Q472" s="33"/>
      <c r="S472" s="33"/>
      <c r="T472" s="35"/>
      <c r="U472" s="33"/>
    </row>
    <row r="473" ht="15.75" customHeight="1">
      <c r="D473" s="33"/>
      <c r="H473" s="33"/>
      <c r="I473" s="33"/>
      <c r="J473" s="33"/>
      <c r="K473" s="33"/>
      <c r="L473" s="33"/>
      <c r="M473" s="33"/>
      <c r="N473" s="33"/>
      <c r="O473" s="33"/>
      <c r="P473" s="71"/>
      <c r="Q473" s="33"/>
      <c r="S473" s="33"/>
      <c r="T473" s="35"/>
      <c r="U473" s="33"/>
    </row>
    <row r="474" ht="15.75" customHeight="1">
      <c r="D474" s="33"/>
      <c r="H474" s="33"/>
      <c r="I474" s="33"/>
      <c r="J474" s="33"/>
      <c r="K474" s="33"/>
      <c r="L474" s="33"/>
      <c r="M474" s="33"/>
      <c r="N474" s="33"/>
      <c r="O474" s="33"/>
      <c r="P474" s="71"/>
      <c r="Q474" s="33"/>
      <c r="S474" s="33"/>
      <c r="T474" s="35"/>
      <c r="U474" s="33"/>
    </row>
    <row r="475" ht="15.75" customHeight="1">
      <c r="D475" s="33"/>
      <c r="H475" s="33"/>
      <c r="I475" s="33"/>
      <c r="J475" s="33"/>
      <c r="K475" s="33"/>
      <c r="L475" s="33"/>
      <c r="M475" s="33"/>
      <c r="N475" s="33"/>
      <c r="O475" s="33"/>
      <c r="P475" s="71"/>
      <c r="Q475" s="33"/>
      <c r="S475" s="33"/>
      <c r="T475" s="35"/>
      <c r="U475" s="33"/>
    </row>
    <row r="476" ht="15.75" customHeight="1">
      <c r="D476" s="33"/>
      <c r="H476" s="33"/>
      <c r="I476" s="33"/>
      <c r="J476" s="33"/>
      <c r="K476" s="33"/>
      <c r="L476" s="33"/>
      <c r="M476" s="33"/>
      <c r="N476" s="33"/>
      <c r="O476" s="33"/>
      <c r="P476" s="71"/>
      <c r="Q476" s="33"/>
      <c r="S476" s="33"/>
      <c r="T476" s="35"/>
      <c r="U476" s="33"/>
    </row>
    <row r="477" ht="15.75" customHeight="1">
      <c r="D477" s="33"/>
      <c r="H477" s="33"/>
      <c r="I477" s="33"/>
      <c r="J477" s="33"/>
      <c r="K477" s="33"/>
      <c r="L477" s="33"/>
      <c r="M477" s="33"/>
      <c r="N477" s="33"/>
      <c r="O477" s="33"/>
      <c r="P477" s="71"/>
      <c r="Q477" s="33"/>
      <c r="S477" s="33"/>
      <c r="T477" s="35"/>
      <c r="U477" s="33"/>
    </row>
    <row r="478" ht="15.75" customHeight="1">
      <c r="D478" s="33"/>
      <c r="H478" s="33"/>
      <c r="I478" s="33"/>
      <c r="J478" s="33"/>
      <c r="K478" s="33"/>
      <c r="L478" s="33"/>
      <c r="M478" s="33"/>
      <c r="N478" s="33"/>
      <c r="O478" s="33"/>
      <c r="P478" s="71"/>
      <c r="Q478" s="33"/>
      <c r="S478" s="33"/>
      <c r="T478" s="35"/>
      <c r="U478" s="33"/>
    </row>
    <row r="479" ht="15.75" customHeight="1">
      <c r="D479" s="33"/>
      <c r="H479" s="33"/>
      <c r="I479" s="33"/>
      <c r="J479" s="33"/>
      <c r="K479" s="33"/>
      <c r="L479" s="33"/>
      <c r="M479" s="33"/>
      <c r="N479" s="33"/>
      <c r="O479" s="33"/>
      <c r="P479" s="71"/>
      <c r="Q479" s="33"/>
      <c r="S479" s="33"/>
      <c r="T479" s="35"/>
      <c r="U479" s="33"/>
    </row>
    <row r="480" ht="15.75" customHeight="1">
      <c r="D480" s="33"/>
      <c r="H480" s="33"/>
      <c r="I480" s="33"/>
      <c r="J480" s="33"/>
      <c r="K480" s="33"/>
      <c r="L480" s="33"/>
      <c r="M480" s="33"/>
      <c r="N480" s="33"/>
      <c r="O480" s="33"/>
      <c r="P480" s="71"/>
      <c r="Q480" s="33"/>
      <c r="S480" s="33"/>
      <c r="T480" s="35"/>
      <c r="U480" s="33"/>
    </row>
    <row r="481" ht="15.75" customHeight="1">
      <c r="D481" s="33"/>
      <c r="H481" s="33"/>
      <c r="I481" s="33"/>
      <c r="J481" s="33"/>
      <c r="K481" s="33"/>
      <c r="L481" s="33"/>
      <c r="M481" s="33"/>
      <c r="N481" s="33"/>
      <c r="O481" s="33"/>
      <c r="P481" s="71"/>
      <c r="Q481" s="33"/>
      <c r="S481" s="33"/>
      <c r="T481" s="35"/>
      <c r="U481" s="33"/>
    </row>
    <row r="482" ht="15.75" customHeight="1">
      <c r="D482" s="33"/>
      <c r="H482" s="33"/>
      <c r="I482" s="33"/>
      <c r="J482" s="33"/>
      <c r="K482" s="33"/>
      <c r="L482" s="33"/>
      <c r="M482" s="33"/>
      <c r="N482" s="33"/>
      <c r="O482" s="33"/>
      <c r="P482" s="71"/>
      <c r="Q482" s="33"/>
      <c r="S482" s="33"/>
      <c r="T482" s="35"/>
      <c r="U482" s="33"/>
    </row>
    <row r="483" ht="15.75" customHeight="1">
      <c r="D483" s="33"/>
      <c r="H483" s="33"/>
      <c r="I483" s="33"/>
      <c r="J483" s="33"/>
      <c r="K483" s="33"/>
      <c r="L483" s="33"/>
      <c r="M483" s="33"/>
      <c r="N483" s="33"/>
      <c r="O483" s="33"/>
      <c r="P483" s="71"/>
      <c r="Q483" s="33"/>
      <c r="S483" s="33"/>
      <c r="T483" s="35"/>
      <c r="U483" s="33"/>
    </row>
    <row r="484" ht="15.75" customHeight="1">
      <c r="D484" s="33"/>
      <c r="H484" s="33"/>
      <c r="I484" s="33"/>
      <c r="J484" s="33"/>
      <c r="K484" s="33"/>
      <c r="L484" s="33"/>
      <c r="M484" s="33"/>
      <c r="N484" s="33"/>
      <c r="O484" s="33"/>
      <c r="P484" s="71"/>
      <c r="Q484" s="33"/>
      <c r="S484" s="33"/>
      <c r="T484" s="35"/>
      <c r="U484" s="33"/>
    </row>
    <row r="485" ht="15.75" customHeight="1">
      <c r="D485" s="33"/>
      <c r="H485" s="33"/>
      <c r="I485" s="33"/>
      <c r="J485" s="33"/>
      <c r="K485" s="33"/>
      <c r="L485" s="33"/>
      <c r="M485" s="33"/>
      <c r="N485" s="33"/>
      <c r="O485" s="33"/>
      <c r="P485" s="71"/>
      <c r="Q485" s="33"/>
      <c r="S485" s="33"/>
      <c r="T485" s="35"/>
      <c r="U485" s="33"/>
    </row>
    <row r="486" ht="15.75" customHeight="1">
      <c r="D486" s="33"/>
      <c r="H486" s="33"/>
      <c r="I486" s="33"/>
      <c r="J486" s="33"/>
      <c r="K486" s="33"/>
      <c r="L486" s="33"/>
      <c r="M486" s="33"/>
      <c r="N486" s="33"/>
      <c r="O486" s="33"/>
      <c r="P486" s="71"/>
      <c r="Q486" s="33"/>
      <c r="S486" s="33"/>
      <c r="T486" s="35"/>
      <c r="U486" s="33"/>
    </row>
    <row r="487" ht="15.75" customHeight="1">
      <c r="D487" s="33"/>
      <c r="H487" s="33"/>
      <c r="I487" s="33"/>
      <c r="J487" s="33"/>
      <c r="K487" s="33"/>
      <c r="L487" s="33"/>
      <c r="M487" s="33"/>
      <c r="N487" s="33"/>
      <c r="O487" s="33"/>
      <c r="P487" s="71"/>
      <c r="Q487" s="33"/>
      <c r="S487" s="33"/>
      <c r="T487" s="35"/>
      <c r="U487" s="33"/>
    </row>
    <row r="488" ht="15.75" customHeight="1">
      <c r="D488" s="33"/>
      <c r="H488" s="33"/>
      <c r="I488" s="33"/>
      <c r="J488" s="33"/>
      <c r="K488" s="33"/>
      <c r="L488" s="33"/>
      <c r="M488" s="33"/>
      <c r="N488" s="33"/>
      <c r="O488" s="33"/>
      <c r="P488" s="71"/>
      <c r="Q488" s="33"/>
      <c r="S488" s="33"/>
      <c r="T488" s="35"/>
      <c r="U488" s="33"/>
    </row>
    <row r="489" ht="15.75" customHeight="1">
      <c r="D489" s="33"/>
      <c r="H489" s="33"/>
      <c r="I489" s="33"/>
      <c r="J489" s="33"/>
      <c r="K489" s="33"/>
      <c r="L489" s="33"/>
      <c r="M489" s="33"/>
      <c r="N489" s="33"/>
      <c r="O489" s="33"/>
      <c r="P489" s="71"/>
      <c r="Q489" s="33"/>
      <c r="S489" s="33"/>
      <c r="T489" s="35"/>
      <c r="U489" s="33"/>
    </row>
    <row r="490" ht="15.75" customHeight="1">
      <c r="D490" s="33"/>
      <c r="H490" s="33"/>
      <c r="I490" s="33"/>
      <c r="J490" s="33"/>
      <c r="K490" s="33"/>
      <c r="L490" s="33"/>
      <c r="M490" s="33"/>
      <c r="N490" s="33"/>
      <c r="O490" s="33"/>
      <c r="P490" s="71"/>
      <c r="Q490" s="33"/>
      <c r="S490" s="33"/>
      <c r="T490" s="35"/>
      <c r="U490" s="33"/>
    </row>
    <row r="491" ht="15.75" customHeight="1">
      <c r="D491" s="33"/>
      <c r="H491" s="33"/>
      <c r="I491" s="33"/>
      <c r="J491" s="33"/>
      <c r="K491" s="33"/>
      <c r="L491" s="33"/>
      <c r="M491" s="33"/>
      <c r="N491" s="33"/>
      <c r="O491" s="33"/>
      <c r="P491" s="71"/>
      <c r="Q491" s="33"/>
      <c r="S491" s="33"/>
      <c r="T491" s="35"/>
      <c r="U491" s="33"/>
    </row>
    <row r="492" ht="15.75" customHeight="1">
      <c r="D492" s="33"/>
      <c r="H492" s="33"/>
      <c r="I492" s="33"/>
      <c r="J492" s="33"/>
      <c r="K492" s="33"/>
      <c r="L492" s="33"/>
      <c r="M492" s="33"/>
      <c r="N492" s="33"/>
      <c r="O492" s="33"/>
      <c r="P492" s="71"/>
      <c r="Q492" s="33"/>
      <c r="S492" s="33"/>
      <c r="T492" s="35"/>
      <c r="U492" s="33"/>
    </row>
    <row r="493" ht="15.75" customHeight="1">
      <c r="D493" s="33"/>
      <c r="H493" s="33"/>
      <c r="I493" s="33"/>
      <c r="J493" s="33"/>
      <c r="K493" s="33"/>
      <c r="L493" s="33"/>
      <c r="M493" s="33"/>
      <c r="N493" s="33"/>
      <c r="O493" s="33"/>
      <c r="P493" s="71"/>
      <c r="Q493" s="33"/>
      <c r="S493" s="33"/>
      <c r="T493" s="35"/>
      <c r="U493" s="33"/>
    </row>
    <row r="494" ht="15.75" customHeight="1">
      <c r="D494" s="33"/>
      <c r="H494" s="33"/>
      <c r="I494" s="33"/>
      <c r="J494" s="33"/>
      <c r="K494" s="33"/>
      <c r="L494" s="33"/>
      <c r="M494" s="33"/>
      <c r="N494" s="33"/>
      <c r="O494" s="33"/>
      <c r="P494" s="71"/>
      <c r="Q494" s="33"/>
      <c r="S494" s="33"/>
      <c r="T494" s="35"/>
      <c r="U494" s="33"/>
    </row>
    <row r="495" ht="15.75" customHeight="1">
      <c r="D495" s="33"/>
      <c r="H495" s="33"/>
      <c r="I495" s="33"/>
      <c r="J495" s="33"/>
      <c r="K495" s="33"/>
      <c r="L495" s="33"/>
      <c r="M495" s="33"/>
      <c r="N495" s="33"/>
      <c r="O495" s="33"/>
      <c r="P495" s="71"/>
      <c r="Q495" s="33"/>
      <c r="S495" s="33"/>
      <c r="T495" s="35"/>
      <c r="U495" s="33"/>
    </row>
    <row r="496" ht="15.75" customHeight="1">
      <c r="D496" s="33"/>
      <c r="H496" s="33"/>
      <c r="I496" s="33"/>
      <c r="J496" s="33"/>
      <c r="K496" s="33"/>
      <c r="L496" s="33"/>
      <c r="M496" s="33"/>
      <c r="N496" s="33"/>
      <c r="O496" s="33"/>
      <c r="P496" s="71"/>
      <c r="Q496" s="33"/>
      <c r="S496" s="33"/>
      <c r="T496" s="35"/>
      <c r="U496" s="33"/>
    </row>
    <row r="497" ht="15.75" customHeight="1">
      <c r="D497" s="33"/>
      <c r="H497" s="33"/>
      <c r="I497" s="33"/>
      <c r="J497" s="33"/>
      <c r="K497" s="33"/>
      <c r="L497" s="33"/>
      <c r="M497" s="33"/>
      <c r="N497" s="33"/>
      <c r="O497" s="33"/>
      <c r="P497" s="71"/>
      <c r="Q497" s="33"/>
      <c r="S497" s="33"/>
      <c r="T497" s="35"/>
      <c r="U497" s="33"/>
    </row>
    <row r="498" ht="15.75" customHeight="1">
      <c r="D498" s="33"/>
      <c r="H498" s="33"/>
      <c r="I498" s="33"/>
      <c r="J498" s="33"/>
      <c r="K498" s="33"/>
      <c r="L498" s="33"/>
      <c r="M498" s="33"/>
      <c r="N498" s="33"/>
      <c r="O498" s="33"/>
      <c r="P498" s="71"/>
      <c r="Q498" s="33"/>
      <c r="S498" s="33"/>
      <c r="T498" s="35"/>
      <c r="U498" s="33"/>
    </row>
    <row r="499" ht="15.75" customHeight="1">
      <c r="D499" s="33"/>
      <c r="H499" s="33"/>
      <c r="I499" s="33"/>
      <c r="J499" s="33"/>
      <c r="K499" s="33"/>
      <c r="L499" s="33"/>
      <c r="M499" s="33"/>
      <c r="N499" s="33"/>
      <c r="O499" s="33"/>
      <c r="P499" s="71"/>
      <c r="Q499" s="33"/>
      <c r="S499" s="33"/>
      <c r="T499" s="35"/>
      <c r="U499" s="33"/>
    </row>
    <row r="500" ht="15.75" customHeight="1">
      <c r="D500" s="33"/>
      <c r="H500" s="33"/>
      <c r="I500" s="33"/>
      <c r="J500" s="33"/>
      <c r="K500" s="33"/>
      <c r="L500" s="33"/>
      <c r="M500" s="33"/>
      <c r="N500" s="33"/>
      <c r="O500" s="33"/>
      <c r="P500" s="71"/>
      <c r="Q500" s="33"/>
      <c r="S500" s="33"/>
      <c r="T500" s="35"/>
      <c r="U500" s="33"/>
    </row>
    <row r="501" ht="15.75" customHeight="1">
      <c r="D501" s="33"/>
      <c r="H501" s="33"/>
      <c r="I501" s="33"/>
      <c r="J501" s="33"/>
      <c r="K501" s="33"/>
      <c r="L501" s="33"/>
      <c r="M501" s="33"/>
      <c r="N501" s="33"/>
      <c r="O501" s="33"/>
      <c r="P501" s="71"/>
      <c r="Q501" s="33"/>
      <c r="S501" s="33"/>
      <c r="T501" s="35"/>
      <c r="U501" s="33"/>
    </row>
    <row r="502" ht="15.75" customHeight="1">
      <c r="D502" s="33"/>
      <c r="H502" s="33"/>
      <c r="I502" s="33"/>
      <c r="J502" s="33"/>
      <c r="K502" s="33"/>
      <c r="L502" s="33"/>
      <c r="M502" s="33"/>
      <c r="N502" s="33"/>
      <c r="O502" s="33"/>
      <c r="P502" s="71"/>
      <c r="Q502" s="33"/>
      <c r="S502" s="33"/>
      <c r="T502" s="35"/>
      <c r="U502" s="33"/>
    </row>
    <row r="503" ht="15.75" customHeight="1">
      <c r="D503" s="33"/>
      <c r="H503" s="33"/>
      <c r="I503" s="33"/>
      <c r="J503" s="33"/>
      <c r="K503" s="33"/>
      <c r="L503" s="33"/>
      <c r="M503" s="33"/>
      <c r="N503" s="33"/>
      <c r="O503" s="33"/>
      <c r="P503" s="71"/>
      <c r="Q503" s="33"/>
      <c r="S503" s="33"/>
      <c r="T503" s="35"/>
      <c r="U503" s="33"/>
    </row>
    <row r="504" ht="15.75" customHeight="1">
      <c r="D504" s="33"/>
      <c r="H504" s="33"/>
      <c r="I504" s="33"/>
      <c r="J504" s="33"/>
      <c r="K504" s="33"/>
      <c r="L504" s="33"/>
      <c r="M504" s="33"/>
      <c r="N504" s="33"/>
      <c r="O504" s="33"/>
      <c r="P504" s="71"/>
      <c r="Q504" s="33"/>
      <c r="S504" s="33"/>
      <c r="T504" s="35"/>
      <c r="U504" s="33"/>
    </row>
    <row r="505" ht="15.75" customHeight="1">
      <c r="D505" s="33"/>
      <c r="H505" s="33"/>
      <c r="I505" s="33"/>
      <c r="J505" s="33"/>
      <c r="K505" s="33"/>
      <c r="L505" s="33"/>
      <c r="M505" s="33"/>
      <c r="N505" s="33"/>
      <c r="O505" s="33"/>
      <c r="P505" s="71"/>
      <c r="Q505" s="33"/>
      <c r="S505" s="33"/>
      <c r="T505" s="35"/>
      <c r="U505" s="33"/>
    </row>
    <row r="506" ht="15.75" customHeight="1">
      <c r="D506" s="33"/>
      <c r="H506" s="33"/>
      <c r="I506" s="33"/>
      <c r="J506" s="33"/>
      <c r="K506" s="33"/>
      <c r="L506" s="33"/>
      <c r="M506" s="33"/>
      <c r="N506" s="33"/>
      <c r="O506" s="33"/>
      <c r="P506" s="71"/>
      <c r="Q506" s="33"/>
      <c r="S506" s="33"/>
      <c r="T506" s="35"/>
      <c r="U506" s="33"/>
    </row>
    <row r="507" ht="15.75" customHeight="1">
      <c r="D507" s="33"/>
      <c r="H507" s="33"/>
      <c r="I507" s="33"/>
      <c r="J507" s="33"/>
      <c r="K507" s="33"/>
      <c r="L507" s="33"/>
      <c r="M507" s="33"/>
      <c r="N507" s="33"/>
      <c r="O507" s="33"/>
      <c r="P507" s="71"/>
      <c r="Q507" s="33"/>
      <c r="S507" s="33"/>
      <c r="T507" s="35"/>
      <c r="U507" s="33"/>
    </row>
    <row r="508" ht="15.75" customHeight="1">
      <c r="D508" s="33"/>
      <c r="H508" s="33"/>
      <c r="I508" s="33"/>
      <c r="J508" s="33"/>
      <c r="K508" s="33"/>
      <c r="L508" s="33"/>
      <c r="M508" s="33"/>
      <c r="N508" s="33"/>
      <c r="O508" s="33"/>
      <c r="P508" s="71"/>
      <c r="Q508" s="33"/>
      <c r="S508" s="33"/>
      <c r="T508" s="35"/>
      <c r="U508" s="33"/>
    </row>
    <row r="509" ht="15.75" customHeight="1">
      <c r="D509" s="33"/>
      <c r="H509" s="33"/>
      <c r="I509" s="33"/>
      <c r="J509" s="33"/>
      <c r="K509" s="33"/>
      <c r="L509" s="33"/>
      <c r="M509" s="33"/>
      <c r="N509" s="33"/>
      <c r="O509" s="33"/>
      <c r="P509" s="71"/>
      <c r="Q509" s="33"/>
      <c r="S509" s="33"/>
      <c r="T509" s="35"/>
      <c r="U509" s="33"/>
    </row>
    <row r="510" ht="15.75" customHeight="1">
      <c r="D510" s="33"/>
      <c r="H510" s="33"/>
      <c r="I510" s="33"/>
      <c r="J510" s="33"/>
      <c r="K510" s="33"/>
      <c r="L510" s="33"/>
      <c r="M510" s="33"/>
      <c r="N510" s="33"/>
      <c r="O510" s="33"/>
      <c r="P510" s="71"/>
      <c r="Q510" s="33"/>
      <c r="S510" s="33"/>
      <c r="T510" s="35"/>
      <c r="U510" s="33"/>
    </row>
    <row r="511" ht="15.75" customHeight="1">
      <c r="D511" s="33"/>
      <c r="H511" s="33"/>
      <c r="I511" s="33"/>
      <c r="J511" s="33"/>
      <c r="K511" s="33"/>
      <c r="L511" s="33"/>
      <c r="M511" s="33"/>
      <c r="N511" s="33"/>
      <c r="O511" s="33"/>
      <c r="P511" s="71"/>
      <c r="Q511" s="33"/>
      <c r="S511" s="33"/>
      <c r="T511" s="35"/>
      <c r="U511" s="33"/>
    </row>
    <row r="512" ht="15.75" customHeight="1">
      <c r="D512" s="33"/>
      <c r="H512" s="33"/>
      <c r="I512" s="33"/>
      <c r="J512" s="33"/>
      <c r="K512" s="33"/>
      <c r="L512" s="33"/>
      <c r="M512" s="33"/>
      <c r="N512" s="33"/>
      <c r="O512" s="33"/>
      <c r="P512" s="71"/>
      <c r="Q512" s="33"/>
      <c r="S512" s="33"/>
      <c r="T512" s="35"/>
      <c r="U512" s="33"/>
    </row>
    <row r="513" ht="15.75" customHeight="1">
      <c r="D513" s="33"/>
      <c r="H513" s="33"/>
      <c r="I513" s="33"/>
      <c r="J513" s="33"/>
      <c r="K513" s="33"/>
      <c r="L513" s="33"/>
      <c r="M513" s="33"/>
      <c r="N513" s="33"/>
      <c r="O513" s="33"/>
      <c r="P513" s="71"/>
      <c r="Q513" s="33"/>
      <c r="S513" s="33"/>
      <c r="T513" s="35"/>
      <c r="U513" s="33"/>
    </row>
    <row r="514" ht="15.75" customHeight="1">
      <c r="D514" s="33"/>
      <c r="H514" s="33"/>
      <c r="I514" s="33"/>
      <c r="J514" s="33"/>
      <c r="K514" s="33"/>
      <c r="L514" s="33"/>
      <c r="M514" s="33"/>
      <c r="N514" s="33"/>
      <c r="O514" s="33"/>
      <c r="P514" s="71"/>
      <c r="Q514" s="33"/>
      <c r="S514" s="33"/>
      <c r="T514" s="35"/>
      <c r="U514" s="33"/>
    </row>
    <row r="515" ht="15.75" customHeight="1">
      <c r="D515" s="33"/>
      <c r="H515" s="33"/>
      <c r="I515" s="33"/>
      <c r="J515" s="33"/>
      <c r="K515" s="33"/>
      <c r="L515" s="33"/>
      <c r="M515" s="33"/>
      <c r="N515" s="33"/>
      <c r="O515" s="33"/>
      <c r="P515" s="71"/>
      <c r="Q515" s="33"/>
      <c r="S515" s="33"/>
      <c r="T515" s="35"/>
      <c r="U515" s="33"/>
    </row>
    <row r="516" ht="15.75" customHeight="1">
      <c r="D516" s="33"/>
      <c r="H516" s="33"/>
      <c r="I516" s="33"/>
      <c r="J516" s="33"/>
      <c r="K516" s="33"/>
      <c r="L516" s="33"/>
      <c r="M516" s="33"/>
      <c r="N516" s="33"/>
      <c r="O516" s="33"/>
      <c r="P516" s="71"/>
      <c r="Q516" s="33"/>
      <c r="S516" s="33"/>
      <c r="T516" s="35"/>
      <c r="U516" s="33"/>
    </row>
    <row r="517" ht="15.75" customHeight="1">
      <c r="D517" s="33"/>
      <c r="H517" s="33"/>
      <c r="I517" s="33"/>
      <c r="J517" s="33"/>
      <c r="K517" s="33"/>
      <c r="L517" s="33"/>
      <c r="M517" s="33"/>
      <c r="N517" s="33"/>
      <c r="O517" s="33"/>
      <c r="P517" s="71"/>
      <c r="Q517" s="33"/>
      <c r="S517" s="33"/>
      <c r="T517" s="35"/>
      <c r="U517" s="33"/>
    </row>
    <row r="518" ht="15.75" customHeight="1">
      <c r="D518" s="33"/>
      <c r="H518" s="33"/>
      <c r="I518" s="33"/>
      <c r="J518" s="33"/>
      <c r="K518" s="33"/>
      <c r="L518" s="33"/>
      <c r="M518" s="33"/>
      <c r="N518" s="33"/>
      <c r="O518" s="33"/>
      <c r="P518" s="71"/>
      <c r="Q518" s="33"/>
      <c r="S518" s="33"/>
      <c r="T518" s="35"/>
      <c r="U518" s="33"/>
    </row>
    <row r="519" ht="15.75" customHeight="1">
      <c r="D519" s="33"/>
      <c r="H519" s="33"/>
      <c r="I519" s="33"/>
      <c r="J519" s="33"/>
      <c r="K519" s="33"/>
      <c r="L519" s="33"/>
      <c r="M519" s="33"/>
      <c r="N519" s="33"/>
      <c r="O519" s="33"/>
      <c r="P519" s="71"/>
      <c r="Q519" s="33"/>
      <c r="S519" s="33"/>
      <c r="T519" s="35"/>
      <c r="U519" s="33"/>
    </row>
    <row r="520" ht="15.75" customHeight="1">
      <c r="D520" s="33"/>
      <c r="H520" s="33"/>
      <c r="I520" s="33"/>
      <c r="J520" s="33"/>
      <c r="K520" s="33"/>
      <c r="L520" s="33"/>
      <c r="M520" s="33"/>
      <c r="N520" s="33"/>
      <c r="O520" s="33"/>
      <c r="P520" s="71"/>
      <c r="Q520" s="33"/>
      <c r="S520" s="33"/>
      <c r="T520" s="35"/>
      <c r="U520" s="33"/>
    </row>
    <row r="521" ht="15.75" customHeight="1">
      <c r="D521" s="33"/>
      <c r="H521" s="33"/>
      <c r="I521" s="33"/>
      <c r="J521" s="33"/>
      <c r="K521" s="33"/>
      <c r="L521" s="33"/>
      <c r="M521" s="33"/>
      <c r="N521" s="33"/>
      <c r="O521" s="33"/>
      <c r="P521" s="71"/>
      <c r="Q521" s="33"/>
      <c r="S521" s="33"/>
      <c r="T521" s="35"/>
      <c r="U521" s="33"/>
    </row>
    <row r="522" ht="15.75" customHeight="1">
      <c r="D522" s="33"/>
      <c r="H522" s="33"/>
      <c r="I522" s="33"/>
      <c r="J522" s="33"/>
      <c r="K522" s="33"/>
      <c r="L522" s="33"/>
      <c r="M522" s="33"/>
      <c r="N522" s="33"/>
      <c r="O522" s="33"/>
      <c r="P522" s="71"/>
      <c r="Q522" s="33"/>
      <c r="S522" s="33"/>
      <c r="T522" s="35"/>
      <c r="U522" s="33"/>
    </row>
    <row r="523" ht="15.75" customHeight="1">
      <c r="D523" s="33"/>
      <c r="H523" s="33"/>
      <c r="I523" s="33"/>
      <c r="J523" s="33"/>
      <c r="K523" s="33"/>
      <c r="L523" s="33"/>
      <c r="M523" s="33"/>
      <c r="N523" s="33"/>
      <c r="O523" s="33"/>
      <c r="P523" s="71"/>
      <c r="Q523" s="33"/>
      <c r="S523" s="33"/>
      <c r="T523" s="35"/>
      <c r="U523" s="33"/>
    </row>
    <row r="524" ht="15.75" customHeight="1">
      <c r="D524" s="33"/>
      <c r="H524" s="33"/>
      <c r="I524" s="33"/>
      <c r="J524" s="33"/>
      <c r="K524" s="33"/>
      <c r="L524" s="33"/>
      <c r="M524" s="33"/>
      <c r="N524" s="33"/>
      <c r="O524" s="33"/>
      <c r="P524" s="71"/>
      <c r="Q524" s="33"/>
      <c r="S524" s="33"/>
      <c r="T524" s="35"/>
      <c r="U524" s="33"/>
    </row>
    <row r="525" ht="15.75" customHeight="1">
      <c r="D525" s="33"/>
      <c r="H525" s="33"/>
      <c r="I525" s="33"/>
      <c r="J525" s="33"/>
      <c r="K525" s="33"/>
      <c r="L525" s="33"/>
      <c r="M525" s="33"/>
      <c r="N525" s="33"/>
      <c r="O525" s="33"/>
      <c r="P525" s="71"/>
      <c r="Q525" s="33"/>
      <c r="S525" s="33"/>
      <c r="T525" s="35"/>
      <c r="U525" s="33"/>
    </row>
    <row r="526" ht="15.75" customHeight="1">
      <c r="D526" s="33"/>
      <c r="H526" s="33"/>
      <c r="I526" s="33"/>
      <c r="J526" s="33"/>
      <c r="K526" s="33"/>
      <c r="L526" s="33"/>
      <c r="M526" s="33"/>
      <c r="N526" s="33"/>
      <c r="O526" s="33"/>
      <c r="P526" s="71"/>
      <c r="Q526" s="33"/>
      <c r="S526" s="33"/>
      <c r="T526" s="35"/>
      <c r="U526" s="33"/>
    </row>
    <row r="527" ht="15.75" customHeight="1">
      <c r="D527" s="33"/>
      <c r="H527" s="33"/>
      <c r="I527" s="33"/>
      <c r="J527" s="33"/>
      <c r="K527" s="33"/>
      <c r="L527" s="33"/>
      <c r="M527" s="33"/>
      <c r="N527" s="33"/>
      <c r="O527" s="33"/>
      <c r="P527" s="71"/>
      <c r="Q527" s="33"/>
      <c r="S527" s="33"/>
      <c r="T527" s="35"/>
      <c r="U527" s="33"/>
    </row>
    <row r="528" ht="15.75" customHeight="1">
      <c r="D528" s="33"/>
      <c r="H528" s="33"/>
      <c r="I528" s="33"/>
      <c r="J528" s="33"/>
      <c r="K528" s="33"/>
      <c r="L528" s="33"/>
      <c r="M528" s="33"/>
      <c r="N528" s="33"/>
      <c r="O528" s="33"/>
      <c r="P528" s="71"/>
      <c r="Q528" s="33"/>
      <c r="S528" s="33"/>
      <c r="T528" s="35"/>
      <c r="U528" s="33"/>
    </row>
    <row r="529" ht="15.75" customHeight="1">
      <c r="D529" s="33"/>
      <c r="H529" s="33"/>
      <c r="I529" s="33"/>
      <c r="J529" s="33"/>
      <c r="K529" s="33"/>
      <c r="L529" s="33"/>
      <c r="M529" s="33"/>
      <c r="N529" s="33"/>
      <c r="O529" s="33"/>
      <c r="P529" s="71"/>
      <c r="Q529" s="33"/>
      <c r="S529" s="33"/>
      <c r="T529" s="35"/>
      <c r="U529" s="33"/>
    </row>
    <row r="530" ht="15.75" customHeight="1">
      <c r="D530" s="33"/>
      <c r="H530" s="33"/>
      <c r="I530" s="33"/>
      <c r="J530" s="33"/>
      <c r="K530" s="33"/>
      <c r="L530" s="33"/>
      <c r="M530" s="33"/>
      <c r="N530" s="33"/>
      <c r="O530" s="33"/>
      <c r="P530" s="71"/>
      <c r="Q530" s="33"/>
      <c r="S530" s="33"/>
      <c r="T530" s="35"/>
      <c r="U530" s="33"/>
    </row>
    <row r="531" ht="15.75" customHeight="1">
      <c r="D531" s="33"/>
      <c r="H531" s="33"/>
      <c r="I531" s="33"/>
      <c r="J531" s="33"/>
      <c r="K531" s="33"/>
      <c r="L531" s="33"/>
      <c r="M531" s="33"/>
      <c r="N531" s="33"/>
      <c r="O531" s="33"/>
      <c r="P531" s="71"/>
      <c r="Q531" s="33"/>
      <c r="S531" s="33"/>
      <c r="T531" s="35"/>
      <c r="U531" s="33"/>
    </row>
    <row r="532" ht="15.75" customHeight="1">
      <c r="D532" s="33"/>
      <c r="H532" s="33"/>
      <c r="I532" s="33"/>
      <c r="J532" s="33"/>
      <c r="K532" s="33"/>
      <c r="L532" s="33"/>
      <c r="M532" s="33"/>
      <c r="N532" s="33"/>
      <c r="O532" s="33"/>
      <c r="P532" s="71"/>
      <c r="Q532" s="33"/>
      <c r="S532" s="33"/>
      <c r="T532" s="35"/>
      <c r="U532" s="33"/>
    </row>
    <row r="533" ht="15.75" customHeight="1">
      <c r="D533" s="33"/>
      <c r="H533" s="33"/>
      <c r="I533" s="33"/>
      <c r="J533" s="33"/>
      <c r="K533" s="33"/>
      <c r="L533" s="33"/>
      <c r="M533" s="33"/>
      <c r="N533" s="33"/>
      <c r="O533" s="33"/>
      <c r="P533" s="71"/>
      <c r="Q533" s="33"/>
      <c r="S533" s="33"/>
      <c r="T533" s="35"/>
      <c r="U533" s="33"/>
    </row>
    <row r="534" ht="15.75" customHeight="1">
      <c r="D534" s="33"/>
      <c r="H534" s="33"/>
      <c r="I534" s="33"/>
      <c r="J534" s="33"/>
      <c r="K534" s="33"/>
      <c r="L534" s="33"/>
      <c r="M534" s="33"/>
      <c r="N534" s="33"/>
      <c r="O534" s="33"/>
      <c r="P534" s="71"/>
      <c r="Q534" s="33"/>
      <c r="S534" s="33"/>
      <c r="T534" s="35"/>
      <c r="U534" s="33"/>
    </row>
    <row r="535" ht="15.75" customHeight="1">
      <c r="D535" s="33"/>
      <c r="H535" s="33"/>
      <c r="I535" s="33"/>
      <c r="J535" s="33"/>
      <c r="K535" s="33"/>
      <c r="L535" s="33"/>
      <c r="M535" s="33"/>
      <c r="N535" s="33"/>
      <c r="O535" s="33"/>
      <c r="P535" s="71"/>
      <c r="Q535" s="33"/>
      <c r="S535" s="33"/>
      <c r="T535" s="35"/>
      <c r="U535" s="33"/>
    </row>
    <row r="536" ht="15.75" customHeight="1">
      <c r="D536" s="33"/>
      <c r="H536" s="33"/>
      <c r="I536" s="33"/>
      <c r="J536" s="33"/>
      <c r="K536" s="33"/>
      <c r="L536" s="33"/>
      <c r="M536" s="33"/>
      <c r="N536" s="33"/>
      <c r="O536" s="33"/>
      <c r="P536" s="71"/>
      <c r="Q536" s="33"/>
      <c r="S536" s="33"/>
      <c r="T536" s="35"/>
      <c r="U536" s="33"/>
    </row>
    <row r="537" ht="15.75" customHeight="1">
      <c r="D537" s="33"/>
      <c r="H537" s="33"/>
      <c r="I537" s="33"/>
      <c r="J537" s="33"/>
      <c r="K537" s="33"/>
      <c r="L537" s="33"/>
      <c r="M537" s="33"/>
      <c r="N537" s="33"/>
      <c r="O537" s="33"/>
      <c r="P537" s="71"/>
      <c r="Q537" s="33"/>
      <c r="S537" s="33"/>
      <c r="T537" s="35"/>
      <c r="U537" s="33"/>
    </row>
    <row r="538" ht="15.75" customHeight="1">
      <c r="D538" s="33"/>
      <c r="H538" s="33"/>
      <c r="I538" s="33"/>
      <c r="J538" s="33"/>
      <c r="K538" s="33"/>
      <c r="L538" s="33"/>
      <c r="M538" s="33"/>
      <c r="N538" s="33"/>
      <c r="O538" s="33"/>
      <c r="P538" s="71"/>
      <c r="Q538" s="33"/>
      <c r="S538" s="33"/>
      <c r="T538" s="35"/>
      <c r="U538" s="33"/>
    </row>
    <row r="539" ht="15.75" customHeight="1">
      <c r="D539" s="33"/>
      <c r="H539" s="33"/>
      <c r="I539" s="33"/>
      <c r="J539" s="33"/>
      <c r="K539" s="33"/>
      <c r="L539" s="33"/>
      <c r="M539" s="33"/>
      <c r="N539" s="33"/>
      <c r="O539" s="33"/>
      <c r="P539" s="71"/>
      <c r="Q539" s="33"/>
      <c r="S539" s="33"/>
      <c r="T539" s="35"/>
      <c r="U539" s="33"/>
    </row>
    <row r="540" ht="15.75" customHeight="1">
      <c r="D540" s="33"/>
      <c r="H540" s="33"/>
      <c r="I540" s="33"/>
      <c r="J540" s="33"/>
      <c r="K540" s="33"/>
      <c r="L540" s="33"/>
      <c r="M540" s="33"/>
      <c r="N540" s="33"/>
      <c r="O540" s="33"/>
      <c r="P540" s="71"/>
      <c r="Q540" s="33"/>
      <c r="S540" s="33"/>
      <c r="T540" s="35"/>
      <c r="U540" s="33"/>
    </row>
    <row r="541" ht="15.75" customHeight="1">
      <c r="D541" s="33"/>
      <c r="H541" s="33"/>
      <c r="I541" s="33"/>
      <c r="J541" s="33"/>
      <c r="K541" s="33"/>
      <c r="L541" s="33"/>
      <c r="M541" s="33"/>
      <c r="N541" s="33"/>
      <c r="O541" s="33"/>
      <c r="P541" s="71"/>
      <c r="Q541" s="33"/>
      <c r="S541" s="33"/>
      <c r="T541" s="35"/>
      <c r="U541" s="33"/>
    </row>
    <row r="542" ht="15.75" customHeight="1">
      <c r="D542" s="33"/>
      <c r="H542" s="33"/>
      <c r="I542" s="33"/>
      <c r="J542" s="33"/>
      <c r="K542" s="33"/>
      <c r="L542" s="33"/>
      <c r="M542" s="33"/>
      <c r="N542" s="33"/>
      <c r="O542" s="33"/>
      <c r="P542" s="71"/>
      <c r="Q542" s="33"/>
      <c r="S542" s="33"/>
      <c r="T542" s="35"/>
      <c r="U542" s="33"/>
    </row>
    <row r="543" ht="15.75" customHeight="1">
      <c r="D543" s="33"/>
      <c r="H543" s="33"/>
      <c r="I543" s="33"/>
      <c r="J543" s="33"/>
      <c r="K543" s="33"/>
      <c r="L543" s="33"/>
      <c r="M543" s="33"/>
      <c r="N543" s="33"/>
      <c r="O543" s="33"/>
      <c r="P543" s="71"/>
      <c r="Q543" s="33"/>
      <c r="S543" s="33"/>
      <c r="T543" s="35"/>
      <c r="U543" s="33"/>
    </row>
    <row r="544" ht="15.75" customHeight="1">
      <c r="D544" s="33"/>
      <c r="H544" s="33"/>
      <c r="I544" s="33"/>
      <c r="J544" s="33"/>
      <c r="K544" s="33"/>
      <c r="L544" s="33"/>
      <c r="M544" s="33"/>
      <c r="N544" s="33"/>
      <c r="O544" s="33"/>
      <c r="P544" s="71"/>
      <c r="Q544" s="33"/>
      <c r="S544" s="33"/>
      <c r="T544" s="35"/>
      <c r="U544" s="33"/>
    </row>
    <row r="545" ht="15.75" customHeight="1">
      <c r="D545" s="33"/>
      <c r="H545" s="33"/>
      <c r="I545" s="33"/>
      <c r="J545" s="33"/>
      <c r="K545" s="33"/>
      <c r="L545" s="33"/>
      <c r="M545" s="33"/>
      <c r="N545" s="33"/>
      <c r="O545" s="33"/>
      <c r="P545" s="71"/>
      <c r="Q545" s="33"/>
      <c r="S545" s="33"/>
      <c r="T545" s="35"/>
      <c r="U545" s="33"/>
    </row>
    <row r="546" ht="15.75" customHeight="1">
      <c r="D546" s="33"/>
      <c r="H546" s="33"/>
      <c r="I546" s="33"/>
      <c r="J546" s="33"/>
      <c r="K546" s="33"/>
      <c r="L546" s="33"/>
      <c r="M546" s="33"/>
      <c r="N546" s="33"/>
      <c r="O546" s="33"/>
      <c r="P546" s="71"/>
      <c r="Q546" s="33"/>
      <c r="S546" s="33"/>
      <c r="T546" s="35"/>
      <c r="U546" s="33"/>
    </row>
    <row r="547" ht="15.75" customHeight="1">
      <c r="D547" s="33"/>
      <c r="H547" s="33"/>
      <c r="I547" s="33"/>
      <c r="J547" s="33"/>
      <c r="K547" s="33"/>
      <c r="L547" s="33"/>
      <c r="M547" s="33"/>
      <c r="N547" s="33"/>
      <c r="O547" s="33"/>
      <c r="P547" s="71"/>
      <c r="Q547" s="33"/>
      <c r="S547" s="33"/>
      <c r="T547" s="35"/>
      <c r="U547" s="33"/>
    </row>
    <row r="548" ht="15.75" customHeight="1">
      <c r="D548" s="33"/>
      <c r="H548" s="33"/>
      <c r="I548" s="33"/>
      <c r="J548" s="33"/>
      <c r="K548" s="33"/>
      <c r="L548" s="33"/>
      <c r="M548" s="33"/>
      <c r="N548" s="33"/>
      <c r="O548" s="33"/>
      <c r="P548" s="71"/>
      <c r="Q548" s="33"/>
      <c r="S548" s="33"/>
      <c r="T548" s="35"/>
      <c r="U548" s="33"/>
    </row>
    <row r="549" ht="15.75" customHeight="1">
      <c r="D549" s="33"/>
      <c r="H549" s="33"/>
      <c r="I549" s="33"/>
      <c r="J549" s="33"/>
      <c r="K549" s="33"/>
      <c r="L549" s="33"/>
      <c r="M549" s="33"/>
      <c r="N549" s="33"/>
      <c r="O549" s="33"/>
      <c r="P549" s="71"/>
      <c r="Q549" s="33"/>
      <c r="S549" s="33"/>
      <c r="T549" s="35"/>
      <c r="U549" s="33"/>
    </row>
    <row r="550" ht="15.75" customHeight="1">
      <c r="D550" s="33"/>
      <c r="H550" s="33"/>
      <c r="I550" s="33"/>
      <c r="J550" s="33"/>
      <c r="K550" s="33"/>
      <c r="L550" s="33"/>
      <c r="M550" s="33"/>
      <c r="N550" s="33"/>
      <c r="O550" s="33"/>
      <c r="P550" s="71"/>
      <c r="Q550" s="33"/>
      <c r="S550" s="33"/>
      <c r="T550" s="35"/>
      <c r="U550" s="33"/>
    </row>
    <row r="551" ht="15.75" customHeight="1">
      <c r="D551" s="33"/>
      <c r="H551" s="33"/>
      <c r="I551" s="33"/>
      <c r="J551" s="33"/>
      <c r="K551" s="33"/>
      <c r="L551" s="33"/>
      <c r="M551" s="33"/>
      <c r="N551" s="33"/>
      <c r="O551" s="33"/>
      <c r="P551" s="71"/>
      <c r="Q551" s="33"/>
      <c r="S551" s="33"/>
      <c r="T551" s="35"/>
      <c r="U551" s="33"/>
    </row>
    <row r="552" ht="15.75" customHeight="1">
      <c r="D552" s="33"/>
      <c r="H552" s="33"/>
      <c r="I552" s="33"/>
      <c r="J552" s="33"/>
      <c r="K552" s="33"/>
      <c r="L552" s="33"/>
      <c r="M552" s="33"/>
      <c r="N552" s="33"/>
      <c r="O552" s="33"/>
      <c r="P552" s="71"/>
      <c r="Q552" s="33"/>
      <c r="S552" s="33"/>
      <c r="T552" s="35"/>
      <c r="U552" s="33"/>
    </row>
    <row r="553" ht="15.75" customHeight="1">
      <c r="D553" s="33"/>
      <c r="H553" s="33"/>
      <c r="I553" s="33"/>
      <c r="J553" s="33"/>
      <c r="K553" s="33"/>
      <c r="L553" s="33"/>
      <c r="M553" s="33"/>
      <c r="N553" s="33"/>
      <c r="O553" s="33"/>
      <c r="P553" s="71"/>
      <c r="Q553" s="33"/>
      <c r="S553" s="33"/>
      <c r="T553" s="35"/>
      <c r="U553" s="33"/>
    </row>
    <row r="554" ht="15.75" customHeight="1">
      <c r="D554" s="33"/>
      <c r="H554" s="33"/>
      <c r="I554" s="33"/>
      <c r="J554" s="33"/>
      <c r="K554" s="33"/>
      <c r="L554" s="33"/>
      <c r="M554" s="33"/>
      <c r="N554" s="33"/>
      <c r="O554" s="33"/>
      <c r="P554" s="71"/>
      <c r="Q554" s="33"/>
      <c r="S554" s="33"/>
      <c r="T554" s="35"/>
      <c r="U554" s="33"/>
    </row>
    <row r="555" ht="15.75" customHeight="1">
      <c r="D555" s="33"/>
      <c r="H555" s="33"/>
      <c r="I555" s="33"/>
      <c r="J555" s="33"/>
      <c r="K555" s="33"/>
      <c r="L555" s="33"/>
      <c r="M555" s="33"/>
      <c r="N555" s="33"/>
      <c r="O555" s="33"/>
      <c r="P555" s="71"/>
      <c r="Q555" s="33"/>
      <c r="S555" s="33"/>
      <c r="T555" s="35"/>
      <c r="U555" s="33"/>
    </row>
    <row r="556" ht="15.75" customHeight="1">
      <c r="D556" s="33"/>
      <c r="H556" s="33"/>
      <c r="I556" s="33"/>
      <c r="J556" s="33"/>
      <c r="K556" s="33"/>
      <c r="L556" s="33"/>
      <c r="M556" s="33"/>
      <c r="N556" s="33"/>
      <c r="O556" s="33"/>
      <c r="P556" s="71"/>
      <c r="Q556" s="33"/>
      <c r="S556" s="33"/>
      <c r="T556" s="35"/>
      <c r="U556" s="33"/>
    </row>
    <row r="557" ht="15.75" customHeight="1">
      <c r="D557" s="33"/>
      <c r="H557" s="33"/>
      <c r="I557" s="33"/>
      <c r="J557" s="33"/>
      <c r="K557" s="33"/>
      <c r="L557" s="33"/>
      <c r="M557" s="33"/>
      <c r="N557" s="33"/>
      <c r="O557" s="33"/>
      <c r="P557" s="71"/>
      <c r="Q557" s="33"/>
      <c r="S557" s="33"/>
      <c r="T557" s="35"/>
      <c r="U557" s="33"/>
    </row>
    <row r="558" ht="15.75" customHeight="1">
      <c r="D558" s="33"/>
      <c r="H558" s="33"/>
      <c r="I558" s="33"/>
      <c r="J558" s="33"/>
      <c r="K558" s="33"/>
      <c r="L558" s="33"/>
      <c r="M558" s="33"/>
      <c r="N558" s="33"/>
      <c r="O558" s="33"/>
      <c r="P558" s="71"/>
      <c r="Q558" s="33"/>
      <c r="S558" s="33"/>
      <c r="T558" s="35"/>
      <c r="U558" s="33"/>
    </row>
    <row r="559" ht="15.75" customHeight="1">
      <c r="D559" s="33"/>
      <c r="H559" s="33"/>
      <c r="I559" s="33"/>
      <c r="J559" s="33"/>
      <c r="K559" s="33"/>
      <c r="L559" s="33"/>
      <c r="M559" s="33"/>
      <c r="N559" s="33"/>
      <c r="O559" s="33"/>
      <c r="P559" s="71"/>
      <c r="Q559" s="33"/>
      <c r="S559" s="33"/>
      <c r="T559" s="35"/>
      <c r="U559" s="33"/>
    </row>
    <row r="560" ht="15.75" customHeight="1">
      <c r="D560" s="33"/>
      <c r="H560" s="33"/>
      <c r="I560" s="33"/>
      <c r="J560" s="33"/>
      <c r="K560" s="33"/>
      <c r="L560" s="33"/>
      <c r="M560" s="33"/>
      <c r="N560" s="33"/>
      <c r="O560" s="33"/>
      <c r="P560" s="71"/>
      <c r="Q560" s="33"/>
      <c r="S560" s="33"/>
      <c r="T560" s="35"/>
      <c r="U560" s="33"/>
    </row>
    <row r="561" ht="15.75" customHeight="1">
      <c r="D561" s="33"/>
      <c r="H561" s="33"/>
      <c r="I561" s="33"/>
      <c r="J561" s="33"/>
      <c r="K561" s="33"/>
      <c r="L561" s="33"/>
      <c r="M561" s="33"/>
      <c r="N561" s="33"/>
      <c r="O561" s="33"/>
      <c r="P561" s="71"/>
      <c r="Q561" s="33"/>
      <c r="S561" s="33"/>
      <c r="T561" s="35"/>
      <c r="U561" s="33"/>
    </row>
    <row r="562" ht="15.75" customHeight="1">
      <c r="D562" s="33"/>
      <c r="H562" s="33"/>
      <c r="I562" s="33"/>
      <c r="J562" s="33"/>
      <c r="K562" s="33"/>
      <c r="L562" s="33"/>
      <c r="M562" s="33"/>
      <c r="N562" s="33"/>
      <c r="O562" s="33"/>
      <c r="P562" s="71"/>
      <c r="Q562" s="33"/>
      <c r="S562" s="33"/>
      <c r="T562" s="35"/>
      <c r="U562" s="33"/>
    </row>
    <row r="563" ht="15.75" customHeight="1">
      <c r="D563" s="33"/>
      <c r="H563" s="33"/>
      <c r="I563" s="33"/>
      <c r="J563" s="33"/>
      <c r="K563" s="33"/>
      <c r="L563" s="33"/>
      <c r="M563" s="33"/>
      <c r="N563" s="33"/>
      <c r="O563" s="33"/>
      <c r="P563" s="71"/>
      <c r="Q563" s="33"/>
      <c r="S563" s="33"/>
      <c r="T563" s="35"/>
      <c r="U563" s="33"/>
    </row>
    <row r="564" ht="15.75" customHeight="1">
      <c r="D564" s="33"/>
      <c r="H564" s="33"/>
      <c r="I564" s="33"/>
      <c r="J564" s="33"/>
      <c r="K564" s="33"/>
      <c r="L564" s="33"/>
      <c r="M564" s="33"/>
      <c r="N564" s="33"/>
      <c r="O564" s="33"/>
      <c r="P564" s="71"/>
      <c r="Q564" s="33"/>
      <c r="S564" s="33"/>
      <c r="T564" s="35"/>
      <c r="U564" s="33"/>
    </row>
    <row r="565" ht="15.75" customHeight="1">
      <c r="D565" s="33"/>
      <c r="H565" s="33"/>
      <c r="I565" s="33"/>
      <c r="J565" s="33"/>
      <c r="K565" s="33"/>
      <c r="L565" s="33"/>
      <c r="M565" s="33"/>
      <c r="N565" s="33"/>
      <c r="O565" s="33"/>
      <c r="P565" s="71"/>
      <c r="Q565" s="33"/>
      <c r="S565" s="33"/>
      <c r="T565" s="35"/>
      <c r="U565" s="33"/>
    </row>
    <row r="566" ht="15.75" customHeight="1">
      <c r="D566" s="33"/>
      <c r="H566" s="33"/>
      <c r="I566" s="33"/>
      <c r="J566" s="33"/>
      <c r="K566" s="33"/>
      <c r="L566" s="33"/>
      <c r="M566" s="33"/>
      <c r="N566" s="33"/>
      <c r="O566" s="33"/>
      <c r="P566" s="71"/>
      <c r="Q566" s="33"/>
      <c r="S566" s="33"/>
      <c r="T566" s="35"/>
      <c r="U566" s="33"/>
    </row>
    <row r="567" ht="15.75" customHeight="1">
      <c r="D567" s="33"/>
      <c r="H567" s="33"/>
      <c r="I567" s="33"/>
      <c r="J567" s="33"/>
      <c r="K567" s="33"/>
      <c r="L567" s="33"/>
      <c r="M567" s="33"/>
      <c r="N567" s="33"/>
      <c r="O567" s="33"/>
      <c r="P567" s="71"/>
      <c r="Q567" s="33"/>
      <c r="S567" s="33"/>
      <c r="T567" s="35"/>
      <c r="U567" s="33"/>
    </row>
    <row r="568" ht="15.75" customHeight="1">
      <c r="D568" s="33"/>
      <c r="H568" s="33"/>
      <c r="I568" s="33"/>
      <c r="J568" s="33"/>
      <c r="K568" s="33"/>
      <c r="L568" s="33"/>
      <c r="M568" s="33"/>
      <c r="N568" s="33"/>
      <c r="O568" s="33"/>
      <c r="P568" s="71"/>
      <c r="Q568" s="33"/>
      <c r="S568" s="33"/>
      <c r="T568" s="35"/>
      <c r="U568" s="33"/>
    </row>
    <row r="569" ht="15.75" customHeight="1">
      <c r="D569" s="33"/>
      <c r="H569" s="33"/>
      <c r="I569" s="33"/>
      <c r="J569" s="33"/>
      <c r="K569" s="33"/>
      <c r="L569" s="33"/>
      <c r="M569" s="33"/>
      <c r="N569" s="33"/>
      <c r="O569" s="33"/>
      <c r="P569" s="71"/>
      <c r="Q569" s="33"/>
      <c r="S569" s="33"/>
      <c r="T569" s="35"/>
      <c r="U569" s="33"/>
    </row>
    <row r="570" ht="15.75" customHeight="1">
      <c r="D570" s="33"/>
      <c r="H570" s="33"/>
      <c r="I570" s="33"/>
      <c r="J570" s="33"/>
      <c r="K570" s="33"/>
      <c r="L570" s="33"/>
      <c r="M570" s="33"/>
      <c r="N570" s="33"/>
      <c r="O570" s="33"/>
      <c r="P570" s="71"/>
      <c r="Q570" s="33"/>
      <c r="S570" s="33"/>
      <c r="T570" s="35"/>
      <c r="U570" s="33"/>
    </row>
    <row r="571" ht="15.75" customHeight="1">
      <c r="D571" s="33"/>
      <c r="H571" s="33"/>
      <c r="I571" s="33"/>
      <c r="J571" s="33"/>
      <c r="K571" s="33"/>
      <c r="L571" s="33"/>
      <c r="M571" s="33"/>
      <c r="N571" s="33"/>
      <c r="O571" s="33"/>
      <c r="P571" s="71"/>
      <c r="Q571" s="33"/>
      <c r="S571" s="33"/>
      <c r="T571" s="35"/>
      <c r="U571" s="33"/>
    </row>
    <row r="572" ht="15.75" customHeight="1">
      <c r="D572" s="33"/>
      <c r="H572" s="33"/>
      <c r="I572" s="33"/>
      <c r="J572" s="33"/>
      <c r="K572" s="33"/>
      <c r="L572" s="33"/>
      <c r="M572" s="33"/>
      <c r="N572" s="33"/>
      <c r="O572" s="33"/>
      <c r="P572" s="71"/>
      <c r="Q572" s="33"/>
      <c r="S572" s="33"/>
      <c r="T572" s="35"/>
      <c r="U572" s="33"/>
    </row>
    <row r="573" ht="15.75" customHeight="1">
      <c r="D573" s="33"/>
      <c r="H573" s="33"/>
      <c r="I573" s="33"/>
      <c r="J573" s="33"/>
      <c r="K573" s="33"/>
      <c r="L573" s="33"/>
      <c r="M573" s="33"/>
      <c r="N573" s="33"/>
      <c r="O573" s="33"/>
      <c r="P573" s="71"/>
      <c r="Q573" s="33"/>
      <c r="S573" s="33"/>
      <c r="T573" s="35"/>
      <c r="U573" s="33"/>
    </row>
    <row r="574" ht="15.75" customHeight="1">
      <c r="D574" s="33"/>
      <c r="H574" s="33"/>
      <c r="I574" s="33"/>
      <c r="J574" s="33"/>
      <c r="K574" s="33"/>
      <c r="L574" s="33"/>
      <c r="M574" s="33"/>
      <c r="N574" s="33"/>
      <c r="O574" s="33"/>
      <c r="P574" s="71"/>
      <c r="Q574" s="33"/>
      <c r="S574" s="33"/>
      <c r="T574" s="35"/>
      <c r="U574" s="33"/>
    </row>
    <row r="575" ht="15.75" customHeight="1">
      <c r="D575" s="33"/>
      <c r="H575" s="33"/>
      <c r="I575" s="33"/>
      <c r="J575" s="33"/>
      <c r="K575" s="33"/>
      <c r="L575" s="33"/>
      <c r="M575" s="33"/>
      <c r="N575" s="33"/>
      <c r="O575" s="33"/>
      <c r="P575" s="71"/>
      <c r="Q575" s="33"/>
      <c r="S575" s="33"/>
      <c r="T575" s="35"/>
      <c r="U575" s="33"/>
    </row>
    <row r="576" ht="15.75" customHeight="1">
      <c r="D576" s="33"/>
      <c r="H576" s="33"/>
      <c r="I576" s="33"/>
      <c r="J576" s="33"/>
      <c r="K576" s="33"/>
      <c r="L576" s="33"/>
      <c r="M576" s="33"/>
      <c r="N576" s="33"/>
      <c r="O576" s="33"/>
      <c r="P576" s="71"/>
      <c r="Q576" s="33"/>
      <c r="S576" s="33"/>
      <c r="T576" s="35"/>
      <c r="U576" s="33"/>
    </row>
    <row r="577" ht="15.75" customHeight="1">
      <c r="D577" s="33"/>
      <c r="H577" s="33"/>
      <c r="I577" s="33"/>
      <c r="J577" s="33"/>
      <c r="K577" s="33"/>
      <c r="L577" s="33"/>
      <c r="M577" s="33"/>
      <c r="N577" s="33"/>
      <c r="O577" s="33"/>
      <c r="P577" s="71"/>
      <c r="Q577" s="33"/>
      <c r="S577" s="33"/>
      <c r="T577" s="35"/>
      <c r="U577" s="33"/>
    </row>
    <row r="578" ht="15.75" customHeight="1">
      <c r="D578" s="33"/>
      <c r="H578" s="33"/>
      <c r="I578" s="33"/>
      <c r="J578" s="33"/>
      <c r="K578" s="33"/>
      <c r="L578" s="33"/>
      <c r="M578" s="33"/>
      <c r="N578" s="33"/>
      <c r="O578" s="33"/>
      <c r="P578" s="71"/>
      <c r="Q578" s="33"/>
      <c r="S578" s="33"/>
      <c r="T578" s="35"/>
      <c r="U578" s="33"/>
    </row>
    <row r="579" ht="15.75" customHeight="1">
      <c r="D579" s="33"/>
      <c r="H579" s="33"/>
      <c r="I579" s="33"/>
      <c r="J579" s="33"/>
      <c r="K579" s="33"/>
      <c r="L579" s="33"/>
      <c r="M579" s="33"/>
      <c r="N579" s="33"/>
      <c r="O579" s="33"/>
      <c r="P579" s="71"/>
      <c r="Q579" s="33"/>
      <c r="S579" s="33"/>
      <c r="T579" s="35"/>
      <c r="U579" s="33"/>
    </row>
    <row r="580" ht="15.75" customHeight="1">
      <c r="D580" s="33"/>
      <c r="H580" s="33"/>
      <c r="I580" s="33"/>
      <c r="J580" s="33"/>
      <c r="K580" s="33"/>
      <c r="L580" s="33"/>
      <c r="M580" s="33"/>
      <c r="N580" s="33"/>
      <c r="O580" s="33"/>
      <c r="P580" s="71"/>
      <c r="Q580" s="33"/>
      <c r="S580" s="33"/>
      <c r="T580" s="35"/>
      <c r="U580" s="33"/>
    </row>
    <row r="581" ht="15.75" customHeight="1">
      <c r="D581" s="33"/>
      <c r="H581" s="33"/>
      <c r="I581" s="33"/>
      <c r="J581" s="33"/>
      <c r="K581" s="33"/>
      <c r="L581" s="33"/>
      <c r="M581" s="33"/>
      <c r="N581" s="33"/>
      <c r="O581" s="33"/>
      <c r="P581" s="71"/>
      <c r="Q581" s="33"/>
      <c r="S581" s="33"/>
      <c r="T581" s="35"/>
      <c r="U581" s="33"/>
    </row>
    <row r="582" ht="15.75" customHeight="1">
      <c r="D582" s="33"/>
      <c r="H582" s="33"/>
      <c r="I582" s="33"/>
      <c r="J582" s="33"/>
      <c r="K582" s="33"/>
      <c r="L582" s="33"/>
      <c r="M582" s="33"/>
      <c r="N582" s="33"/>
      <c r="O582" s="33"/>
      <c r="P582" s="71"/>
      <c r="Q582" s="33"/>
      <c r="S582" s="33"/>
      <c r="T582" s="35"/>
      <c r="U582" s="33"/>
    </row>
    <row r="583" ht="15.75" customHeight="1">
      <c r="D583" s="33"/>
      <c r="H583" s="33"/>
      <c r="I583" s="33"/>
      <c r="J583" s="33"/>
      <c r="K583" s="33"/>
      <c r="L583" s="33"/>
      <c r="M583" s="33"/>
      <c r="N583" s="33"/>
      <c r="O583" s="33"/>
      <c r="P583" s="71"/>
      <c r="Q583" s="33"/>
      <c r="S583" s="33"/>
      <c r="T583" s="35"/>
      <c r="U583" s="33"/>
    </row>
    <row r="584" ht="15.75" customHeight="1">
      <c r="D584" s="33"/>
      <c r="H584" s="33"/>
      <c r="I584" s="33"/>
      <c r="J584" s="33"/>
      <c r="K584" s="33"/>
      <c r="L584" s="33"/>
      <c r="M584" s="33"/>
      <c r="N584" s="33"/>
      <c r="O584" s="33"/>
      <c r="P584" s="71"/>
      <c r="Q584" s="33"/>
      <c r="S584" s="33"/>
      <c r="T584" s="35"/>
      <c r="U584" s="33"/>
    </row>
    <row r="585" ht="15.75" customHeight="1">
      <c r="D585" s="33"/>
      <c r="H585" s="33"/>
      <c r="I585" s="33"/>
      <c r="J585" s="33"/>
      <c r="K585" s="33"/>
      <c r="L585" s="33"/>
      <c r="M585" s="33"/>
      <c r="N585" s="33"/>
      <c r="O585" s="33"/>
      <c r="P585" s="71"/>
      <c r="Q585" s="33"/>
      <c r="S585" s="33"/>
      <c r="T585" s="35"/>
      <c r="U585" s="33"/>
    </row>
    <row r="586" ht="15.75" customHeight="1">
      <c r="D586" s="33"/>
      <c r="H586" s="33"/>
      <c r="I586" s="33"/>
      <c r="J586" s="33"/>
      <c r="K586" s="33"/>
      <c r="L586" s="33"/>
      <c r="M586" s="33"/>
      <c r="N586" s="33"/>
      <c r="O586" s="33"/>
      <c r="P586" s="71"/>
      <c r="Q586" s="33"/>
      <c r="S586" s="33"/>
      <c r="T586" s="35"/>
      <c r="U586" s="33"/>
    </row>
    <row r="587" ht="15.75" customHeight="1">
      <c r="D587" s="33"/>
      <c r="H587" s="33"/>
      <c r="I587" s="33"/>
      <c r="J587" s="33"/>
      <c r="K587" s="33"/>
      <c r="L587" s="33"/>
      <c r="M587" s="33"/>
      <c r="N587" s="33"/>
      <c r="O587" s="33"/>
      <c r="P587" s="71"/>
      <c r="Q587" s="33"/>
      <c r="S587" s="33"/>
      <c r="T587" s="35"/>
      <c r="U587" s="33"/>
    </row>
    <row r="588" ht="15.75" customHeight="1">
      <c r="D588" s="33"/>
      <c r="H588" s="33"/>
      <c r="I588" s="33"/>
      <c r="J588" s="33"/>
      <c r="K588" s="33"/>
      <c r="L588" s="33"/>
      <c r="M588" s="33"/>
      <c r="N588" s="33"/>
      <c r="O588" s="33"/>
      <c r="P588" s="71"/>
      <c r="Q588" s="33"/>
      <c r="S588" s="33"/>
      <c r="T588" s="35"/>
      <c r="U588" s="33"/>
    </row>
    <row r="589" ht="15.75" customHeight="1">
      <c r="D589" s="33"/>
      <c r="H589" s="33"/>
      <c r="I589" s="33"/>
      <c r="J589" s="33"/>
      <c r="K589" s="33"/>
      <c r="L589" s="33"/>
      <c r="M589" s="33"/>
      <c r="N589" s="33"/>
      <c r="O589" s="33"/>
      <c r="P589" s="71"/>
      <c r="Q589" s="33"/>
      <c r="S589" s="33"/>
      <c r="T589" s="35"/>
      <c r="U589" s="33"/>
    </row>
    <row r="590" ht="15.75" customHeight="1">
      <c r="D590" s="33"/>
      <c r="H590" s="33"/>
      <c r="I590" s="33"/>
      <c r="J590" s="33"/>
      <c r="K590" s="33"/>
      <c r="L590" s="33"/>
      <c r="M590" s="33"/>
      <c r="N590" s="33"/>
      <c r="O590" s="33"/>
      <c r="P590" s="71"/>
      <c r="Q590" s="33"/>
      <c r="S590" s="33"/>
      <c r="T590" s="35"/>
      <c r="U590" s="33"/>
    </row>
    <row r="591" ht="15.75" customHeight="1">
      <c r="D591" s="33"/>
      <c r="H591" s="33"/>
      <c r="I591" s="33"/>
      <c r="J591" s="33"/>
      <c r="K591" s="33"/>
      <c r="L591" s="33"/>
      <c r="M591" s="33"/>
      <c r="N591" s="33"/>
      <c r="O591" s="33"/>
      <c r="P591" s="71"/>
      <c r="Q591" s="33"/>
      <c r="S591" s="33"/>
      <c r="T591" s="35"/>
      <c r="U591" s="33"/>
    </row>
    <row r="592" ht="15.75" customHeight="1">
      <c r="D592" s="33"/>
      <c r="H592" s="33"/>
      <c r="I592" s="33"/>
      <c r="J592" s="33"/>
      <c r="K592" s="33"/>
      <c r="L592" s="33"/>
      <c r="M592" s="33"/>
      <c r="N592" s="33"/>
      <c r="O592" s="33"/>
      <c r="P592" s="71"/>
      <c r="Q592" s="33"/>
      <c r="S592" s="33"/>
      <c r="T592" s="35"/>
      <c r="U592" s="33"/>
    </row>
    <row r="593" ht="15.75" customHeight="1">
      <c r="D593" s="33"/>
      <c r="H593" s="33"/>
      <c r="I593" s="33"/>
      <c r="J593" s="33"/>
      <c r="K593" s="33"/>
      <c r="L593" s="33"/>
      <c r="M593" s="33"/>
      <c r="N593" s="33"/>
      <c r="O593" s="33"/>
      <c r="P593" s="71"/>
      <c r="Q593" s="33"/>
      <c r="S593" s="33"/>
      <c r="T593" s="35"/>
      <c r="U593" s="33"/>
    </row>
    <row r="594" ht="15.75" customHeight="1">
      <c r="D594" s="33"/>
      <c r="H594" s="33"/>
      <c r="I594" s="33"/>
      <c r="J594" s="33"/>
      <c r="K594" s="33"/>
      <c r="L594" s="33"/>
      <c r="M594" s="33"/>
      <c r="N594" s="33"/>
      <c r="O594" s="33"/>
      <c r="P594" s="71"/>
      <c r="Q594" s="33"/>
      <c r="S594" s="33"/>
      <c r="T594" s="35"/>
      <c r="U594" s="33"/>
    </row>
    <row r="595" ht="15.75" customHeight="1">
      <c r="D595" s="33"/>
      <c r="H595" s="33"/>
      <c r="I595" s="33"/>
      <c r="J595" s="33"/>
      <c r="K595" s="33"/>
      <c r="L595" s="33"/>
      <c r="M595" s="33"/>
      <c r="N595" s="33"/>
      <c r="O595" s="33"/>
      <c r="P595" s="71"/>
      <c r="Q595" s="33"/>
      <c r="S595" s="33"/>
      <c r="T595" s="35"/>
      <c r="U595" s="33"/>
    </row>
    <row r="596" ht="15.75" customHeight="1">
      <c r="D596" s="33"/>
      <c r="H596" s="33"/>
      <c r="I596" s="33"/>
      <c r="J596" s="33"/>
      <c r="K596" s="33"/>
      <c r="L596" s="33"/>
      <c r="M596" s="33"/>
      <c r="N596" s="33"/>
      <c r="O596" s="33"/>
      <c r="P596" s="71"/>
      <c r="Q596" s="33"/>
      <c r="S596" s="33"/>
      <c r="T596" s="35"/>
      <c r="U596" s="33"/>
    </row>
    <row r="597" ht="15.75" customHeight="1">
      <c r="D597" s="33"/>
      <c r="H597" s="33"/>
      <c r="I597" s="33"/>
      <c r="J597" s="33"/>
      <c r="K597" s="33"/>
      <c r="L597" s="33"/>
      <c r="M597" s="33"/>
      <c r="N597" s="33"/>
      <c r="O597" s="33"/>
      <c r="P597" s="71"/>
      <c r="Q597" s="33"/>
      <c r="S597" s="33"/>
      <c r="T597" s="35"/>
      <c r="U597" s="33"/>
    </row>
    <row r="598" ht="15.75" customHeight="1">
      <c r="D598" s="33"/>
      <c r="H598" s="33"/>
      <c r="I598" s="33"/>
      <c r="J598" s="33"/>
      <c r="K598" s="33"/>
      <c r="L598" s="33"/>
      <c r="M598" s="33"/>
      <c r="N598" s="33"/>
      <c r="O598" s="33"/>
      <c r="P598" s="71"/>
      <c r="Q598" s="33"/>
      <c r="S598" s="33"/>
      <c r="T598" s="35"/>
      <c r="U598" s="33"/>
    </row>
    <row r="599" ht="15.75" customHeight="1">
      <c r="D599" s="33"/>
      <c r="H599" s="33"/>
      <c r="I599" s="33"/>
      <c r="J599" s="33"/>
      <c r="K599" s="33"/>
      <c r="L599" s="33"/>
      <c r="M599" s="33"/>
      <c r="N599" s="33"/>
      <c r="O599" s="33"/>
      <c r="P599" s="71"/>
      <c r="Q599" s="33"/>
      <c r="S599" s="33"/>
      <c r="T599" s="35"/>
      <c r="U599" s="33"/>
    </row>
    <row r="600" ht="15.75" customHeight="1">
      <c r="D600" s="33"/>
      <c r="H600" s="33"/>
      <c r="I600" s="33"/>
      <c r="J600" s="33"/>
      <c r="K600" s="33"/>
      <c r="L600" s="33"/>
      <c r="M600" s="33"/>
      <c r="N600" s="33"/>
      <c r="O600" s="33"/>
      <c r="P600" s="71"/>
      <c r="Q600" s="33"/>
      <c r="S600" s="33"/>
      <c r="T600" s="35"/>
      <c r="U600" s="33"/>
    </row>
    <row r="601" ht="15.75" customHeight="1">
      <c r="D601" s="33"/>
      <c r="H601" s="33"/>
      <c r="I601" s="33"/>
      <c r="J601" s="33"/>
      <c r="K601" s="33"/>
      <c r="L601" s="33"/>
      <c r="M601" s="33"/>
      <c r="N601" s="33"/>
      <c r="O601" s="33"/>
      <c r="P601" s="71"/>
      <c r="Q601" s="33"/>
      <c r="S601" s="33"/>
      <c r="T601" s="35"/>
      <c r="U601" s="33"/>
    </row>
    <row r="602" ht="15.75" customHeight="1">
      <c r="D602" s="33"/>
      <c r="H602" s="33"/>
      <c r="I602" s="33"/>
      <c r="J602" s="33"/>
      <c r="K602" s="33"/>
      <c r="L602" s="33"/>
      <c r="M602" s="33"/>
      <c r="N602" s="33"/>
      <c r="O602" s="33"/>
      <c r="P602" s="71"/>
      <c r="Q602" s="33"/>
      <c r="S602" s="33"/>
      <c r="T602" s="35"/>
      <c r="U602" s="33"/>
    </row>
    <row r="603" ht="15.75" customHeight="1">
      <c r="D603" s="33"/>
      <c r="H603" s="33"/>
      <c r="I603" s="33"/>
      <c r="J603" s="33"/>
      <c r="K603" s="33"/>
      <c r="L603" s="33"/>
      <c r="M603" s="33"/>
      <c r="N603" s="33"/>
      <c r="O603" s="33"/>
      <c r="P603" s="71"/>
      <c r="Q603" s="33"/>
      <c r="S603" s="33"/>
      <c r="T603" s="35"/>
      <c r="U603" s="33"/>
    </row>
    <row r="604" ht="15.75" customHeight="1">
      <c r="D604" s="33"/>
      <c r="H604" s="33"/>
      <c r="I604" s="33"/>
      <c r="J604" s="33"/>
      <c r="K604" s="33"/>
      <c r="L604" s="33"/>
      <c r="M604" s="33"/>
      <c r="N604" s="33"/>
      <c r="O604" s="33"/>
      <c r="P604" s="71"/>
      <c r="Q604" s="33"/>
      <c r="S604" s="33"/>
      <c r="T604" s="35"/>
      <c r="U604" s="33"/>
    </row>
    <row r="605" ht="15.75" customHeight="1">
      <c r="D605" s="33"/>
      <c r="H605" s="33"/>
      <c r="I605" s="33"/>
      <c r="J605" s="33"/>
      <c r="K605" s="33"/>
      <c r="L605" s="33"/>
      <c r="M605" s="33"/>
      <c r="N605" s="33"/>
      <c r="O605" s="33"/>
      <c r="P605" s="71"/>
      <c r="Q605" s="33"/>
      <c r="S605" s="33"/>
      <c r="T605" s="35"/>
      <c r="U605" s="33"/>
    </row>
    <row r="606" ht="15.75" customHeight="1">
      <c r="D606" s="33"/>
      <c r="H606" s="33"/>
      <c r="I606" s="33"/>
      <c r="J606" s="33"/>
      <c r="K606" s="33"/>
      <c r="L606" s="33"/>
      <c r="M606" s="33"/>
      <c r="N606" s="33"/>
      <c r="O606" s="33"/>
      <c r="P606" s="71"/>
      <c r="Q606" s="33"/>
      <c r="S606" s="33"/>
      <c r="T606" s="35"/>
      <c r="U606" s="33"/>
    </row>
    <row r="607" ht="15.75" customHeight="1">
      <c r="D607" s="33"/>
      <c r="H607" s="33"/>
      <c r="I607" s="33"/>
      <c r="J607" s="33"/>
      <c r="K607" s="33"/>
      <c r="L607" s="33"/>
      <c r="M607" s="33"/>
      <c r="N607" s="33"/>
      <c r="O607" s="33"/>
      <c r="P607" s="71"/>
      <c r="Q607" s="33"/>
      <c r="S607" s="33"/>
      <c r="T607" s="35"/>
      <c r="U607" s="33"/>
    </row>
    <row r="608" ht="15.75" customHeight="1">
      <c r="D608" s="33"/>
      <c r="H608" s="33"/>
      <c r="I608" s="33"/>
      <c r="J608" s="33"/>
      <c r="K608" s="33"/>
      <c r="L608" s="33"/>
      <c r="M608" s="33"/>
      <c r="N608" s="33"/>
      <c r="O608" s="33"/>
      <c r="P608" s="71"/>
      <c r="Q608" s="33"/>
      <c r="S608" s="33"/>
      <c r="T608" s="35"/>
      <c r="U608" s="33"/>
    </row>
    <row r="609" ht="15.75" customHeight="1">
      <c r="D609" s="33"/>
      <c r="H609" s="33"/>
      <c r="I609" s="33"/>
      <c r="J609" s="33"/>
      <c r="K609" s="33"/>
      <c r="L609" s="33"/>
      <c r="M609" s="33"/>
      <c r="N609" s="33"/>
      <c r="O609" s="33"/>
      <c r="P609" s="71"/>
      <c r="Q609" s="33"/>
      <c r="S609" s="33"/>
      <c r="T609" s="35"/>
      <c r="U609" s="33"/>
    </row>
    <row r="610" ht="15.75" customHeight="1">
      <c r="D610" s="33"/>
      <c r="H610" s="33"/>
      <c r="I610" s="33"/>
      <c r="J610" s="33"/>
      <c r="K610" s="33"/>
      <c r="L610" s="33"/>
      <c r="M610" s="33"/>
      <c r="N610" s="33"/>
      <c r="O610" s="33"/>
      <c r="P610" s="71"/>
      <c r="Q610" s="33"/>
      <c r="S610" s="33"/>
      <c r="T610" s="35"/>
      <c r="U610" s="33"/>
    </row>
    <row r="611" ht="15.75" customHeight="1">
      <c r="D611" s="33"/>
      <c r="H611" s="33"/>
      <c r="I611" s="33"/>
      <c r="J611" s="33"/>
      <c r="K611" s="33"/>
      <c r="L611" s="33"/>
      <c r="M611" s="33"/>
      <c r="N611" s="33"/>
      <c r="O611" s="33"/>
      <c r="P611" s="71"/>
      <c r="Q611" s="33"/>
      <c r="S611" s="33"/>
      <c r="T611" s="35"/>
      <c r="U611" s="33"/>
    </row>
    <row r="612" ht="15.75" customHeight="1">
      <c r="D612" s="33"/>
      <c r="H612" s="33"/>
      <c r="I612" s="33"/>
      <c r="J612" s="33"/>
      <c r="K612" s="33"/>
      <c r="L612" s="33"/>
      <c r="M612" s="33"/>
      <c r="N612" s="33"/>
      <c r="O612" s="33"/>
      <c r="P612" s="71"/>
      <c r="Q612" s="33"/>
      <c r="S612" s="33"/>
      <c r="T612" s="35"/>
      <c r="U612" s="33"/>
    </row>
    <row r="613" ht="15.75" customHeight="1">
      <c r="D613" s="33"/>
      <c r="H613" s="33"/>
      <c r="I613" s="33"/>
      <c r="J613" s="33"/>
      <c r="K613" s="33"/>
      <c r="L613" s="33"/>
      <c r="M613" s="33"/>
      <c r="N613" s="33"/>
      <c r="O613" s="33"/>
      <c r="P613" s="71"/>
      <c r="Q613" s="33"/>
      <c r="S613" s="33"/>
      <c r="T613" s="35"/>
      <c r="U613" s="33"/>
    </row>
    <row r="614" ht="15.75" customHeight="1">
      <c r="D614" s="33"/>
      <c r="H614" s="33"/>
      <c r="I614" s="33"/>
      <c r="J614" s="33"/>
      <c r="K614" s="33"/>
      <c r="L614" s="33"/>
      <c r="M614" s="33"/>
      <c r="N614" s="33"/>
      <c r="O614" s="33"/>
      <c r="P614" s="71"/>
      <c r="Q614" s="33"/>
      <c r="S614" s="33"/>
      <c r="T614" s="35"/>
      <c r="U614" s="33"/>
    </row>
    <row r="615" ht="15.75" customHeight="1">
      <c r="D615" s="33"/>
      <c r="H615" s="33"/>
      <c r="I615" s="33"/>
      <c r="J615" s="33"/>
      <c r="K615" s="33"/>
      <c r="L615" s="33"/>
      <c r="M615" s="33"/>
      <c r="N615" s="33"/>
      <c r="O615" s="33"/>
      <c r="P615" s="71"/>
      <c r="Q615" s="33"/>
      <c r="S615" s="33"/>
      <c r="T615" s="35"/>
      <c r="U615" s="33"/>
    </row>
    <row r="616" ht="15.75" customHeight="1">
      <c r="D616" s="33"/>
      <c r="H616" s="33"/>
      <c r="I616" s="33"/>
      <c r="J616" s="33"/>
      <c r="K616" s="33"/>
      <c r="L616" s="33"/>
      <c r="M616" s="33"/>
      <c r="N616" s="33"/>
      <c r="O616" s="33"/>
      <c r="P616" s="71"/>
      <c r="Q616" s="33"/>
      <c r="S616" s="33"/>
      <c r="T616" s="35"/>
      <c r="U616" s="33"/>
    </row>
    <row r="617" ht="15.75" customHeight="1">
      <c r="D617" s="33"/>
      <c r="H617" s="33"/>
      <c r="I617" s="33"/>
      <c r="J617" s="33"/>
      <c r="K617" s="33"/>
      <c r="L617" s="33"/>
      <c r="M617" s="33"/>
      <c r="N617" s="33"/>
      <c r="O617" s="33"/>
      <c r="P617" s="71"/>
      <c r="Q617" s="33"/>
      <c r="S617" s="33"/>
      <c r="T617" s="35"/>
      <c r="U617" s="33"/>
    </row>
    <row r="618" ht="15.75" customHeight="1">
      <c r="D618" s="33"/>
      <c r="H618" s="33"/>
      <c r="I618" s="33"/>
      <c r="J618" s="33"/>
      <c r="K618" s="33"/>
      <c r="L618" s="33"/>
      <c r="M618" s="33"/>
      <c r="N618" s="33"/>
      <c r="O618" s="33"/>
      <c r="P618" s="71"/>
      <c r="Q618" s="33"/>
      <c r="S618" s="33"/>
      <c r="T618" s="35"/>
      <c r="U618" s="33"/>
    </row>
    <row r="619" ht="15.75" customHeight="1">
      <c r="D619" s="33"/>
      <c r="H619" s="33"/>
      <c r="I619" s="33"/>
      <c r="J619" s="33"/>
      <c r="K619" s="33"/>
      <c r="L619" s="33"/>
      <c r="M619" s="33"/>
      <c r="N619" s="33"/>
      <c r="O619" s="33"/>
      <c r="P619" s="71"/>
      <c r="Q619" s="33"/>
      <c r="S619" s="33"/>
      <c r="T619" s="35"/>
      <c r="U619" s="33"/>
    </row>
    <row r="620" ht="15.75" customHeight="1">
      <c r="D620" s="33"/>
      <c r="H620" s="33"/>
      <c r="I620" s="33"/>
      <c r="J620" s="33"/>
      <c r="K620" s="33"/>
      <c r="L620" s="33"/>
      <c r="M620" s="33"/>
      <c r="N620" s="33"/>
      <c r="O620" s="33"/>
      <c r="P620" s="71"/>
      <c r="Q620" s="33"/>
      <c r="S620" s="33"/>
      <c r="T620" s="35"/>
      <c r="U620" s="33"/>
    </row>
    <row r="621" ht="15.75" customHeight="1">
      <c r="D621" s="33"/>
      <c r="H621" s="33"/>
      <c r="I621" s="33"/>
      <c r="J621" s="33"/>
      <c r="K621" s="33"/>
      <c r="L621" s="33"/>
      <c r="M621" s="33"/>
      <c r="N621" s="33"/>
      <c r="O621" s="33"/>
      <c r="P621" s="71"/>
      <c r="Q621" s="33"/>
      <c r="S621" s="33"/>
      <c r="T621" s="35"/>
      <c r="U621" s="33"/>
    </row>
    <row r="622" ht="15.75" customHeight="1">
      <c r="D622" s="33"/>
      <c r="H622" s="33"/>
      <c r="I622" s="33"/>
      <c r="J622" s="33"/>
      <c r="K622" s="33"/>
      <c r="L622" s="33"/>
      <c r="M622" s="33"/>
      <c r="N622" s="33"/>
      <c r="O622" s="33"/>
      <c r="P622" s="71"/>
      <c r="Q622" s="33"/>
      <c r="S622" s="33"/>
      <c r="T622" s="35"/>
      <c r="U622" s="33"/>
    </row>
    <row r="623" ht="15.75" customHeight="1">
      <c r="D623" s="33"/>
      <c r="H623" s="33"/>
      <c r="I623" s="33"/>
      <c r="J623" s="33"/>
      <c r="K623" s="33"/>
      <c r="L623" s="33"/>
      <c r="M623" s="33"/>
      <c r="N623" s="33"/>
      <c r="O623" s="33"/>
      <c r="P623" s="71"/>
      <c r="Q623" s="33"/>
      <c r="S623" s="33"/>
      <c r="T623" s="35"/>
      <c r="U623" s="33"/>
    </row>
    <row r="624" ht="15.75" customHeight="1">
      <c r="D624" s="33"/>
      <c r="H624" s="33"/>
      <c r="I624" s="33"/>
      <c r="J624" s="33"/>
      <c r="K624" s="33"/>
      <c r="L624" s="33"/>
      <c r="M624" s="33"/>
      <c r="N624" s="33"/>
      <c r="O624" s="33"/>
      <c r="P624" s="71"/>
      <c r="Q624" s="33"/>
      <c r="S624" s="33"/>
      <c r="T624" s="35"/>
      <c r="U624" s="33"/>
    </row>
    <row r="625" ht="15.75" customHeight="1">
      <c r="D625" s="33"/>
      <c r="H625" s="33"/>
      <c r="I625" s="33"/>
      <c r="J625" s="33"/>
      <c r="K625" s="33"/>
      <c r="L625" s="33"/>
      <c r="M625" s="33"/>
      <c r="N625" s="33"/>
      <c r="O625" s="33"/>
      <c r="P625" s="71"/>
      <c r="Q625" s="33"/>
      <c r="S625" s="33"/>
      <c r="T625" s="35"/>
      <c r="U625" s="33"/>
    </row>
    <row r="626" ht="15.75" customHeight="1">
      <c r="D626" s="33"/>
      <c r="H626" s="33"/>
      <c r="I626" s="33"/>
      <c r="J626" s="33"/>
      <c r="K626" s="33"/>
      <c r="L626" s="33"/>
      <c r="M626" s="33"/>
      <c r="N626" s="33"/>
      <c r="O626" s="33"/>
      <c r="P626" s="71"/>
      <c r="Q626" s="33"/>
      <c r="S626" s="33"/>
      <c r="T626" s="35"/>
      <c r="U626" s="33"/>
    </row>
    <row r="627" ht="15.75" customHeight="1">
      <c r="D627" s="33"/>
      <c r="H627" s="33"/>
      <c r="I627" s="33"/>
      <c r="J627" s="33"/>
      <c r="K627" s="33"/>
      <c r="L627" s="33"/>
      <c r="M627" s="33"/>
      <c r="N627" s="33"/>
      <c r="O627" s="33"/>
      <c r="P627" s="71"/>
      <c r="Q627" s="33"/>
      <c r="S627" s="33"/>
      <c r="T627" s="35"/>
      <c r="U627" s="33"/>
    </row>
    <row r="628" ht="15.75" customHeight="1">
      <c r="D628" s="33"/>
      <c r="H628" s="33"/>
      <c r="I628" s="33"/>
      <c r="J628" s="33"/>
      <c r="K628" s="33"/>
      <c r="L628" s="33"/>
      <c r="M628" s="33"/>
      <c r="N628" s="33"/>
      <c r="O628" s="33"/>
      <c r="P628" s="71"/>
      <c r="Q628" s="33"/>
      <c r="S628" s="33"/>
      <c r="T628" s="35"/>
      <c r="U628" s="33"/>
    </row>
    <row r="629" ht="15.75" customHeight="1">
      <c r="D629" s="33"/>
      <c r="H629" s="33"/>
      <c r="I629" s="33"/>
      <c r="J629" s="33"/>
      <c r="K629" s="33"/>
      <c r="L629" s="33"/>
      <c r="M629" s="33"/>
      <c r="N629" s="33"/>
      <c r="O629" s="33"/>
      <c r="P629" s="71"/>
      <c r="Q629" s="33"/>
      <c r="S629" s="33"/>
      <c r="T629" s="35"/>
      <c r="U629" s="33"/>
    </row>
    <row r="630" ht="15.75" customHeight="1">
      <c r="D630" s="33"/>
      <c r="H630" s="33"/>
      <c r="I630" s="33"/>
      <c r="J630" s="33"/>
      <c r="K630" s="33"/>
      <c r="L630" s="33"/>
      <c r="M630" s="33"/>
      <c r="N630" s="33"/>
      <c r="O630" s="33"/>
      <c r="P630" s="71"/>
      <c r="Q630" s="33"/>
      <c r="S630" s="33"/>
      <c r="T630" s="35"/>
      <c r="U630" s="33"/>
    </row>
    <row r="631" ht="15.75" customHeight="1">
      <c r="D631" s="33"/>
      <c r="H631" s="33"/>
      <c r="I631" s="33"/>
      <c r="J631" s="33"/>
      <c r="K631" s="33"/>
      <c r="L631" s="33"/>
      <c r="M631" s="33"/>
      <c r="N631" s="33"/>
      <c r="O631" s="33"/>
      <c r="P631" s="71"/>
      <c r="Q631" s="33"/>
      <c r="S631" s="33"/>
      <c r="T631" s="35"/>
      <c r="U631" s="33"/>
    </row>
    <row r="632" ht="15.75" customHeight="1">
      <c r="D632" s="33"/>
      <c r="H632" s="33"/>
      <c r="I632" s="33"/>
      <c r="J632" s="33"/>
      <c r="K632" s="33"/>
      <c r="L632" s="33"/>
      <c r="M632" s="33"/>
      <c r="N632" s="33"/>
      <c r="O632" s="33"/>
      <c r="P632" s="71"/>
      <c r="Q632" s="33"/>
      <c r="S632" s="33"/>
      <c r="T632" s="35"/>
      <c r="U632" s="33"/>
    </row>
    <row r="633" ht="15.75" customHeight="1">
      <c r="D633" s="33"/>
      <c r="H633" s="33"/>
      <c r="I633" s="33"/>
      <c r="J633" s="33"/>
      <c r="K633" s="33"/>
      <c r="L633" s="33"/>
      <c r="M633" s="33"/>
      <c r="N633" s="33"/>
      <c r="O633" s="33"/>
      <c r="P633" s="71"/>
      <c r="Q633" s="33"/>
      <c r="S633" s="33"/>
      <c r="T633" s="35"/>
      <c r="U633" s="33"/>
    </row>
    <row r="634" ht="15.75" customHeight="1">
      <c r="D634" s="33"/>
      <c r="H634" s="33"/>
      <c r="I634" s="33"/>
      <c r="J634" s="33"/>
      <c r="K634" s="33"/>
      <c r="L634" s="33"/>
      <c r="M634" s="33"/>
      <c r="N634" s="33"/>
      <c r="O634" s="33"/>
      <c r="P634" s="71"/>
      <c r="Q634" s="33"/>
      <c r="S634" s="33"/>
      <c r="T634" s="35"/>
      <c r="U634" s="33"/>
    </row>
    <row r="635" ht="15.75" customHeight="1">
      <c r="D635" s="33"/>
      <c r="H635" s="33"/>
      <c r="I635" s="33"/>
      <c r="J635" s="33"/>
      <c r="K635" s="33"/>
      <c r="L635" s="33"/>
      <c r="M635" s="33"/>
      <c r="N635" s="33"/>
      <c r="O635" s="33"/>
      <c r="P635" s="71"/>
      <c r="Q635" s="33"/>
      <c r="S635" s="33"/>
      <c r="T635" s="35"/>
      <c r="U635" s="33"/>
    </row>
    <row r="636" ht="15.75" customHeight="1">
      <c r="D636" s="33"/>
      <c r="H636" s="33"/>
      <c r="I636" s="33"/>
      <c r="J636" s="33"/>
      <c r="K636" s="33"/>
      <c r="L636" s="33"/>
      <c r="M636" s="33"/>
      <c r="N636" s="33"/>
      <c r="O636" s="33"/>
      <c r="P636" s="71"/>
      <c r="Q636" s="33"/>
      <c r="S636" s="33"/>
      <c r="T636" s="35"/>
      <c r="U636" s="33"/>
    </row>
    <row r="637" ht="15.75" customHeight="1">
      <c r="D637" s="33"/>
      <c r="H637" s="33"/>
      <c r="I637" s="33"/>
      <c r="J637" s="33"/>
      <c r="K637" s="33"/>
      <c r="L637" s="33"/>
      <c r="M637" s="33"/>
      <c r="N637" s="33"/>
      <c r="O637" s="33"/>
      <c r="P637" s="71"/>
      <c r="Q637" s="33"/>
      <c r="S637" s="33"/>
      <c r="T637" s="35"/>
      <c r="U637" s="33"/>
    </row>
    <row r="638" ht="15.75" customHeight="1">
      <c r="D638" s="33"/>
      <c r="H638" s="33"/>
      <c r="I638" s="33"/>
      <c r="J638" s="33"/>
      <c r="K638" s="33"/>
      <c r="L638" s="33"/>
      <c r="M638" s="33"/>
      <c r="N638" s="33"/>
      <c r="O638" s="33"/>
      <c r="P638" s="71"/>
      <c r="Q638" s="33"/>
      <c r="S638" s="33"/>
      <c r="T638" s="35"/>
      <c r="U638" s="33"/>
    </row>
    <row r="639" ht="15.75" customHeight="1">
      <c r="D639" s="33"/>
      <c r="H639" s="33"/>
      <c r="I639" s="33"/>
      <c r="J639" s="33"/>
      <c r="K639" s="33"/>
      <c r="L639" s="33"/>
      <c r="M639" s="33"/>
      <c r="N639" s="33"/>
      <c r="O639" s="33"/>
      <c r="P639" s="71"/>
      <c r="Q639" s="33"/>
      <c r="S639" s="33"/>
      <c r="T639" s="35"/>
      <c r="U639" s="33"/>
    </row>
    <row r="640" ht="15.75" customHeight="1">
      <c r="D640" s="33"/>
      <c r="H640" s="33"/>
      <c r="I640" s="33"/>
      <c r="J640" s="33"/>
      <c r="K640" s="33"/>
      <c r="L640" s="33"/>
      <c r="M640" s="33"/>
      <c r="N640" s="33"/>
      <c r="O640" s="33"/>
      <c r="P640" s="71"/>
      <c r="Q640" s="33"/>
      <c r="S640" s="33"/>
      <c r="T640" s="35"/>
      <c r="U640" s="33"/>
    </row>
    <row r="641" ht="15.75" customHeight="1">
      <c r="D641" s="33"/>
      <c r="H641" s="33"/>
      <c r="I641" s="33"/>
      <c r="J641" s="33"/>
      <c r="K641" s="33"/>
      <c r="L641" s="33"/>
      <c r="M641" s="33"/>
      <c r="N641" s="33"/>
      <c r="O641" s="33"/>
      <c r="P641" s="71"/>
      <c r="Q641" s="33"/>
      <c r="S641" s="33"/>
      <c r="T641" s="35"/>
      <c r="U641" s="33"/>
    </row>
    <row r="642" ht="15.75" customHeight="1">
      <c r="D642" s="33"/>
      <c r="H642" s="33"/>
      <c r="I642" s="33"/>
      <c r="J642" s="33"/>
      <c r="K642" s="33"/>
      <c r="L642" s="33"/>
      <c r="M642" s="33"/>
      <c r="N642" s="33"/>
      <c r="O642" s="33"/>
      <c r="P642" s="71"/>
      <c r="Q642" s="33"/>
      <c r="S642" s="33"/>
      <c r="T642" s="35"/>
      <c r="U642" s="33"/>
    </row>
    <row r="643" ht="15.75" customHeight="1">
      <c r="D643" s="33"/>
      <c r="H643" s="33"/>
      <c r="I643" s="33"/>
      <c r="J643" s="33"/>
      <c r="K643" s="33"/>
      <c r="L643" s="33"/>
      <c r="M643" s="33"/>
      <c r="N643" s="33"/>
      <c r="O643" s="33"/>
      <c r="P643" s="71"/>
      <c r="Q643" s="33"/>
      <c r="S643" s="33"/>
      <c r="T643" s="35"/>
      <c r="U643" s="33"/>
    </row>
    <row r="644" ht="15.75" customHeight="1">
      <c r="D644" s="33"/>
      <c r="H644" s="33"/>
      <c r="I644" s="33"/>
      <c r="J644" s="33"/>
      <c r="K644" s="33"/>
      <c r="L644" s="33"/>
      <c r="M644" s="33"/>
      <c r="N644" s="33"/>
      <c r="O644" s="33"/>
      <c r="P644" s="71"/>
      <c r="Q644" s="33"/>
      <c r="S644" s="33"/>
      <c r="T644" s="35"/>
      <c r="U644" s="33"/>
    </row>
    <row r="645" ht="15.75" customHeight="1">
      <c r="D645" s="33"/>
      <c r="H645" s="33"/>
      <c r="I645" s="33"/>
      <c r="J645" s="33"/>
      <c r="K645" s="33"/>
      <c r="L645" s="33"/>
      <c r="M645" s="33"/>
      <c r="N645" s="33"/>
      <c r="O645" s="33"/>
      <c r="P645" s="71"/>
      <c r="Q645" s="33"/>
      <c r="S645" s="33"/>
      <c r="T645" s="35"/>
      <c r="U645" s="33"/>
    </row>
    <row r="646" ht="15.75" customHeight="1">
      <c r="D646" s="33"/>
      <c r="H646" s="33"/>
      <c r="I646" s="33"/>
      <c r="J646" s="33"/>
      <c r="K646" s="33"/>
      <c r="L646" s="33"/>
      <c r="M646" s="33"/>
      <c r="N646" s="33"/>
      <c r="O646" s="33"/>
      <c r="P646" s="71"/>
      <c r="Q646" s="33"/>
      <c r="S646" s="33"/>
      <c r="T646" s="35"/>
      <c r="U646" s="33"/>
    </row>
    <row r="647" ht="15.75" customHeight="1">
      <c r="D647" s="33"/>
      <c r="H647" s="33"/>
      <c r="I647" s="33"/>
      <c r="J647" s="33"/>
      <c r="K647" s="33"/>
      <c r="L647" s="33"/>
      <c r="M647" s="33"/>
      <c r="N647" s="33"/>
      <c r="O647" s="33"/>
      <c r="P647" s="71"/>
      <c r="Q647" s="33"/>
      <c r="S647" s="33"/>
      <c r="T647" s="35"/>
      <c r="U647" s="33"/>
    </row>
    <row r="648" ht="15.75" customHeight="1">
      <c r="D648" s="33"/>
      <c r="H648" s="33"/>
      <c r="I648" s="33"/>
      <c r="J648" s="33"/>
      <c r="K648" s="33"/>
      <c r="L648" s="33"/>
      <c r="M648" s="33"/>
      <c r="N648" s="33"/>
      <c r="O648" s="33"/>
      <c r="P648" s="71"/>
      <c r="Q648" s="33"/>
      <c r="S648" s="33"/>
      <c r="T648" s="35"/>
      <c r="U648" s="33"/>
    </row>
    <row r="649" ht="15.75" customHeight="1">
      <c r="D649" s="33"/>
      <c r="H649" s="33"/>
      <c r="I649" s="33"/>
      <c r="J649" s="33"/>
      <c r="K649" s="33"/>
      <c r="L649" s="33"/>
      <c r="M649" s="33"/>
      <c r="N649" s="33"/>
      <c r="O649" s="33"/>
      <c r="P649" s="71"/>
      <c r="Q649" s="33"/>
      <c r="S649" s="33"/>
      <c r="T649" s="35"/>
      <c r="U649" s="33"/>
    </row>
    <row r="650" ht="15.75" customHeight="1">
      <c r="D650" s="33"/>
      <c r="H650" s="33"/>
      <c r="I650" s="33"/>
      <c r="J650" s="33"/>
      <c r="K650" s="33"/>
      <c r="L650" s="33"/>
      <c r="M650" s="33"/>
      <c r="N650" s="33"/>
      <c r="O650" s="33"/>
      <c r="P650" s="71"/>
      <c r="Q650" s="33"/>
      <c r="S650" s="33"/>
      <c r="T650" s="35"/>
      <c r="U650" s="33"/>
    </row>
    <row r="651" ht="15.75" customHeight="1">
      <c r="D651" s="33"/>
      <c r="H651" s="33"/>
      <c r="I651" s="33"/>
      <c r="J651" s="33"/>
      <c r="K651" s="33"/>
      <c r="L651" s="33"/>
      <c r="M651" s="33"/>
      <c r="N651" s="33"/>
      <c r="O651" s="33"/>
      <c r="P651" s="71"/>
      <c r="Q651" s="33"/>
      <c r="S651" s="33"/>
      <c r="T651" s="35"/>
      <c r="U651" s="33"/>
    </row>
    <row r="652" ht="15.75" customHeight="1">
      <c r="D652" s="33"/>
      <c r="H652" s="33"/>
      <c r="I652" s="33"/>
      <c r="J652" s="33"/>
      <c r="K652" s="33"/>
      <c r="L652" s="33"/>
      <c r="M652" s="33"/>
      <c r="N652" s="33"/>
      <c r="O652" s="33"/>
      <c r="P652" s="71"/>
      <c r="Q652" s="33"/>
      <c r="S652" s="33"/>
      <c r="T652" s="35"/>
      <c r="U652" s="33"/>
    </row>
    <row r="653" ht="15.75" customHeight="1">
      <c r="D653" s="33"/>
      <c r="H653" s="33"/>
      <c r="I653" s="33"/>
      <c r="J653" s="33"/>
      <c r="K653" s="33"/>
      <c r="L653" s="33"/>
      <c r="M653" s="33"/>
      <c r="N653" s="33"/>
      <c r="O653" s="33"/>
      <c r="P653" s="71"/>
      <c r="Q653" s="33"/>
      <c r="S653" s="33"/>
      <c r="T653" s="35"/>
      <c r="U653" s="33"/>
    </row>
    <row r="654" ht="15.75" customHeight="1">
      <c r="D654" s="33"/>
      <c r="H654" s="33"/>
      <c r="I654" s="33"/>
      <c r="J654" s="33"/>
      <c r="K654" s="33"/>
      <c r="L654" s="33"/>
      <c r="M654" s="33"/>
      <c r="N654" s="33"/>
      <c r="O654" s="33"/>
      <c r="P654" s="71"/>
      <c r="Q654" s="33"/>
      <c r="S654" s="33"/>
      <c r="T654" s="35"/>
      <c r="U654" s="33"/>
    </row>
    <row r="655" ht="15.75" customHeight="1">
      <c r="D655" s="33"/>
      <c r="H655" s="33"/>
      <c r="I655" s="33"/>
      <c r="J655" s="33"/>
      <c r="K655" s="33"/>
      <c r="L655" s="33"/>
      <c r="M655" s="33"/>
      <c r="N655" s="33"/>
      <c r="O655" s="33"/>
      <c r="P655" s="71"/>
      <c r="Q655" s="33"/>
      <c r="S655" s="33"/>
      <c r="T655" s="35"/>
      <c r="U655" s="33"/>
    </row>
    <row r="656" ht="15.75" customHeight="1">
      <c r="D656" s="33"/>
      <c r="H656" s="33"/>
      <c r="I656" s="33"/>
      <c r="J656" s="33"/>
      <c r="K656" s="33"/>
      <c r="L656" s="33"/>
      <c r="M656" s="33"/>
      <c r="N656" s="33"/>
      <c r="O656" s="33"/>
      <c r="P656" s="71"/>
      <c r="Q656" s="33"/>
      <c r="S656" s="33"/>
      <c r="T656" s="35"/>
      <c r="U656" s="33"/>
    </row>
    <row r="657" ht="15.75" customHeight="1">
      <c r="D657" s="33"/>
      <c r="H657" s="33"/>
      <c r="I657" s="33"/>
      <c r="J657" s="33"/>
      <c r="K657" s="33"/>
      <c r="L657" s="33"/>
      <c r="M657" s="33"/>
      <c r="N657" s="33"/>
      <c r="O657" s="33"/>
      <c r="P657" s="71"/>
      <c r="Q657" s="33"/>
      <c r="S657" s="33"/>
      <c r="T657" s="35"/>
      <c r="U657" s="33"/>
    </row>
    <row r="658" ht="15.75" customHeight="1">
      <c r="D658" s="33"/>
      <c r="H658" s="33"/>
      <c r="I658" s="33"/>
      <c r="J658" s="33"/>
      <c r="K658" s="33"/>
      <c r="L658" s="33"/>
      <c r="M658" s="33"/>
      <c r="N658" s="33"/>
      <c r="O658" s="33"/>
      <c r="P658" s="71"/>
      <c r="Q658" s="33"/>
      <c r="S658" s="33"/>
      <c r="T658" s="35"/>
      <c r="U658" s="33"/>
    </row>
    <row r="659" ht="15.75" customHeight="1">
      <c r="D659" s="33"/>
      <c r="H659" s="33"/>
      <c r="I659" s="33"/>
      <c r="J659" s="33"/>
      <c r="K659" s="33"/>
      <c r="L659" s="33"/>
      <c r="M659" s="33"/>
      <c r="N659" s="33"/>
      <c r="O659" s="33"/>
      <c r="P659" s="71"/>
      <c r="Q659" s="33"/>
      <c r="S659" s="33"/>
      <c r="T659" s="35"/>
      <c r="U659" s="33"/>
    </row>
    <row r="660" ht="15.75" customHeight="1">
      <c r="D660" s="33"/>
      <c r="H660" s="33"/>
      <c r="I660" s="33"/>
      <c r="J660" s="33"/>
      <c r="K660" s="33"/>
      <c r="L660" s="33"/>
      <c r="M660" s="33"/>
      <c r="N660" s="33"/>
      <c r="O660" s="33"/>
      <c r="P660" s="71"/>
      <c r="Q660" s="33"/>
      <c r="S660" s="33"/>
      <c r="T660" s="35"/>
      <c r="U660" s="33"/>
    </row>
    <row r="661" ht="15.75" customHeight="1">
      <c r="D661" s="33"/>
      <c r="H661" s="33"/>
      <c r="I661" s="33"/>
      <c r="J661" s="33"/>
      <c r="K661" s="33"/>
      <c r="L661" s="33"/>
      <c r="M661" s="33"/>
      <c r="N661" s="33"/>
      <c r="O661" s="33"/>
      <c r="P661" s="71"/>
      <c r="Q661" s="33"/>
      <c r="S661" s="33"/>
      <c r="T661" s="35"/>
      <c r="U661" s="33"/>
    </row>
    <row r="662" ht="15.75" customHeight="1">
      <c r="D662" s="33"/>
      <c r="H662" s="33"/>
      <c r="I662" s="33"/>
      <c r="J662" s="33"/>
      <c r="K662" s="33"/>
      <c r="L662" s="33"/>
      <c r="M662" s="33"/>
      <c r="N662" s="33"/>
      <c r="O662" s="33"/>
      <c r="P662" s="71"/>
      <c r="Q662" s="33"/>
      <c r="S662" s="33"/>
      <c r="T662" s="35"/>
      <c r="U662" s="33"/>
    </row>
    <row r="663" ht="15.75" customHeight="1">
      <c r="D663" s="33"/>
      <c r="H663" s="33"/>
      <c r="I663" s="33"/>
      <c r="J663" s="33"/>
      <c r="K663" s="33"/>
      <c r="L663" s="33"/>
      <c r="M663" s="33"/>
      <c r="N663" s="33"/>
      <c r="O663" s="33"/>
      <c r="P663" s="71"/>
      <c r="Q663" s="33"/>
      <c r="S663" s="33"/>
      <c r="T663" s="35"/>
      <c r="U663" s="33"/>
    </row>
    <row r="664" ht="15.75" customHeight="1">
      <c r="D664" s="33"/>
      <c r="H664" s="33"/>
      <c r="I664" s="33"/>
      <c r="J664" s="33"/>
      <c r="K664" s="33"/>
      <c r="L664" s="33"/>
      <c r="M664" s="33"/>
      <c r="N664" s="33"/>
      <c r="O664" s="33"/>
      <c r="P664" s="71"/>
      <c r="Q664" s="33"/>
      <c r="S664" s="33"/>
      <c r="T664" s="35"/>
      <c r="U664" s="33"/>
    </row>
    <row r="665" ht="15.75" customHeight="1">
      <c r="D665" s="33"/>
      <c r="H665" s="33"/>
      <c r="I665" s="33"/>
      <c r="J665" s="33"/>
      <c r="K665" s="33"/>
      <c r="L665" s="33"/>
      <c r="M665" s="33"/>
      <c r="N665" s="33"/>
      <c r="O665" s="33"/>
      <c r="P665" s="71"/>
      <c r="Q665" s="33"/>
      <c r="S665" s="33"/>
      <c r="T665" s="35"/>
      <c r="U665" s="33"/>
    </row>
    <row r="666" ht="15.75" customHeight="1">
      <c r="D666" s="33"/>
      <c r="H666" s="33"/>
      <c r="I666" s="33"/>
      <c r="J666" s="33"/>
      <c r="K666" s="33"/>
      <c r="L666" s="33"/>
      <c r="M666" s="33"/>
      <c r="N666" s="33"/>
      <c r="O666" s="33"/>
      <c r="P666" s="71"/>
      <c r="Q666" s="33"/>
      <c r="S666" s="33"/>
      <c r="T666" s="35"/>
      <c r="U666" s="33"/>
    </row>
    <row r="667" ht="15.75" customHeight="1">
      <c r="D667" s="33"/>
      <c r="H667" s="33"/>
      <c r="I667" s="33"/>
      <c r="J667" s="33"/>
      <c r="K667" s="33"/>
      <c r="L667" s="33"/>
      <c r="M667" s="33"/>
      <c r="N667" s="33"/>
      <c r="O667" s="33"/>
      <c r="P667" s="71"/>
      <c r="Q667" s="33"/>
      <c r="S667" s="33"/>
      <c r="T667" s="35"/>
      <c r="U667" s="33"/>
    </row>
    <row r="668" ht="15.75" customHeight="1">
      <c r="D668" s="33"/>
      <c r="H668" s="33"/>
      <c r="I668" s="33"/>
      <c r="J668" s="33"/>
      <c r="K668" s="33"/>
      <c r="L668" s="33"/>
      <c r="M668" s="33"/>
      <c r="N668" s="33"/>
      <c r="O668" s="33"/>
      <c r="P668" s="71"/>
      <c r="Q668" s="33"/>
      <c r="S668" s="33"/>
      <c r="T668" s="35"/>
      <c r="U668" s="33"/>
    </row>
    <row r="669" ht="15.75" customHeight="1">
      <c r="D669" s="33"/>
      <c r="H669" s="33"/>
      <c r="I669" s="33"/>
      <c r="J669" s="33"/>
      <c r="K669" s="33"/>
      <c r="L669" s="33"/>
      <c r="M669" s="33"/>
      <c r="N669" s="33"/>
      <c r="O669" s="33"/>
      <c r="P669" s="71"/>
      <c r="Q669" s="33"/>
      <c r="S669" s="33"/>
      <c r="T669" s="35"/>
      <c r="U669" s="33"/>
    </row>
    <row r="670" ht="15.75" customHeight="1">
      <c r="D670" s="33"/>
      <c r="H670" s="33"/>
      <c r="I670" s="33"/>
      <c r="J670" s="33"/>
      <c r="K670" s="33"/>
      <c r="L670" s="33"/>
      <c r="M670" s="33"/>
      <c r="N670" s="33"/>
      <c r="O670" s="33"/>
      <c r="P670" s="71"/>
      <c r="Q670" s="33"/>
      <c r="S670" s="33"/>
      <c r="T670" s="35"/>
      <c r="U670" s="33"/>
    </row>
    <row r="671" ht="15.75" customHeight="1">
      <c r="D671" s="33"/>
      <c r="H671" s="33"/>
      <c r="I671" s="33"/>
      <c r="J671" s="33"/>
      <c r="K671" s="33"/>
      <c r="L671" s="33"/>
      <c r="M671" s="33"/>
      <c r="N671" s="33"/>
      <c r="O671" s="33"/>
      <c r="P671" s="71"/>
      <c r="Q671" s="33"/>
      <c r="S671" s="33"/>
      <c r="T671" s="35"/>
      <c r="U671" s="33"/>
    </row>
    <row r="672" ht="15.75" customHeight="1">
      <c r="D672" s="33"/>
      <c r="H672" s="33"/>
      <c r="I672" s="33"/>
      <c r="J672" s="33"/>
      <c r="K672" s="33"/>
      <c r="L672" s="33"/>
      <c r="M672" s="33"/>
      <c r="N672" s="33"/>
      <c r="O672" s="33"/>
      <c r="P672" s="71"/>
      <c r="Q672" s="33"/>
      <c r="S672" s="33"/>
      <c r="T672" s="35"/>
      <c r="U672" s="33"/>
    </row>
    <row r="673" ht="15.75" customHeight="1">
      <c r="D673" s="33"/>
      <c r="H673" s="33"/>
      <c r="I673" s="33"/>
      <c r="J673" s="33"/>
      <c r="K673" s="33"/>
      <c r="L673" s="33"/>
      <c r="M673" s="33"/>
      <c r="N673" s="33"/>
      <c r="O673" s="33"/>
      <c r="P673" s="71"/>
      <c r="Q673" s="33"/>
      <c r="S673" s="33"/>
      <c r="T673" s="35"/>
      <c r="U673" s="33"/>
    </row>
    <row r="674" ht="15.75" customHeight="1">
      <c r="D674" s="33"/>
      <c r="H674" s="33"/>
      <c r="I674" s="33"/>
      <c r="J674" s="33"/>
      <c r="K674" s="33"/>
      <c r="L674" s="33"/>
      <c r="M674" s="33"/>
      <c r="N674" s="33"/>
      <c r="O674" s="33"/>
      <c r="P674" s="71"/>
      <c r="Q674" s="33"/>
      <c r="S674" s="33"/>
      <c r="T674" s="35"/>
      <c r="U674" s="33"/>
    </row>
    <row r="675" ht="15.75" customHeight="1">
      <c r="D675" s="33"/>
      <c r="H675" s="33"/>
      <c r="I675" s="33"/>
      <c r="J675" s="33"/>
      <c r="K675" s="33"/>
      <c r="L675" s="33"/>
      <c r="M675" s="33"/>
      <c r="N675" s="33"/>
      <c r="O675" s="33"/>
      <c r="P675" s="71"/>
      <c r="Q675" s="33"/>
      <c r="S675" s="33"/>
      <c r="T675" s="35"/>
      <c r="U675" s="33"/>
    </row>
    <row r="676" ht="15.75" customHeight="1">
      <c r="D676" s="33"/>
      <c r="H676" s="33"/>
      <c r="I676" s="33"/>
      <c r="J676" s="33"/>
      <c r="K676" s="33"/>
      <c r="L676" s="33"/>
      <c r="M676" s="33"/>
      <c r="N676" s="33"/>
      <c r="O676" s="33"/>
      <c r="P676" s="71"/>
      <c r="Q676" s="33"/>
      <c r="S676" s="33"/>
      <c r="T676" s="35"/>
      <c r="U676" s="33"/>
    </row>
    <row r="677" ht="15.75" customHeight="1">
      <c r="D677" s="33"/>
      <c r="H677" s="33"/>
      <c r="I677" s="33"/>
      <c r="J677" s="33"/>
      <c r="K677" s="33"/>
      <c r="L677" s="33"/>
      <c r="M677" s="33"/>
      <c r="N677" s="33"/>
      <c r="O677" s="33"/>
      <c r="P677" s="71"/>
      <c r="Q677" s="33"/>
      <c r="S677" s="33"/>
      <c r="T677" s="35"/>
      <c r="U677" s="33"/>
    </row>
    <row r="678" ht="15.75" customHeight="1">
      <c r="D678" s="33"/>
      <c r="H678" s="33"/>
      <c r="I678" s="33"/>
      <c r="J678" s="33"/>
      <c r="K678" s="33"/>
      <c r="L678" s="33"/>
      <c r="M678" s="33"/>
      <c r="N678" s="33"/>
      <c r="O678" s="33"/>
      <c r="P678" s="71"/>
      <c r="Q678" s="33"/>
      <c r="S678" s="33"/>
      <c r="T678" s="35"/>
      <c r="U678" s="33"/>
    </row>
    <row r="679" ht="15.75" customHeight="1">
      <c r="D679" s="33"/>
      <c r="H679" s="33"/>
      <c r="I679" s="33"/>
      <c r="J679" s="33"/>
      <c r="K679" s="33"/>
      <c r="L679" s="33"/>
      <c r="M679" s="33"/>
      <c r="N679" s="33"/>
      <c r="O679" s="33"/>
      <c r="P679" s="71"/>
      <c r="Q679" s="33"/>
      <c r="S679" s="33"/>
      <c r="T679" s="35"/>
      <c r="U679" s="33"/>
    </row>
    <row r="680" ht="15.75" customHeight="1">
      <c r="D680" s="33"/>
      <c r="H680" s="33"/>
      <c r="I680" s="33"/>
      <c r="J680" s="33"/>
      <c r="K680" s="33"/>
      <c r="L680" s="33"/>
      <c r="M680" s="33"/>
      <c r="N680" s="33"/>
      <c r="O680" s="33"/>
      <c r="P680" s="71"/>
      <c r="Q680" s="33"/>
      <c r="S680" s="33"/>
      <c r="T680" s="35"/>
      <c r="U680" s="33"/>
    </row>
    <row r="681" ht="15.75" customHeight="1">
      <c r="D681" s="33"/>
      <c r="H681" s="33"/>
      <c r="I681" s="33"/>
      <c r="J681" s="33"/>
      <c r="K681" s="33"/>
      <c r="L681" s="33"/>
      <c r="M681" s="33"/>
      <c r="N681" s="33"/>
      <c r="O681" s="33"/>
      <c r="P681" s="71"/>
      <c r="Q681" s="33"/>
      <c r="S681" s="33"/>
      <c r="T681" s="35"/>
      <c r="U681" s="33"/>
    </row>
    <row r="682" ht="15.75" customHeight="1">
      <c r="D682" s="33"/>
      <c r="H682" s="33"/>
      <c r="I682" s="33"/>
      <c r="J682" s="33"/>
      <c r="K682" s="33"/>
      <c r="L682" s="33"/>
      <c r="M682" s="33"/>
      <c r="N682" s="33"/>
      <c r="O682" s="33"/>
      <c r="P682" s="71"/>
      <c r="Q682" s="33"/>
      <c r="S682" s="33"/>
      <c r="T682" s="35"/>
      <c r="U682" s="33"/>
    </row>
    <row r="683" ht="15.75" customHeight="1">
      <c r="D683" s="33"/>
      <c r="H683" s="33"/>
      <c r="I683" s="33"/>
      <c r="J683" s="33"/>
      <c r="K683" s="33"/>
      <c r="L683" s="33"/>
      <c r="M683" s="33"/>
      <c r="N683" s="33"/>
      <c r="O683" s="33"/>
      <c r="P683" s="71"/>
      <c r="Q683" s="33"/>
      <c r="S683" s="33"/>
      <c r="T683" s="35"/>
      <c r="U683" s="33"/>
    </row>
    <row r="684" ht="15.75" customHeight="1">
      <c r="D684" s="33"/>
      <c r="H684" s="33"/>
      <c r="I684" s="33"/>
      <c r="J684" s="33"/>
      <c r="K684" s="33"/>
      <c r="L684" s="33"/>
      <c r="M684" s="33"/>
      <c r="N684" s="33"/>
      <c r="O684" s="33"/>
      <c r="P684" s="71"/>
      <c r="Q684" s="33"/>
      <c r="S684" s="33"/>
      <c r="T684" s="35"/>
      <c r="U684" s="33"/>
    </row>
    <row r="685" ht="15.75" customHeight="1">
      <c r="D685" s="33"/>
      <c r="H685" s="33"/>
      <c r="I685" s="33"/>
      <c r="J685" s="33"/>
      <c r="K685" s="33"/>
      <c r="L685" s="33"/>
      <c r="M685" s="33"/>
      <c r="N685" s="33"/>
      <c r="O685" s="33"/>
      <c r="P685" s="71"/>
      <c r="Q685" s="33"/>
      <c r="S685" s="33"/>
      <c r="T685" s="35"/>
      <c r="U685" s="33"/>
    </row>
    <row r="686" ht="15.75" customHeight="1">
      <c r="D686" s="33"/>
      <c r="H686" s="33"/>
      <c r="I686" s="33"/>
      <c r="J686" s="33"/>
      <c r="K686" s="33"/>
      <c r="L686" s="33"/>
      <c r="M686" s="33"/>
      <c r="N686" s="33"/>
      <c r="O686" s="33"/>
      <c r="P686" s="71"/>
      <c r="Q686" s="33"/>
      <c r="S686" s="33"/>
      <c r="T686" s="35"/>
      <c r="U686" s="33"/>
    </row>
    <row r="687" ht="15.75" customHeight="1">
      <c r="D687" s="33"/>
      <c r="H687" s="33"/>
      <c r="I687" s="33"/>
      <c r="J687" s="33"/>
      <c r="K687" s="33"/>
      <c r="L687" s="33"/>
      <c r="M687" s="33"/>
      <c r="N687" s="33"/>
      <c r="O687" s="33"/>
      <c r="P687" s="71"/>
      <c r="Q687" s="33"/>
      <c r="S687" s="33"/>
      <c r="T687" s="35"/>
      <c r="U687" s="33"/>
    </row>
    <row r="688" ht="15.75" customHeight="1">
      <c r="D688" s="33"/>
      <c r="H688" s="33"/>
      <c r="I688" s="33"/>
      <c r="J688" s="33"/>
      <c r="K688" s="33"/>
      <c r="L688" s="33"/>
      <c r="M688" s="33"/>
      <c r="N688" s="33"/>
      <c r="O688" s="33"/>
      <c r="P688" s="71"/>
      <c r="Q688" s="33"/>
      <c r="S688" s="33"/>
      <c r="T688" s="35"/>
      <c r="U688" s="33"/>
    </row>
    <row r="689" ht="15.75" customHeight="1">
      <c r="D689" s="33"/>
      <c r="H689" s="33"/>
      <c r="I689" s="33"/>
      <c r="J689" s="33"/>
      <c r="K689" s="33"/>
      <c r="L689" s="33"/>
      <c r="M689" s="33"/>
      <c r="N689" s="33"/>
      <c r="O689" s="33"/>
      <c r="P689" s="71"/>
      <c r="Q689" s="33"/>
      <c r="S689" s="33"/>
      <c r="T689" s="35"/>
      <c r="U689" s="33"/>
    </row>
    <row r="690" ht="15.75" customHeight="1">
      <c r="D690" s="33"/>
      <c r="H690" s="33"/>
      <c r="I690" s="33"/>
      <c r="J690" s="33"/>
      <c r="K690" s="33"/>
      <c r="L690" s="33"/>
      <c r="M690" s="33"/>
      <c r="N690" s="33"/>
      <c r="O690" s="33"/>
      <c r="P690" s="71"/>
      <c r="Q690" s="33"/>
      <c r="S690" s="33"/>
      <c r="T690" s="35"/>
      <c r="U690" s="33"/>
    </row>
    <row r="691" ht="15.75" customHeight="1">
      <c r="D691" s="33"/>
      <c r="H691" s="33"/>
      <c r="I691" s="33"/>
      <c r="J691" s="33"/>
      <c r="K691" s="33"/>
      <c r="L691" s="33"/>
      <c r="M691" s="33"/>
      <c r="N691" s="33"/>
      <c r="O691" s="33"/>
      <c r="P691" s="71"/>
      <c r="Q691" s="33"/>
      <c r="S691" s="33"/>
      <c r="T691" s="35"/>
      <c r="U691" s="33"/>
    </row>
    <row r="692" ht="15.75" customHeight="1">
      <c r="D692" s="33"/>
      <c r="H692" s="33"/>
      <c r="I692" s="33"/>
      <c r="J692" s="33"/>
      <c r="K692" s="33"/>
      <c r="L692" s="33"/>
      <c r="M692" s="33"/>
      <c r="N692" s="33"/>
      <c r="O692" s="33"/>
      <c r="P692" s="71"/>
      <c r="Q692" s="33"/>
      <c r="S692" s="33"/>
      <c r="T692" s="35"/>
      <c r="U692" s="33"/>
    </row>
    <row r="693" ht="15.75" customHeight="1">
      <c r="D693" s="33"/>
      <c r="H693" s="33"/>
      <c r="I693" s="33"/>
      <c r="J693" s="33"/>
      <c r="K693" s="33"/>
      <c r="L693" s="33"/>
      <c r="M693" s="33"/>
      <c r="N693" s="33"/>
      <c r="O693" s="33"/>
      <c r="P693" s="71"/>
      <c r="Q693" s="33"/>
      <c r="S693" s="33"/>
      <c r="T693" s="35"/>
      <c r="U693" s="33"/>
    </row>
    <row r="694" ht="15.75" customHeight="1">
      <c r="D694" s="33"/>
      <c r="H694" s="33"/>
      <c r="I694" s="33"/>
      <c r="J694" s="33"/>
      <c r="K694" s="33"/>
      <c r="L694" s="33"/>
      <c r="M694" s="33"/>
      <c r="N694" s="33"/>
      <c r="O694" s="33"/>
      <c r="P694" s="71"/>
      <c r="Q694" s="33"/>
      <c r="S694" s="33"/>
      <c r="T694" s="35"/>
      <c r="U694" s="33"/>
    </row>
    <row r="695" ht="15.75" customHeight="1">
      <c r="D695" s="33"/>
      <c r="H695" s="33"/>
      <c r="I695" s="33"/>
      <c r="J695" s="33"/>
      <c r="K695" s="33"/>
      <c r="L695" s="33"/>
      <c r="M695" s="33"/>
      <c r="N695" s="33"/>
      <c r="O695" s="33"/>
      <c r="P695" s="71"/>
      <c r="Q695" s="33"/>
      <c r="S695" s="33"/>
      <c r="T695" s="35"/>
      <c r="U695" s="33"/>
    </row>
    <row r="696" ht="15.75" customHeight="1">
      <c r="D696" s="33"/>
      <c r="H696" s="33"/>
      <c r="I696" s="33"/>
      <c r="J696" s="33"/>
      <c r="K696" s="33"/>
      <c r="L696" s="33"/>
      <c r="M696" s="33"/>
      <c r="N696" s="33"/>
      <c r="O696" s="33"/>
      <c r="P696" s="71"/>
      <c r="Q696" s="33"/>
      <c r="S696" s="33"/>
      <c r="T696" s="35"/>
      <c r="U696" s="33"/>
    </row>
    <row r="697" ht="15.75" customHeight="1">
      <c r="D697" s="33"/>
      <c r="H697" s="33"/>
      <c r="I697" s="33"/>
      <c r="J697" s="33"/>
      <c r="K697" s="33"/>
      <c r="L697" s="33"/>
      <c r="M697" s="33"/>
      <c r="N697" s="33"/>
      <c r="O697" s="33"/>
      <c r="P697" s="71"/>
      <c r="Q697" s="33"/>
      <c r="S697" s="33"/>
      <c r="T697" s="35"/>
      <c r="U697" s="33"/>
    </row>
    <row r="698" ht="15.75" customHeight="1">
      <c r="D698" s="33"/>
      <c r="H698" s="33"/>
      <c r="I698" s="33"/>
      <c r="J698" s="33"/>
      <c r="K698" s="33"/>
      <c r="L698" s="33"/>
      <c r="M698" s="33"/>
      <c r="N698" s="33"/>
      <c r="O698" s="33"/>
      <c r="P698" s="71"/>
      <c r="Q698" s="33"/>
      <c r="S698" s="33"/>
      <c r="T698" s="35"/>
      <c r="U698" s="33"/>
    </row>
    <row r="699" ht="15.75" customHeight="1">
      <c r="D699" s="33"/>
      <c r="H699" s="33"/>
      <c r="I699" s="33"/>
      <c r="J699" s="33"/>
      <c r="K699" s="33"/>
      <c r="L699" s="33"/>
      <c r="M699" s="33"/>
      <c r="N699" s="33"/>
      <c r="O699" s="33"/>
      <c r="P699" s="71"/>
      <c r="Q699" s="33"/>
      <c r="S699" s="33"/>
      <c r="T699" s="35"/>
      <c r="U699" s="33"/>
    </row>
    <row r="700" ht="15.75" customHeight="1">
      <c r="D700" s="33"/>
      <c r="H700" s="33"/>
      <c r="I700" s="33"/>
      <c r="J700" s="33"/>
      <c r="K700" s="33"/>
      <c r="L700" s="33"/>
      <c r="M700" s="33"/>
      <c r="N700" s="33"/>
      <c r="O700" s="33"/>
      <c r="P700" s="71"/>
      <c r="Q700" s="33"/>
      <c r="S700" s="33"/>
      <c r="T700" s="35"/>
      <c r="U700" s="33"/>
    </row>
    <row r="701" ht="15.75" customHeight="1">
      <c r="D701" s="33"/>
      <c r="H701" s="33"/>
      <c r="I701" s="33"/>
      <c r="J701" s="33"/>
      <c r="K701" s="33"/>
      <c r="L701" s="33"/>
      <c r="M701" s="33"/>
      <c r="N701" s="33"/>
      <c r="O701" s="33"/>
      <c r="P701" s="71"/>
      <c r="Q701" s="33"/>
      <c r="S701" s="33"/>
      <c r="T701" s="35"/>
      <c r="U701" s="33"/>
    </row>
    <row r="702" ht="15.75" customHeight="1">
      <c r="D702" s="33"/>
      <c r="H702" s="33"/>
      <c r="I702" s="33"/>
      <c r="J702" s="33"/>
      <c r="K702" s="33"/>
      <c r="L702" s="33"/>
      <c r="M702" s="33"/>
      <c r="N702" s="33"/>
      <c r="O702" s="33"/>
      <c r="P702" s="71"/>
      <c r="Q702" s="33"/>
      <c r="S702" s="33"/>
      <c r="T702" s="35"/>
      <c r="U702" s="33"/>
    </row>
    <row r="703" ht="15.75" customHeight="1">
      <c r="D703" s="33"/>
      <c r="H703" s="33"/>
      <c r="I703" s="33"/>
      <c r="J703" s="33"/>
      <c r="K703" s="33"/>
      <c r="L703" s="33"/>
      <c r="M703" s="33"/>
      <c r="N703" s="33"/>
      <c r="O703" s="33"/>
      <c r="P703" s="71"/>
      <c r="Q703" s="33"/>
      <c r="S703" s="33"/>
      <c r="T703" s="35"/>
      <c r="U703" s="33"/>
    </row>
    <row r="704" ht="15.75" customHeight="1">
      <c r="D704" s="33"/>
      <c r="H704" s="33"/>
      <c r="I704" s="33"/>
      <c r="J704" s="33"/>
      <c r="K704" s="33"/>
      <c r="L704" s="33"/>
      <c r="M704" s="33"/>
      <c r="N704" s="33"/>
      <c r="O704" s="33"/>
      <c r="P704" s="71"/>
      <c r="Q704" s="33"/>
      <c r="S704" s="33"/>
      <c r="T704" s="35"/>
      <c r="U704" s="33"/>
    </row>
    <row r="705" ht="15.75" customHeight="1">
      <c r="D705" s="33"/>
      <c r="H705" s="33"/>
      <c r="I705" s="33"/>
      <c r="J705" s="33"/>
      <c r="K705" s="33"/>
      <c r="L705" s="33"/>
      <c r="M705" s="33"/>
      <c r="N705" s="33"/>
      <c r="O705" s="33"/>
      <c r="P705" s="71"/>
      <c r="Q705" s="33"/>
      <c r="S705" s="33"/>
      <c r="T705" s="35"/>
      <c r="U705" s="33"/>
    </row>
    <row r="706" ht="15.75" customHeight="1">
      <c r="D706" s="33"/>
      <c r="H706" s="33"/>
      <c r="I706" s="33"/>
      <c r="J706" s="33"/>
      <c r="K706" s="33"/>
      <c r="L706" s="33"/>
      <c r="M706" s="33"/>
      <c r="N706" s="33"/>
      <c r="O706" s="33"/>
      <c r="P706" s="71"/>
      <c r="Q706" s="33"/>
      <c r="S706" s="33"/>
      <c r="T706" s="35"/>
      <c r="U706" s="33"/>
    </row>
    <row r="707" ht="15.75" customHeight="1">
      <c r="D707" s="33"/>
      <c r="H707" s="33"/>
      <c r="I707" s="33"/>
      <c r="J707" s="33"/>
      <c r="K707" s="33"/>
      <c r="L707" s="33"/>
      <c r="M707" s="33"/>
      <c r="N707" s="33"/>
      <c r="O707" s="33"/>
      <c r="P707" s="71"/>
      <c r="Q707" s="33"/>
      <c r="S707" s="33"/>
      <c r="T707" s="35"/>
      <c r="U707" s="33"/>
    </row>
    <row r="708" ht="15.75" customHeight="1">
      <c r="D708" s="33"/>
      <c r="H708" s="33"/>
      <c r="I708" s="33"/>
      <c r="J708" s="33"/>
      <c r="K708" s="33"/>
      <c r="L708" s="33"/>
      <c r="M708" s="33"/>
      <c r="N708" s="33"/>
      <c r="O708" s="33"/>
      <c r="P708" s="71"/>
      <c r="Q708" s="33"/>
      <c r="S708" s="33"/>
      <c r="T708" s="35"/>
      <c r="U708" s="33"/>
    </row>
    <row r="709" ht="15.75" customHeight="1">
      <c r="D709" s="33"/>
      <c r="H709" s="33"/>
      <c r="I709" s="33"/>
      <c r="J709" s="33"/>
      <c r="K709" s="33"/>
      <c r="L709" s="33"/>
      <c r="M709" s="33"/>
      <c r="N709" s="33"/>
      <c r="O709" s="33"/>
      <c r="P709" s="71"/>
      <c r="Q709" s="33"/>
      <c r="S709" s="33"/>
      <c r="T709" s="35"/>
      <c r="U709" s="33"/>
    </row>
    <row r="710" ht="15.75" customHeight="1">
      <c r="D710" s="33"/>
      <c r="H710" s="33"/>
      <c r="I710" s="33"/>
      <c r="J710" s="33"/>
      <c r="K710" s="33"/>
      <c r="L710" s="33"/>
      <c r="M710" s="33"/>
      <c r="N710" s="33"/>
      <c r="O710" s="33"/>
      <c r="P710" s="71"/>
      <c r="Q710" s="33"/>
      <c r="S710" s="33"/>
      <c r="T710" s="35"/>
      <c r="U710" s="33"/>
    </row>
    <row r="711" ht="15.75" customHeight="1">
      <c r="D711" s="33"/>
      <c r="H711" s="33"/>
      <c r="I711" s="33"/>
      <c r="J711" s="33"/>
      <c r="K711" s="33"/>
      <c r="L711" s="33"/>
      <c r="M711" s="33"/>
      <c r="N711" s="33"/>
      <c r="O711" s="33"/>
      <c r="P711" s="71"/>
      <c r="Q711" s="33"/>
      <c r="S711" s="33"/>
      <c r="T711" s="35"/>
      <c r="U711" s="33"/>
    </row>
    <row r="712" ht="15.75" customHeight="1">
      <c r="D712" s="33"/>
      <c r="H712" s="33"/>
      <c r="I712" s="33"/>
      <c r="J712" s="33"/>
      <c r="K712" s="33"/>
      <c r="L712" s="33"/>
      <c r="M712" s="33"/>
      <c r="N712" s="33"/>
      <c r="O712" s="33"/>
      <c r="P712" s="71"/>
      <c r="Q712" s="33"/>
      <c r="S712" s="33"/>
      <c r="T712" s="35"/>
      <c r="U712" s="33"/>
    </row>
    <row r="713" ht="15.75" customHeight="1">
      <c r="D713" s="33"/>
      <c r="H713" s="33"/>
      <c r="I713" s="33"/>
      <c r="J713" s="33"/>
      <c r="K713" s="33"/>
      <c r="L713" s="33"/>
      <c r="M713" s="33"/>
      <c r="N713" s="33"/>
      <c r="O713" s="33"/>
      <c r="P713" s="71"/>
      <c r="Q713" s="33"/>
      <c r="S713" s="33"/>
      <c r="T713" s="35"/>
      <c r="U713" s="33"/>
    </row>
    <row r="714" ht="15.75" customHeight="1">
      <c r="D714" s="33"/>
      <c r="H714" s="33"/>
      <c r="I714" s="33"/>
      <c r="J714" s="33"/>
      <c r="K714" s="33"/>
      <c r="L714" s="33"/>
      <c r="M714" s="33"/>
      <c r="N714" s="33"/>
      <c r="O714" s="33"/>
      <c r="P714" s="71"/>
      <c r="Q714" s="33"/>
      <c r="S714" s="33"/>
      <c r="T714" s="35"/>
      <c r="U714" s="33"/>
    </row>
    <row r="715" ht="15.75" customHeight="1">
      <c r="D715" s="33"/>
      <c r="H715" s="33"/>
      <c r="I715" s="33"/>
      <c r="J715" s="33"/>
      <c r="K715" s="33"/>
      <c r="L715" s="33"/>
      <c r="M715" s="33"/>
      <c r="N715" s="33"/>
      <c r="O715" s="33"/>
      <c r="P715" s="71"/>
      <c r="Q715" s="33"/>
      <c r="S715" s="33"/>
      <c r="T715" s="35"/>
      <c r="U715" s="33"/>
    </row>
    <row r="716" ht="15.75" customHeight="1">
      <c r="D716" s="33"/>
      <c r="H716" s="33"/>
      <c r="I716" s="33"/>
      <c r="J716" s="33"/>
      <c r="K716" s="33"/>
      <c r="L716" s="33"/>
      <c r="M716" s="33"/>
      <c r="N716" s="33"/>
      <c r="O716" s="33"/>
      <c r="P716" s="71"/>
      <c r="Q716" s="33"/>
      <c r="S716" s="33"/>
      <c r="T716" s="35"/>
      <c r="U716" s="33"/>
    </row>
    <row r="717" ht="15.75" customHeight="1">
      <c r="D717" s="33"/>
      <c r="H717" s="33"/>
      <c r="I717" s="33"/>
      <c r="J717" s="33"/>
      <c r="K717" s="33"/>
      <c r="L717" s="33"/>
      <c r="M717" s="33"/>
      <c r="N717" s="33"/>
      <c r="O717" s="33"/>
      <c r="P717" s="71"/>
      <c r="Q717" s="33"/>
      <c r="S717" s="33"/>
      <c r="T717" s="35"/>
      <c r="U717" s="33"/>
    </row>
    <row r="718" ht="15.75" customHeight="1">
      <c r="D718" s="33"/>
      <c r="H718" s="33"/>
      <c r="I718" s="33"/>
      <c r="J718" s="33"/>
      <c r="K718" s="33"/>
      <c r="L718" s="33"/>
      <c r="M718" s="33"/>
      <c r="N718" s="33"/>
      <c r="O718" s="33"/>
      <c r="P718" s="71"/>
      <c r="Q718" s="33"/>
      <c r="S718" s="33"/>
      <c r="T718" s="35"/>
      <c r="U718" s="33"/>
    </row>
    <row r="719" ht="15.75" customHeight="1">
      <c r="D719" s="33"/>
      <c r="H719" s="33"/>
      <c r="I719" s="33"/>
      <c r="J719" s="33"/>
      <c r="K719" s="33"/>
      <c r="L719" s="33"/>
      <c r="M719" s="33"/>
      <c r="N719" s="33"/>
      <c r="O719" s="33"/>
      <c r="P719" s="71"/>
      <c r="Q719" s="33"/>
      <c r="S719" s="33"/>
      <c r="T719" s="35"/>
      <c r="U719" s="33"/>
    </row>
    <row r="720" ht="15.75" customHeight="1">
      <c r="D720" s="33"/>
      <c r="H720" s="33"/>
      <c r="I720" s="33"/>
      <c r="J720" s="33"/>
      <c r="K720" s="33"/>
      <c r="L720" s="33"/>
      <c r="M720" s="33"/>
      <c r="N720" s="33"/>
      <c r="O720" s="33"/>
      <c r="P720" s="71"/>
      <c r="Q720" s="33"/>
      <c r="S720" s="33"/>
      <c r="T720" s="35"/>
      <c r="U720" s="33"/>
    </row>
    <row r="721" ht="15.75" customHeight="1">
      <c r="D721" s="33"/>
      <c r="H721" s="33"/>
      <c r="I721" s="33"/>
      <c r="J721" s="33"/>
      <c r="K721" s="33"/>
      <c r="L721" s="33"/>
      <c r="M721" s="33"/>
      <c r="N721" s="33"/>
      <c r="O721" s="33"/>
      <c r="P721" s="71"/>
      <c r="Q721" s="33"/>
      <c r="S721" s="33"/>
      <c r="T721" s="35"/>
      <c r="U721" s="33"/>
    </row>
    <row r="722" ht="15.75" customHeight="1">
      <c r="D722" s="33"/>
      <c r="H722" s="33"/>
      <c r="I722" s="33"/>
      <c r="J722" s="33"/>
      <c r="K722" s="33"/>
      <c r="L722" s="33"/>
      <c r="M722" s="33"/>
      <c r="N722" s="33"/>
      <c r="O722" s="33"/>
      <c r="P722" s="71"/>
      <c r="Q722" s="33"/>
      <c r="S722" s="33"/>
      <c r="T722" s="35"/>
      <c r="U722" s="33"/>
    </row>
    <row r="723" ht="15.75" customHeight="1">
      <c r="D723" s="33"/>
      <c r="H723" s="33"/>
      <c r="I723" s="33"/>
      <c r="J723" s="33"/>
      <c r="K723" s="33"/>
      <c r="L723" s="33"/>
      <c r="M723" s="33"/>
      <c r="N723" s="33"/>
      <c r="O723" s="33"/>
      <c r="P723" s="71"/>
      <c r="Q723" s="33"/>
      <c r="S723" s="33"/>
      <c r="T723" s="35"/>
      <c r="U723" s="33"/>
    </row>
    <row r="724" ht="15.75" customHeight="1">
      <c r="D724" s="33"/>
      <c r="H724" s="33"/>
      <c r="I724" s="33"/>
      <c r="J724" s="33"/>
      <c r="K724" s="33"/>
      <c r="L724" s="33"/>
      <c r="M724" s="33"/>
      <c r="N724" s="33"/>
      <c r="O724" s="33"/>
      <c r="P724" s="71"/>
      <c r="Q724" s="33"/>
      <c r="S724" s="33"/>
      <c r="T724" s="35"/>
      <c r="U724" s="33"/>
    </row>
    <row r="725" ht="15.75" customHeight="1">
      <c r="D725" s="33"/>
      <c r="H725" s="33"/>
      <c r="I725" s="33"/>
      <c r="J725" s="33"/>
      <c r="K725" s="33"/>
      <c r="L725" s="33"/>
      <c r="M725" s="33"/>
      <c r="N725" s="33"/>
      <c r="O725" s="33"/>
      <c r="P725" s="71"/>
      <c r="Q725" s="33"/>
      <c r="S725" s="33"/>
      <c r="T725" s="35"/>
      <c r="U725" s="33"/>
    </row>
    <row r="726" ht="15.75" customHeight="1">
      <c r="D726" s="33"/>
      <c r="H726" s="33"/>
      <c r="I726" s="33"/>
      <c r="J726" s="33"/>
      <c r="K726" s="33"/>
      <c r="L726" s="33"/>
      <c r="M726" s="33"/>
      <c r="N726" s="33"/>
      <c r="O726" s="33"/>
      <c r="P726" s="71"/>
      <c r="Q726" s="33"/>
      <c r="S726" s="33"/>
      <c r="T726" s="35"/>
      <c r="U726" s="33"/>
    </row>
    <row r="727" ht="15.75" customHeight="1">
      <c r="D727" s="33"/>
      <c r="H727" s="33"/>
      <c r="I727" s="33"/>
      <c r="J727" s="33"/>
      <c r="K727" s="33"/>
      <c r="L727" s="33"/>
      <c r="M727" s="33"/>
      <c r="N727" s="33"/>
      <c r="O727" s="33"/>
      <c r="P727" s="71"/>
      <c r="Q727" s="33"/>
      <c r="S727" s="33"/>
      <c r="T727" s="35"/>
      <c r="U727" s="33"/>
    </row>
    <row r="728" ht="15.75" customHeight="1">
      <c r="D728" s="33"/>
      <c r="H728" s="33"/>
      <c r="I728" s="33"/>
      <c r="J728" s="33"/>
      <c r="K728" s="33"/>
      <c r="L728" s="33"/>
      <c r="M728" s="33"/>
      <c r="N728" s="33"/>
      <c r="O728" s="33"/>
      <c r="P728" s="71"/>
      <c r="Q728" s="33"/>
      <c r="S728" s="33"/>
      <c r="T728" s="35"/>
      <c r="U728" s="33"/>
    </row>
    <row r="729" ht="15.75" customHeight="1">
      <c r="D729" s="33"/>
      <c r="H729" s="33"/>
      <c r="I729" s="33"/>
      <c r="J729" s="33"/>
      <c r="K729" s="33"/>
      <c r="L729" s="33"/>
      <c r="M729" s="33"/>
      <c r="N729" s="33"/>
      <c r="O729" s="33"/>
      <c r="P729" s="71"/>
      <c r="Q729" s="33"/>
      <c r="S729" s="33"/>
      <c r="T729" s="35"/>
      <c r="U729" s="33"/>
    </row>
    <row r="730" ht="15.75" customHeight="1">
      <c r="D730" s="33"/>
      <c r="H730" s="33"/>
      <c r="I730" s="33"/>
      <c r="J730" s="33"/>
      <c r="K730" s="33"/>
      <c r="L730" s="33"/>
      <c r="M730" s="33"/>
      <c r="N730" s="33"/>
      <c r="O730" s="33"/>
      <c r="P730" s="71"/>
      <c r="Q730" s="33"/>
      <c r="S730" s="33"/>
      <c r="T730" s="35"/>
      <c r="U730" s="33"/>
    </row>
    <row r="731" ht="15.75" customHeight="1">
      <c r="D731" s="33"/>
      <c r="H731" s="33"/>
      <c r="I731" s="33"/>
      <c r="J731" s="33"/>
      <c r="K731" s="33"/>
      <c r="L731" s="33"/>
      <c r="M731" s="33"/>
      <c r="N731" s="33"/>
      <c r="O731" s="33"/>
      <c r="P731" s="71"/>
      <c r="Q731" s="33"/>
      <c r="S731" s="33"/>
      <c r="T731" s="35"/>
      <c r="U731" s="33"/>
    </row>
    <row r="732" ht="15.75" customHeight="1">
      <c r="D732" s="33"/>
      <c r="H732" s="33"/>
      <c r="I732" s="33"/>
      <c r="J732" s="33"/>
      <c r="K732" s="33"/>
      <c r="L732" s="33"/>
      <c r="M732" s="33"/>
      <c r="N732" s="33"/>
      <c r="O732" s="33"/>
      <c r="P732" s="71"/>
      <c r="Q732" s="33"/>
      <c r="S732" s="33"/>
      <c r="T732" s="35"/>
      <c r="U732" s="33"/>
    </row>
    <row r="733" ht="15.75" customHeight="1">
      <c r="D733" s="33"/>
      <c r="H733" s="33"/>
      <c r="I733" s="33"/>
      <c r="J733" s="33"/>
      <c r="K733" s="33"/>
      <c r="L733" s="33"/>
      <c r="M733" s="33"/>
      <c r="N733" s="33"/>
      <c r="O733" s="33"/>
      <c r="P733" s="71"/>
      <c r="Q733" s="33"/>
      <c r="S733" s="33"/>
      <c r="T733" s="35"/>
      <c r="U733" s="33"/>
    </row>
    <row r="734" ht="15.75" customHeight="1">
      <c r="D734" s="33"/>
      <c r="H734" s="33"/>
      <c r="I734" s="33"/>
      <c r="J734" s="33"/>
      <c r="K734" s="33"/>
      <c r="L734" s="33"/>
      <c r="M734" s="33"/>
      <c r="N734" s="33"/>
      <c r="O734" s="33"/>
      <c r="P734" s="71"/>
      <c r="Q734" s="33"/>
      <c r="S734" s="33"/>
      <c r="T734" s="35"/>
      <c r="U734" s="33"/>
    </row>
    <row r="735" ht="15.75" customHeight="1">
      <c r="D735" s="33"/>
      <c r="H735" s="33"/>
      <c r="I735" s="33"/>
      <c r="J735" s="33"/>
      <c r="K735" s="33"/>
      <c r="L735" s="33"/>
      <c r="M735" s="33"/>
      <c r="N735" s="33"/>
      <c r="O735" s="33"/>
      <c r="P735" s="71"/>
      <c r="Q735" s="33"/>
      <c r="S735" s="33"/>
      <c r="T735" s="35"/>
      <c r="U735" s="33"/>
    </row>
    <row r="736" ht="15.75" customHeight="1">
      <c r="D736" s="33"/>
      <c r="H736" s="33"/>
      <c r="I736" s="33"/>
      <c r="J736" s="33"/>
      <c r="K736" s="33"/>
      <c r="L736" s="33"/>
      <c r="M736" s="33"/>
      <c r="N736" s="33"/>
      <c r="O736" s="33"/>
      <c r="P736" s="71"/>
      <c r="Q736" s="33"/>
      <c r="S736" s="33"/>
      <c r="T736" s="35"/>
      <c r="U736" s="33"/>
    </row>
    <row r="737" ht="15.75" customHeight="1">
      <c r="D737" s="33"/>
      <c r="H737" s="33"/>
      <c r="I737" s="33"/>
      <c r="J737" s="33"/>
      <c r="K737" s="33"/>
      <c r="L737" s="33"/>
      <c r="M737" s="33"/>
      <c r="N737" s="33"/>
      <c r="O737" s="33"/>
      <c r="P737" s="71"/>
      <c r="Q737" s="33"/>
      <c r="S737" s="33"/>
      <c r="T737" s="35"/>
      <c r="U737" s="33"/>
    </row>
    <row r="738" ht="15.75" customHeight="1">
      <c r="D738" s="33"/>
      <c r="H738" s="33"/>
      <c r="I738" s="33"/>
      <c r="J738" s="33"/>
      <c r="K738" s="33"/>
      <c r="L738" s="33"/>
      <c r="M738" s="33"/>
      <c r="N738" s="33"/>
      <c r="O738" s="33"/>
      <c r="P738" s="71"/>
      <c r="Q738" s="33"/>
      <c r="S738" s="33"/>
      <c r="T738" s="35"/>
      <c r="U738" s="33"/>
    </row>
    <row r="739" ht="15.75" customHeight="1">
      <c r="D739" s="33"/>
      <c r="H739" s="33"/>
      <c r="I739" s="33"/>
      <c r="J739" s="33"/>
      <c r="K739" s="33"/>
      <c r="L739" s="33"/>
      <c r="M739" s="33"/>
      <c r="N739" s="33"/>
      <c r="O739" s="33"/>
      <c r="P739" s="71"/>
      <c r="Q739" s="33"/>
      <c r="S739" s="33"/>
      <c r="T739" s="35"/>
      <c r="U739" s="33"/>
    </row>
    <row r="740" ht="15.75" customHeight="1">
      <c r="D740" s="33"/>
      <c r="H740" s="33"/>
      <c r="I740" s="33"/>
      <c r="J740" s="33"/>
      <c r="K740" s="33"/>
      <c r="L740" s="33"/>
      <c r="M740" s="33"/>
      <c r="N740" s="33"/>
      <c r="O740" s="33"/>
      <c r="P740" s="71"/>
      <c r="Q740" s="33"/>
      <c r="S740" s="33"/>
      <c r="T740" s="35"/>
      <c r="U740" s="33"/>
    </row>
    <row r="741" ht="15.75" customHeight="1">
      <c r="D741" s="33"/>
      <c r="H741" s="33"/>
      <c r="I741" s="33"/>
      <c r="J741" s="33"/>
      <c r="K741" s="33"/>
      <c r="L741" s="33"/>
      <c r="M741" s="33"/>
      <c r="N741" s="33"/>
      <c r="O741" s="33"/>
      <c r="P741" s="71"/>
      <c r="Q741" s="33"/>
      <c r="S741" s="33"/>
      <c r="T741" s="35"/>
      <c r="U741" s="33"/>
    </row>
    <row r="742" ht="15.75" customHeight="1">
      <c r="D742" s="33"/>
      <c r="H742" s="33"/>
      <c r="I742" s="33"/>
      <c r="J742" s="33"/>
      <c r="K742" s="33"/>
      <c r="L742" s="33"/>
      <c r="M742" s="33"/>
      <c r="N742" s="33"/>
      <c r="O742" s="33"/>
      <c r="P742" s="71"/>
      <c r="Q742" s="33"/>
      <c r="S742" s="33"/>
      <c r="T742" s="35"/>
      <c r="U742" s="33"/>
    </row>
    <row r="743" ht="15.75" customHeight="1">
      <c r="D743" s="33"/>
      <c r="H743" s="33"/>
      <c r="I743" s="33"/>
      <c r="J743" s="33"/>
      <c r="K743" s="33"/>
      <c r="L743" s="33"/>
      <c r="M743" s="33"/>
      <c r="N743" s="33"/>
      <c r="O743" s="33"/>
      <c r="P743" s="71"/>
      <c r="Q743" s="33"/>
      <c r="S743" s="33"/>
      <c r="T743" s="35"/>
      <c r="U743" s="33"/>
    </row>
    <row r="744" ht="15.75" customHeight="1">
      <c r="D744" s="33"/>
      <c r="H744" s="33"/>
      <c r="I744" s="33"/>
      <c r="J744" s="33"/>
      <c r="K744" s="33"/>
      <c r="L744" s="33"/>
      <c r="M744" s="33"/>
      <c r="N744" s="33"/>
      <c r="O744" s="33"/>
      <c r="P744" s="71"/>
      <c r="Q744" s="33"/>
      <c r="S744" s="33"/>
      <c r="T744" s="35"/>
      <c r="U744" s="33"/>
    </row>
    <row r="745" ht="15.75" customHeight="1">
      <c r="D745" s="33"/>
      <c r="H745" s="33"/>
      <c r="I745" s="33"/>
      <c r="J745" s="33"/>
      <c r="K745" s="33"/>
      <c r="L745" s="33"/>
      <c r="M745" s="33"/>
      <c r="N745" s="33"/>
      <c r="O745" s="33"/>
      <c r="P745" s="71"/>
      <c r="Q745" s="33"/>
      <c r="S745" s="33"/>
      <c r="T745" s="35"/>
      <c r="U745" s="33"/>
    </row>
    <row r="746" ht="15.75" customHeight="1">
      <c r="D746" s="33"/>
      <c r="H746" s="33"/>
      <c r="I746" s="33"/>
      <c r="J746" s="33"/>
      <c r="K746" s="33"/>
      <c r="L746" s="33"/>
      <c r="M746" s="33"/>
      <c r="N746" s="33"/>
      <c r="O746" s="33"/>
      <c r="P746" s="71"/>
      <c r="Q746" s="33"/>
      <c r="S746" s="33"/>
      <c r="T746" s="35"/>
      <c r="U746" s="33"/>
    </row>
    <row r="747" ht="15.75" customHeight="1">
      <c r="D747" s="33"/>
      <c r="H747" s="33"/>
      <c r="I747" s="33"/>
      <c r="J747" s="33"/>
      <c r="K747" s="33"/>
      <c r="L747" s="33"/>
      <c r="M747" s="33"/>
      <c r="N747" s="33"/>
      <c r="O747" s="33"/>
      <c r="P747" s="71"/>
      <c r="Q747" s="33"/>
      <c r="S747" s="33"/>
      <c r="T747" s="35"/>
      <c r="U747" s="33"/>
    </row>
    <row r="748" ht="15.75" customHeight="1">
      <c r="D748" s="33"/>
      <c r="H748" s="33"/>
      <c r="I748" s="33"/>
      <c r="J748" s="33"/>
      <c r="K748" s="33"/>
      <c r="L748" s="33"/>
      <c r="M748" s="33"/>
      <c r="N748" s="33"/>
      <c r="O748" s="33"/>
      <c r="P748" s="71"/>
      <c r="Q748" s="33"/>
      <c r="S748" s="33"/>
      <c r="T748" s="35"/>
      <c r="U748" s="33"/>
    </row>
    <row r="749" ht="15.75" customHeight="1">
      <c r="D749" s="33"/>
      <c r="H749" s="33"/>
      <c r="I749" s="33"/>
      <c r="J749" s="33"/>
      <c r="K749" s="33"/>
      <c r="L749" s="33"/>
      <c r="M749" s="33"/>
      <c r="N749" s="33"/>
      <c r="O749" s="33"/>
      <c r="P749" s="71"/>
      <c r="Q749" s="33"/>
      <c r="S749" s="33"/>
      <c r="T749" s="35"/>
      <c r="U749" s="33"/>
    </row>
    <row r="750" ht="15.75" customHeight="1">
      <c r="D750" s="33"/>
      <c r="H750" s="33"/>
      <c r="I750" s="33"/>
      <c r="J750" s="33"/>
      <c r="K750" s="33"/>
      <c r="L750" s="33"/>
      <c r="M750" s="33"/>
      <c r="N750" s="33"/>
      <c r="O750" s="33"/>
      <c r="P750" s="71"/>
      <c r="Q750" s="33"/>
      <c r="S750" s="33"/>
      <c r="T750" s="35"/>
      <c r="U750" s="33"/>
    </row>
    <row r="751" ht="15.75" customHeight="1">
      <c r="D751" s="33"/>
      <c r="H751" s="33"/>
      <c r="I751" s="33"/>
      <c r="J751" s="33"/>
      <c r="K751" s="33"/>
      <c r="L751" s="33"/>
      <c r="M751" s="33"/>
      <c r="N751" s="33"/>
      <c r="O751" s="33"/>
      <c r="P751" s="71"/>
      <c r="Q751" s="33"/>
      <c r="S751" s="33"/>
      <c r="T751" s="35"/>
      <c r="U751" s="33"/>
    </row>
    <row r="752" ht="15.75" customHeight="1">
      <c r="D752" s="33"/>
      <c r="H752" s="33"/>
      <c r="I752" s="33"/>
      <c r="J752" s="33"/>
      <c r="K752" s="33"/>
      <c r="L752" s="33"/>
      <c r="M752" s="33"/>
      <c r="N752" s="33"/>
      <c r="O752" s="33"/>
      <c r="P752" s="71"/>
      <c r="Q752" s="33"/>
      <c r="S752" s="33"/>
      <c r="T752" s="35"/>
      <c r="U752" s="33"/>
    </row>
    <row r="753" ht="15.75" customHeight="1">
      <c r="D753" s="33"/>
      <c r="H753" s="33"/>
      <c r="I753" s="33"/>
      <c r="J753" s="33"/>
      <c r="K753" s="33"/>
      <c r="L753" s="33"/>
      <c r="M753" s="33"/>
      <c r="N753" s="33"/>
      <c r="O753" s="33"/>
      <c r="P753" s="71"/>
      <c r="Q753" s="33"/>
      <c r="S753" s="33"/>
      <c r="T753" s="35"/>
      <c r="U753" s="33"/>
    </row>
    <row r="754" ht="15.75" customHeight="1">
      <c r="D754" s="33"/>
      <c r="H754" s="33"/>
      <c r="I754" s="33"/>
      <c r="J754" s="33"/>
      <c r="K754" s="33"/>
      <c r="L754" s="33"/>
      <c r="M754" s="33"/>
      <c r="N754" s="33"/>
      <c r="O754" s="33"/>
      <c r="P754" s="71"/>
      <c r="Q754" s="33"/>
      <c r="S754" s="33"/>
      <c r="T754" s="35"/>
      <c r="U754" s="33"/>
    </row>
    <row r="755" ht="15.75" customHeight="1">
      <c r="D755" s="33"/>
      <c r="H755" s="33"/>
      <c r="I755" s="33"/>
      <c r="J755" s="33"/>
      <c r="K755" s="33"/>
      <c r="L755" s="33"/>
      <c r="M755" s="33"/>
      <c r="N755" s="33"/>
      <c r="O755" s="33"/>
      <c r="P755" s="71"/>
      <c r="Q755" s="33"/>
      <c r="S755" s="33"/>
      <c r="T755" s="35"/>
      <c r="U755" s="33"/>
    </row>
    <row r="756" ht="15.75" customHeight="1">
      <c r="D756" s="33"/>
      <c r="H756" s="33"/>
      <c r="I756" s="33"/>
      <c r="J756" s="33"/>
      <c r="K756" s="33"/>
      <c r="L756" s="33"/>
      <c r="M756" s="33"/>
      <c r="N756" s="33"/>
      <c r="O756" s="33"/>
      <c r="P756" s="71"/>
      <c r="Q756" s="33"/>
      <c r="S756" s="33"/>
      <c r="T756" s="35"/>
      <c r="U756" s="33"/>
    </row>
    <row r="757" ht="15.75" customHeight="1">
      <c r="D757" s="33"/>
      <c r="H757" s="33"/>
      <c r="I757" s="33"/>
      <c r="J757" s="33"/>
      <c r="K757" s="33"/>
      <c r="L757" s="33"/>
      <c r="M757" s="33"/>
      <c r="N757" s="33"/>
      <c r="O757" s="33"/>
      <c r="P757" s="71"/>
      <c r="Q757" s="33"/>
      <c r="S757" s="33"/>
      <c r="T757" s="35"/>
      <c r="U757" s="33"/>
    </row>
    <row r="758" ht="15.75" customHeight="1">
      <c r="D758" s="33"/>
      <c r="H758" s="33"/>
      <c r="I758" s="33"/>
      <c r="J758" s="33"/>
      <c r="K758" s="33"/>
      <c r="L758" s="33"/>
      <c r="M758" s="33"/>
      <c r="N758" s="33"/>
      <c r="O758" s="33"/>
      <c r="P758" s="71"/>
      <c r="Q758" s="33"/>
      <c r="S758" s="33"/>
      <c r="T758" s="35"/>
      <c r="U758" s="33"/>
    </row>
    <row r="759" ht="15.75" customHeight="1">
      <c r="D759" s="33"/>
      <c r="H759" s="33"/>
      <c r="I759" s="33"/>
      <c r="J759" s="33"/>
      <c r="K759" s="33"/>
      <c r="L759" s="33"/>
      <c r="M759" s="33"/>
      <c r="N759" s="33"/>
      <c r="O759" s="33"/>
      <c r="P759" s="71"/>
      <c r="Q759" s="33"/>
      <c r="S759" s="33"/>
      <c r="T759" s="35"/>
      <c r="U759" s="33"/>
    </row>
    <row r="760" ht="15.75" customHeight="1">
      <c r="D760" s="33"/>
      <c r="H760" s="33"/>
      <c r="I760" s="33"/>
      <c r="J760" s="33"/>
      <c r="K760" s="33"/>
      <c r="L760" s="33"/>
      <c r="M760" s="33"/>
      <c r="N760" s="33"/>
      <c r="O760" s="33"/>
      <c r="P760" s="71"/>
      <c r="Q760" s="33"/>
      <c r="S760" s="33"/>
      <c r="T760" s="35"/>
      <c r="U760" s="33"/>
    </row>
    <row r="761" ht="15.75" customHeight="1">
      <c r="D761" s="33"/>
      <c r="H761" s="33"/>
      <c r="I761" s="33"/>
      <c r="J761" s="33"/>
      <c r="K761" s="33"/>
      <c r="L761" s="33"/>
      <c r="M761" s="33"/>
      <c r="N761" s="33"/>
      <c r="O761" s="33"/>
      <c r="P761" s="71"/>
      <c r="Q761" s="33"/>
      <c r="S761" s="33"/>
      <c r="T761" s="35"/>
      <c r="U761" s="33"/>
    </row>
    <row r="762" ht="15.75" customHeight="1">
      <c r="D762" s="33"/>
      <c r="H762" s="33"/>
      <c r="I762" s="33"/>
      <c r="J762" s="33"/>
      <c r="K762" s="33"/>
      <c r="L762" s="33"/>
      <c r="M762" s="33"/>
      <c r="N762" s="33"/>
      <c r="O762" s="33"/>
      <c r="P762" s="71"/>
      <c r="Q762" s="33"/>
      <c r="S762" s="33"/>
      <c r="T762" s="35"/>
      <c r="U762" s="33"/>
    </row>
    <row r="763" ht="15.75" customHeight="1">
      <c r="D763" s="33"/>
      <c r="H763" s="33"/>
      <c r="I763" s="33"/>
      <c r="J763" s="33"/>
      <c r="K763" s="33"/>
      <c r="L763" s="33"/>
      <c r="M763" s="33"/>
      <c r="N763" s="33"/>
      <c r="O763" s="33"/>
      <c r="P763" s="71"/>
      <c r="Q763" s="33"/>
      <c r="S763" s="33"/>
      <c r="T763" s="35"/>
      <c r="U763" s="33"/>
    </row>
    <row r="764" ht="15.75" customHeight="1">
      <c r="D764" s="33"/>
      <c r="H764" s="33"/>
      <c r="I764" s="33"/>
      <c r="J764" s="33"/>
      <c r="K764" s="33"/>
      <c r="L764" s="33"/>
      <c r="M764" s="33"/>
      <c r="N764" s="33"/>
      <c r="O764" s="33"/>
      <c r="P764" s="71"/>
      <c r="Q764" s="33"/>
      <c r="S764" s="33"/>
      <c r="T764" s="35"/>
      <c r="U764" s="33"/>
    </row>
    <row r="765" ht="15.75" customHeight="1">
      <c r="D765" s="33"/>
      <c r="H765" s="33"/>
      <c r="I765" s="33"/>
      <c r="J765" s="33"/>
      <c r="K765" s="33"/>
      <c r="L765" s="33"/>
      <c r="M765" s="33"/>
      <c r="N765" s="33"/>
      <c r="O765" s="33"/>
      <c r="P765" s="71"/>
      <c r="Q765" s="33"/>
      <c r="S765" s="33"/>
      <c r="T765" s="35"/>
      <c r="U765" s="33"/>
    </row>
    <row r="766" ht="15.75" customHeight="1">
      <c r="D766" s="33"/>
      <c r="H766" s="33"/>
      <c r="I766" s="33"/>
      <c r="J766" s="33"/>
      <c r="K766" s="33"/>
      <c r="L766" s="33"/>
      <c r="M766" s="33"/>
      <c r="N766" s="33"/>
      <c r="O766" s="33"/>
      <c r="P766" s="71"/>
      <c r="Q766" s="33"/>
      <c r="S766" s="33"/>
      <c r="T766" s="35"/>
      <c r="U766" s="33"/>
    </row>
    <row r="767" ht="15.75" customHeight="1">
      <c r="D767" s="33"/>
      <c r="H767" s="33"/>
      <c r="I767" s="33"/>
      <c r="J767" s="33"/>
      <c r="K767" s="33"/>
      <c r="L767" s="33"/>
      <c r="M767" s="33"/>
      <c r="N767" s="33"/>
      <c r="O767" s="33"/>
      <c r="P767" s="71"/>
      <c r="Q767" s="33"/>
      <c r="S767" s="33"/>
      <c r="T767" s="35"/>
      <c r="U767" s="33"/>
    </row>
    <row r="768" ht="15.75" customHeight="1">
      <c r="D768" s="33"/>
      <c r="H768" s="33"/>
      <c r="I768" s="33"/>
      <c r="J768" s="33"/>
      <c r="K768" s="33"/>
      <c r="L768" s="33"/>
      <c r="M768" s="33"/>
      <c r="N768" s="33"/>
      <c r="O768" s="33"/>
      <c r="P768" s="71"/>
      <c r="Q768" s="33"/>
      <c r="S768" s="33"/>
      <c r="T768" s="35"/>
      <c r="U768" s="33"/>
    </row>
    <row r="769" ht="15.75" customHeight="1">
      <c r="D769" s="33"/>
      <c r="H769" s="33"/>
      <c r="I769" s="33"/>
      <c r="J769" s="33"/>
      <c r="K769" s="33"/>
      <c r="L769" s="33"/>
      <c r="M769" s="33"/>
      <c r="N769" s="33"/>
      <c r="O769" s="33"/>
      <c r="P769" s="71"/>
      <c r="Q769" s="33"/>
      <c r="S769" s="33"/>
      <c r="T769" s="35"/>
      <c r="U769" s="33"/>
    </row>
    <row r="770" ht="15.75" customHeight="1">
      <c r="D770" s="33"/>
      <c r="H770" s="33"/>
      <c r="I770" s="33"/>
      <c r="J770" s="33"/>
      <c r="K770" s="33"/>
      <c r="L770" s="33"/>
      <c r="M770" s="33"/>
      <c r="N770" s="33"/>
      <c r="O770" s="33"/>
      <c r="P770" s="71"/>
      <c r="Q770" s="33"/>
      <c r="S770" s="33"/>
      <c r="T770" s="35"/>
      <c r="U770" s="33"/>
    </row>
    <row r="771" ht="15.75" customHeight="1">
      <c r="D771" s="33"/>
      <c r="H771" s="33"/>
      <c r="I771" s="33"/>
      <c r="J771" s="33"/>
      <c r="K771" s="33"/>
      <c r="L771" s="33"/>
      <c r="M771" s="33"/>
      <c r="N771" s="33"/>
      <c r="O771" s="33"/>
      <c r="P771" s="71"/>
      <c r="Q771" s="33"/>
      <c r="S771" s="33"/>
      <c r="T771" s="35"/>
      <c r="U771" s="33"/>
    </row>
    <row r="772" ht="15.75" customHeight="1">
      <c r="D772" s="33"/>
      <c r="H772" s="33"/>
      <c r="I772" s="33"/>
      <c r="J772" s="33"/>
      <c r="K772" s="33"/>
      <c r="L772" s="33"/>
      <c r="M772" s="33"/>
      <c r="N772" s="33"/>
      <c r="O772" s="33"/>
      <c r="P772" s="71"/>
      <c r="Q772" s="33"/>
      <c r="S772" s="33"/>
      <c r="T772" s="35"/>
      <c r="U772" s="33"/>
    </row>
    <row r="773" ht="15.75" customHeight="1">
      <c r="D773" s="33"/>
      <c r="H773" s="33"/>
      <c r="I773" s="33"/>
      <c r="J773" s="33"/>
      <c r="K773" s="33"/>
      <c r="L773" s="33"/>
      <c r="M773" s="33"/>
      <c r="N773" s="33"/>
      <c r="O773" s="33"/>
      <c r="P773" s="71"/>
      <c r="Q773" s="33"/>
      <c r="S773" s="33"/>
      <c r="T773" s="35"/>
      <c r="U773" s="33"/>
    </row>
    <row r="774" ht="15.75" customHeight="1">
      <c r="D774" s="33"/>
      <c r="H774" s="33"/>
      <c r="I774" s="33"/>
      <c r="J774" s="33"/>
      <c r="K774" s="33"/>
      <c r="L774" s="33"/>
      <c r="M774" s="33"/>
      <c r="N774" s="33"/>
      <c r="O774" s="33"/>
      <c r="P774" s="71"/>
      <c r="Q774" s="33"/>
      <c r="S774" s="33"/>
      <c r="T774" s="35"/>
      <c r="U774" s="33"/>
    </row>
    <row r="775" ht="15.75" customHeight="1">
      <c r="D775" s="33"/>
      <c r="H775" s="33"/>
      <c r="I775" s="33"/>
      <c r="J775" s="33"/>
      <c r="K775" s="33"/>
      <c r="L775" s="33"/>
      <c r="M775" s="33"/>
      <c r="N775" s="33"/>
      <c r="O775" s="33"/>
      <c r="P775" s="71"/>
      <c r="Q775" s="33"/>
      <c r="S775" s="33"/>
      <c r="T775" s="35"/>
      <c r="U775" s="33"/>
    </row>
    <row r="776" ht="15.75" customHeight="1">
      <c r="D776" s="33"/>
      <c r="H776" s="33"/>
      <c r="I776" s="33"/>
      <c r="J776" s="33"/>
      <c r="K776" s="33"/>
      <c r="L776" s="33"/>
      <c r="M776" s="33"/>
      <c r="N776" s="33"/>
      <c r="O776" s="33"/>
      <c r="P776" s="71"/>
      <c r="Q776" s="33"/>
      <c r="S776" s="33"/>
      <c r="T776" s="35"/>
      <c r="U776" s="33"/>
    </row>
    <row r="777" ht="15.75" customHeight="1">
      <c r="D777" s="33"/>
      <c r="H777" s="33"/>
      <c r="I777" s="33"/>
      <c r="J777" s="33"/>
      <c r="K777" s="33"/>
      <c r="L777" s="33"/>
      <c r="M777" s="33"/>
      <c r="N777" s="33"/>
      <c r="O777" s="33"/>
      <c r="P777" s="71"/>
      <c r="Q777" s="33"/>
      <c r="S777" s="33"/>
      <c r="T777" s="35"/>
      <c r="U777" s="33"/>
    </row>
    <row r="778" ht="15.75" customHeight="1">
      <c r="D778" s="33"/>
      <c r="H778" s="33"/>
      <c r="I778" s="33"/>
      <c r="J778" s="33"/>
      <c r="K778" s="33"/>
      <c r="L778" s="33"/>
      <c r="M778" s="33"/>
      <c r="N778" s="33"/>
      <c r="O778" s="33"/>
      <c r="P778" s="71"/>
      <c r="Q778" s="33"/>
      <c r="S778" s="33"/>
      <c r="T778" s="35"/>
      <c r="U778" s="33"/>
    </row>
    <row r="779" ht="15.75" customHeight="1">
      <c r="D779" s="33"/>
      <c r="H779" s="33"/>
      <c r="I779" s="33"/>
      <c r="J779" s="33"/>
      <c r="K779" s="33"/>
      <c r="L779" s="33"/>
      <c r="M779" s="33"/>
      <c r="N779" s="33"/>
      <c r="O779" s="33"/>
      <c r="P779" s="71"/>
      <c r="Q779" s="33"/>
      <c r="S779" s="33"/>
      <c r="T779" s="35"/>
      <c r="U779" s="33"/>
    </row>
    <row r="780" ht="15.75" customHeight="1">
      <c r="D780" s="33"/>
      <c r="H780" s="33"/>
      <c r="I780" s="33"/>
      <c r="J780" s="33"/>
      <c r="K780" s="33"/>
      <c r="L780" s="33"/>
      <c r="M780" s="33"/>
      <c r="N780" s="33"/>
      <c r="O780" s="33"/>
      <c r="P780" s="71"/>
      <c r="Q780" s="33"/>
      <c r="S780" s="33"/>
      <c r="T780" s="35"/>
      <c r="U780" s="33"/>
    </row>
    <row r="781" ht="15.75" customHeight="1">
      <c r="D781" s="33"/>
      <c r="H781" s="33"/>
      <c r="I781" s="33"/>
      <c r="J781" s="33"/>
      <c r="K781" s="33"/>
      <c r="L781" s="33"/>
      <c r="M781" s="33"/>
      <c r="N781" s="33"/>
      <c r="O781" s="33"/>
      <c r="P781" s="71"/>
      <c r="Q781" s="33"/>
      <c r="S781" s="33"/>
      <c r="T781" s="35"/>
      <c r="U781" s="33"/>
    </row>
    <row r="782" ht="15.75" customHeight="1">
      <c r="D782" s="33"/>
      <c r="H782" s="33"/>
      <c r="I782" s="33"/>
      <c r="J782" s="33"/>
      <c r="K782" s="33"/>
      <c r="L782" s="33"/>
      <c r="M782" s="33"/>
      <c r="N782" s="33"/>
      <c r="O782" s="33"/>
      <c r="P782" s="71"/>
      <c r="Q782" s="33"/>
      <c r="S782" s="33"/>
      <c r="T782" s="35"/>
      <c r="U782" s="33"/>
    </row>
    <row r="783" ht="15.75" customHeight="1">
      <c r="D783" s="33"/>
      <c r="H783" s="33"/>
      <c r="I783" s="33"/>
      <c r="J783" s="33"/>
      <c r="K783" s="33"/>
      <c r="L783" s="33"/>
      <c r="M783" s="33"/>
      <c r="N783" s="33"/>
      <c r="O783" s="33"/>
      <c r="P783" s="71"/>
      <c r="Q783" s="33"/>
      <c r="S783" s="33"/>
      <c r="T783" s="35"/>
      <c r="U783" s="33"/>
    </row>
    <row r="784" ht="15.75" customHeight="1">
      <c r="D784" s="33"/>
      <c r="H784" s="33"/>
      <c r="I784" s="33"/>
      <c r="J784" s="33"/>
      <c r="K784" s="33"/>
      <c r="L784" s="33"/>
      <c r="M784" s="33"/>
      <c r="N784" s="33"/>
      <c r="O784" s="33"/>
      <c r="P784" s="71"/>
      <c r="Q784" s="33"/>
      <c r="S784" s="33"/>
      <c r="T784" s="35"/>
      <c r="U784" s="33"/>
    </row>
    <row r="785" ht="15.75" customHeight="1">
      <c r="D785" s="33"/>
      <c r="H785" s="33"/>
      <c r="I785" s="33"/>
      <c r="J785" s="33"/>
      <c r="K785" s="33"/>
      <c r="L785" s="33"/>
      <c r="M785" s="33"/>
      <c r="N785" s="33"/>
      <c r="O785" s="33"/>
      <c r="P785" s="71"/>
      <c r="Q785" s="33"/>
      <c r="S785" s="33"/>
      <c r="T785" s="35"/>
      <c r="U785" s="33"/>
    </row>
    <row r="786" ht="15.75" customHeight="1">
      <c r="D786" s="33"/>
      <c r="H786" s="33"/>
      <c r="I786" s="33"/>
      <c r="J786" s="33"/>
      <c r="K786" s="33"/>
      <c r="L786" s="33"/>
      <c r="M786" s="33"/>
      <c r="N786" s="33"/>
      <c r="O786" s="33"/>
      <c r="P786" s="71"/>
      <c r="Q786" s="33"/>
      <c r="S786" s="33"/>
      <c r="T786" s="35"/>
      <c r="U786" s="33"/>
    </row>
    <row r="787" ht="15.75" customHeight="1">
      <c r="D787" s="33"/>
      <c r="H787" s="33"/>
      <c r="I787" s="33"/>
      <c r="J787" s="33"/>
      <c r="K787" s="33"/>
      <c r="L787" s="33"/>
      <c r="M787" s="33"/>
      <c r="N787" s="33"/>
      <c r="O787" s="33"/>
      <c r="P787" s="71"/>
      <c r="Q787" s="33"/>
      <c r="S787" s="33"/>
      <c r="T787" s="35"/>
      <c r="U787" s="33"/>
    </row>
    <row r="788" ht="15.75" customHeight="1">
      <c r="D788" s="33"/>
      <c r="H788" s="33"/>
      <c r="I788" s="33"/>
      <c r="J788" s="33"/>
      <c r="K788" s="33"/>
      <c r="L788" s="33"/>
      <c r="M788" s="33"/>
      <c r="N788" s="33"/>
      <c r="O788" s="33"/>
      <c r="P788" s="71"/>
      <c r="Q788" s="33"/>
      <c r="S788" s="33"/>
      <c r="T788" s="35"/>
      <c r="U788" s="33"/>
    </row>
    <row r="789" ht="15.75" customHeight="1">
      <c r="D789" s="33"/>
      <c r="H789" s="33"/>
      <c r="I789" s="33"/>
      <c r="J789" s="33"/>
      <c r="K789" s="33"/>
      <c r="L789" s="33"/>
      <c r="M789" s="33"/>
      <c r="N789" s="33"/>
      <c r="O789" s="33"/>
      <c r="P789" s="71"/>
      <c r="Q789" s="33"/>
      <c r="S789" s="33"/>
      <c r="T789" s="35"/>
      <c r="U789" s="33"/>
    </row>
    <row r="790" ht="15.75" customHeight="1">
      <c r="D790" s="33"/>
      <c r="H790" s="33"/>
      <c r="I790" s="33"/>
      <c r="J790" s="33"/>
      <c r="K790" s="33"/>
      <c r="L790" s="33"/>
      <c r="M790" s="33"/>
      <c r="N790" s="33"/>
      <c r="O790" s="33"/>
      <c r="P790" s="71"/>
      <c r="Q790" s="33"/>
      <c r="S790" s="33"/>
      <c r="T790" s="35"/>
      <c r="U790" s="33"/>
    </row>
    <row r="791" ht="15.75" customHeight="1">
      <c r="D791" s="33"/>
      <c r="H791" s="33"/>
      <c r="I791" s="33"/>
      <c r="J791" s="33"/>
      <c r="K791" s="33"/>
      <c r="L791" s="33"/>
      <c r="M791" s="33"/>
      <c r="N791" s="33"/>
      <c r="O791" s="33"/>
      <c r="P791" s="71"/>
      <c r="Q791" s="33"/>
      <c r="S791" s="33"/>
      <c r="T791" s="35"/>
      <c r="U791" s="33"/>
    </row>
    <row r="792" ht="15.75" customHeight="1">
      <c r="D792" s="33"/>
      <c r="H792" s="33"/>
      <c r="I792" s="33"/>
      <c r="J792" s="33"/>
      <c r="K792" s="33"/>
      <c r="L792" s="33"/>
      <c r="M792" s="33"/>
      <c r="N792" s="33"/>
      <c r="O792" s="33"/>
      <c r="P792" s="71"/>
      <c r="Q792" s="33"/>
      <c r="S792" s="33"/>
      <c r="T792" s="35"/>
      <c r="U792" s="33"/>
    </row>
    <row r="793" ht="15.75" customHeight="1">
      <c r="D793" s="33"/>
      <c r="H793" s="33"/>
      <c r="I793" s="33"/>
      <c r="J793" s="33"/>
      <c r="K793" s="33"/>
      <c r="L793" s="33"/>
      <c r="M793" s="33"/>
      <c r="N793" s="33"/>
      <c r="O793" s="33"/>
      <c r="P793" s="71"/>
      <c r="Q793" s="33"/>
      <c r="S793" s="33"/>
      <c r="T793" s="35"/>
      <c r="U793" s="33"/>
    </row>
    <row r="794" ht="15.75" customHeight="1">
      <c r="D794" s="33"/>
      <c r="H794" s="33"/>
      <c r="I794" s="33"/>
      <c r="J794" s="33"/>
      <c r="K794" s="33"/>
      <c r="L794" s="33"/>
      <c r="M794" s="33"/>
      <c r="N794" s="33"/>
      <c r="O794" s="33"/>
      <c r="P794" s="71"/>
      <c r="Q794" s="33"/>
      <c r="S794" s="33"/>
      <c r="T794" s="35"/>
      <c r="U794" s="33"/>
    </row>
    <row r="795" ht="15.75" customHeight="1">
      <c r="D795" s="33"/>
      <c r="H795" s="33"/>
      <c r="I795" s="33"/>
      <c r="J795" s="33"/>
      <c r="K795" s="33"/>
      <c r="L795" s="33"/>
      <c r="M795" s="33"/>
      <c r="N795" s="33"/>
      <c r="O795" s="33"/>
      <c r="P795" s="71"/>
      <c r="Q795" s="33"/>
      <c r="S795" s="33"/>
      <c r="T795" s="35"/>
      <c r="U795" s="33"/>
    </row>
    <row r="796" ht="15.75" customHeight="1">
      <c r="D796" s="33"/>
      <c r="H796" s="33"/>
      <c r="I796" s="33"/>
      <c r="J796" s="33"/>
      <c r="K796" s="33"/>
      <c r="L796" s="33"/>
      <c r="M796" s="33"/>
      <c r="N796" s="33"/>
      <c r="O796" s="33"/>
      <c r="P796" s="71"/>
      <c r="Q796" s="33"/>
      <c r="S796" s="33"/>
      <c r="T796" s="35"/>
      <c r="U796" s="33"/>
    </row>
    <row r="797" ht="15.75" customHeight="1">
      <c r="D797" s="33"/>
      <c r="H797" s="33"/>
      <c r="I797" s="33"/>
      <c r="J797" s="33"/>
      <c r="K797" s="33"/>
      <c r="L797" s="33"/>
      <c r="M797" s="33"/>
      <c r="N797" s="33"/>
      <c r="O797" s="33"/>
      <c r="P797" s="71"/>
      <c r="Q797" s="33"/>
      <c r="S797" s="33"/>
      <c r="T797" s="35"/>
      <c r="U797" s="33"/>
    </row>
    <row r="798" ht="15.75" customHeight="1">
      <c r="D798" s="33"/>
      <c r="H798" s="33"/>
      <c r="I798" s="33"/>
      <c r="J798" s="33"/>
      <c r="K798" s="33"/>
      <c r="L798" s="33"/>
      <c r="M798" s="33"/>
      <c r="N798" s="33"/>
      <c r="O798" s="33"/>
      <c r="P798" s="71"/>
      <c r="Q798" s="33"/>
      <c r="S798" s="33"/>
      <c r="T798" s="35"/>
      <c r="U798" s="33"/>
    </row>
    <row r="799" ht="15.75" customHeight="1">
      <c r="D799" s="33"/>
      <c r="H799" s="33"/>
      <c r="I799" s="33"/>
      <c r="J799" s="33"/>
      <c r="K799" s="33"/>
      <c r="L799" s="33"/>
      <c r="M799" s="33"/>
      <c r="N799" s="33"/>
      <c r="O799" s="33"/>
      <c r="P799" s="71"/>
      <c r="Q799" s="33"/>
      <c r="S799" s="33"/>
      <c r="T799" s="35"/>
      <c r="U799" s="33"/>
    </row>
    <row r="800" ht="15.75" customHeight="1">
      <c r="D800" s="33"/>
      <c r="H800" s="33"/>
      <c r="I800" s="33"/>
      <c r="J800" s="33"/>
      <c r="K800" s="33"/>
      <c r="L800" s="33"/>
      <c r="M800" s="33"/>
      <c r="N800" s="33"/>
      <c r="O800" s="33"/>
      <c r="P800" s="71"/>
      <c r="Q800" s="33"/>
      <c r="S800" s="33"/>
      <c r="T800" s="35"/>
      <c r="U800" s="33"/>
    </row>
    <row r="801" ht="15.75" customHeight="1">
      <c r="D801" s="33"/>
      <c r="H801" s="33"/>
      <c r="I801" s="33"/>
      <c r="J801" s="33"/>
      <c r="K801" s="33"/>
      <c r="L801" s="33"/>
      <c r="M801" s="33"/>
      <c r="N801" s="33"/>
      <c r="O801" s="33"/>
      <c r="P801" s="71"/>
      <c r="Q801" s="33"/>
      <c r="S801" s="33"/>
      <c r="T801" s="35"/>
      <c r="U801" s="33"/>
    </row>
    <row r="802" ht="15.75" customHeight="1">
      <c r="D802" s="33"/>
      <c r="H802" s="33"/>
      <c r="I802" s="33"/>
      <c r="J802" s="33"/>
      <c r="K802" s="33"/>
      <c r="L802" s="33"/>
      <c r="M802" s="33"/>
      <c r="N802" s="33"/>
      <c r="O802" s="33"/>
      <c r="P802" s="71"/>
      <c r="Q802" s="33"/>
      <c r="S802" s="33"/>
      <c r="T802" s="35"/>
      <c r="U802" s="33"/>
    </row>
    <row r="803" ht="15.75" customHeight="1">
      <c r="D803" s="33"/>
      <c r="H803" s="33"/>
      <c r="I803" s="33"/>
      <c r="J803" s="33"/>
      <c r="K803" s="33"/>
      <c r="L803" s="33"/>
      <c r="M803" s="33"/>
      <c r="N803" s="33"/>
      <c r="O803" s="33"/>
      <c r="P803" s="71"/>
      <c r="Q803" s="33"/>
      <c r="S803" s="33"/>
      <c r="T803" s="35"/>
      <c r="U803" s="33"/>
    </row>
    <row r="804" ht="15.75" customHeight="1">
      <c r="D804" s="33"/>
      <c r="H804" s="33"/>
      <c r="I804" s="33"/>
      <c r="J804" s="33"/>
      <c r="K804" s="33"/>
      <c r="L804" s="33"/>
      <c r="M804" s="33"/>
      <c r="N804" s="33"/>
      <c r="O804" s="33"/>
      <c r="P804" s="71"/>
      <c r="Q804" s="33"/>
      <c r="S804" s="33"/>
      <c r="T804" s="35"/>
      <c r="U804" s="33"/>
    </row>
    <row r="805" ht="15.75" customHeight="1">
      <c r="D805" s="33"/>
      <c r="H805" s="33"/>
      <c r="I805" s="33"/>
      <c r="J805" s="33"/>
      <c r="K805" s="33"/>
      <c r="L805" s="33"/>
      <c r="M805" s="33"/>
      <c r="N805" s="33"/>
      <c r="O805" s="33"/>
      <c r="P805" s="71"/>
      <c r="Q805" s="33"/>
      <c r="S805" s="33"/>
      <c r="T805" s="35"/>
      <c r="U805" s="33"/>
    </row>
    <row r="806" ht="15.75" customHeight="1">
      <c r="D806" s="33"/>
      <c r="H806" s="33"/>
      <c r="I806" s="33"/>
      <c r="J806" s="33"/>
      <c r="K806" s="33"/>
      <c r="L806" s="33"/>
      <c r="M806" s="33"/>
      <c r="N806" s="33"/>
      <c r="O806" s="33"/>
      <c r="P806" s="71"/>
      <c r="Q806" s="33"/>
      <c r="S806" s="33"/>
      <c r="T806" s="35"/>
      <c r="U806" s="33"/>
    </row>
    <row r="807" ht="15.75" customHeight="1">
      <c r="D807" s="33"/>
      <c r="H807" s="33"/>
      <c r="I807" s="33"/>
      <c r="J807" s="33"/>
      <c r="K807" s="33"/>
      <c r="L807" s="33"/>
      <c r="M807" s="33"/>
      <c r="N807" s="33"/>
      <c r="O807" s="33"/>
      <c r="P807" s="71"/>
      <c r="Q807" s="33"/>
      <c r="S807" s="33"/>
      <c r="T807" s="35"/>
      <c r="U807" s="33"/>
    </row>
    <row r="808" ht="15.75" customHeight="1">
      <c r="D808" s="33"/>
      <c r="H808" s="33"/>
      <c r="I808" s="33"/>
      <c r="J808" s="33"/>
      <c r="K808" s="33"/>
      <c r="L808" s="33"/>
      <c r="M808" s="33"/>
      <c r="N808" s="33"/>
      <c r="O808" s="33"/>
      <c r="P808" s="71"/>
      <c r="Q808" s="33"/>
      <c r="S808" s="33"/>
      <c r="T808" s="35"/>
      <c r="U808" s="33"/>
    </row>
    <row r="809" ht="15.75" customHeight="1">
      <c r="D809" s="33"/>
      <c r="H809" s="33"/>
      <c r="I809" s="33"/>
      <c r="J809" s="33"/>
      <c r="K809" s="33"/>
      <c r="L809" s="33"/>
      <c r="M809" s="33"/>
      <c r="N809" s="33"/>
      <c r="O809" s="33"/>
      <c r="P809" s="71"/>
      <c r="Q809" s="33"/>
      <c r="S809" s="33"/>
      <c r="T809" s="35"/>
      <c r="U809" s="33"/>
    </row>
    <row r="810" ht="15.75" customHeight="1">
      <c r="D810" s="33"/>
      <c r="H810" s="33"/>
      <c r="I810" s="33"/>
      <c r="J810" s="33"/>
      <c r="K810" s="33"/>
      <c r="L810" s="33"/>
      <c r="M810" s="33"/>
      <c r="N810" s="33"/>
      <c r="O810" s="33"/>
      <c r="P810" s="71"/>
      <c r="Q810" s="33"/>
      <c r="S810" s="33"/>
      <c r="T810" s="35"/>
      <c r="U810" s="33"/>
    </row>
    <row r="811" ht="15.75" customHeight="1">
      <c r="D811" s="33"/>
      <c r="H811" s="33"/>
      <c r="I811" s="33"/>
      <c r="J811" s="33"/>
      <c r="K811" s="33"/>
      <c r="L811" s="33"/>
      <c r="M811" s="33"/>
      <c r="N811" s="33"/>
      <c r="O811" s="33"/>
      <c r="P811" s="71"/>
      <c r="Q811" s="33"/>
      <c r="S811" s="33"/>
      <c r="T811" s="35"/>
      <c r="U811" s="33"/>
    </row>
    <row r="812" ht="15.75" customHeight="1">
      <c r="D812" s="33"/>
      <c r="H812" s="33"/>
      <c r="I812" s="33"/>
      <c r="J812" s="33"/>
      <c r="K812" s="33"/>
      <c r="L812" s="33"/>
      <c r="M812" s="33"/>
      <c r="N812" s="33"/>
      <c r="O812" s="33"/>
      <c r="P812" s="71"/>
      <c r="Q812" s="33"/>
      <c r="S812" s="33"/>
      <c r="T812" s="35"/>
      <c r="U812" s="33"/>
    </row>
    <row r="813" ht="15.75" customHeight="1">
      <c r="D813" s="33"/>
      <c r="H813" s="33"/>
      <c r="I813" s="33"/>
      <c r="J813" s="33"/>
      <c r="K813" s="33"/>
      <c r="L813" s="33"/>
      <c r="M813" s="33"/>
      <c r="N813" s="33"/>
      <c r="O813" s="33"/>
      <c r="P813" s="71"/>
      <c r="Q813" s="33"/>
      <c r="S813" s="33"/>
      <c r="T813" s="35"/>
      <c r="U813" s="33"/>
    </row>
    <row r="814" ht="15.75" customHeight="1">
      <c r="D814" s="33"/>
      <c r="H814" s="33"/>
      <c r="I814" s="33"/>
      <c r="J814" s="33"/>
      <c r="K814" s="33"/>
      <c r="L814" s="33"/>
      <c r="M814" s="33"/>
      <c r="N814" s="33"/>
      <c r="O814" s="33"/>
      <c r="P814" s="71"/>
      <c r="Q814" s="33"/>
      <c r="S814" s="33"/>
      <c r="T814" s="35"/>
      <c r="U814" s="33"/>
    </row>
    <row r="815" ht="15.75" customHeight="1">
      <c r="D815" s="33"/>
      <c r="H815" s="33"/>
      <c r="I815" s="33"/>
      <c r="J815" s="33"/>
      <c r="K815" s="33"/>
      <c r="L815" s="33"/>
      <c r="M815" s="33"/>
      <c r="N815" s="33"/>
      <c r="O815" s="33"/>
      <c r="P815" s="71"/>
      <c r="Q815" s="33"/>
      <c r="S815" s="33"/>
      <c r="T815" s="35"/>
      <c r="U815" s="33"/>
    </row>
    <row r="816" ht="15.75" customHeight="1">
      <c r="D816" s="33"/>
      <c r="H816" s="33"/>
      <c r="I816" s="33"/>
      <c r="J816" s="33"/>
      <c r="K816" s="33"/>
      <c r="L816" s="33"/>
      <c r="M816" s="33"/>
      <c r="N816" s="33"/>
      <c r="O816" s="33"/>
      <c r="P816" s="71"/>
      <c r="Q816" s="33"/>
      <c r="S816" s="33"/>
      <c r="T816" s="35"/>
      <c r="U816" s="33"/>
    </row>
    <row r="817" ht="15.75" customHeight="1">
      <c r="D817" s="33"/>
      <c r="H817" s="33"/>
      <c r="I817" s="33"/>
      <c r="J817" s="33"/>
      <c r="K817" s="33"/>
      <c r="L817" s="33"/>
      <c r="M817" s="33"/>
      <c r="N817" s="33"/>
      <c r="O817" s="33"/>
      <c r="P817" s="71"/>
      <c r="Q817" s="33"/>
      <c r="S817" s="33"/>
      <c r="T817" s="35"/>
      <c r="U817" s="33"/>
    </row>
    <row r="818" ht="15.75" customHeight="1">
      <c r="D818" s="33"/>
      <c r="H818" s="33"/>
      <c r="I818" s="33"/>
      <c r="J818" s="33"/>
      <c r="K818" s="33"/>
      <c r="L818" s="33"/>
      <c r="M818" s="33"/>
      <c r="N818" s="33"/>
      <c r="O818" s="33"/>
      <c r="P818" s="71"/>
      <c r="Q818" s="33"/>
      <c r="S818" s="33"/>
      <c r="T818" s="35"/>
      <c r="U818" s="33"/>
    </row>
    <row r="819" ht="15.75" customHeight="1">
      <c r="D819" s="33"/>
      <c r="H819" s="33"/>
      <c r="I819" s="33"/>
      <c r="J819" s="33"/>
      <c r="K819" s="33"/>
      <c r="L819" s="33"/>
      <c r="M819" s="33"/>
      <c r="N819" s="33"/>
      <c r="O819" s="33"/>
      <c r="P819" s="71"/>
      <c r="Q819" s="33"/>
      <c r="S819" s="33"/>
      <c r="T819" s="35"/>
      <c r="U819" s="33"/>
    </row>
    <row r="820" ht="15.75" customHeight="1">
      <c r="D820" s="33"/>
      <c r="H820" s="33"/>
      <c r="I820" s="33"/>
      <c r="J820" s="33"/>
      <c r="K820" s="33"/>
      <c r="L820" s="33"/>
      <c r="M820" s="33"/>
      <c r="N820" s="33"/>
      <c r="O820" s="33"/>
      <c r="P820" s="71"/>
      <c r="Q820" s="33"/>
      <c r="S820" s="33"/>
      <c r="T820" s="35"/>
      <c r="U820" s="33"/>
    </row>
    <row r="821" ht="15.75" customHeight="1">
      <c r="D821" s="33"/>
      <c r="H821" s="33"/>
      <c r="I821" s="33"/>
      <c r="J821" s="33"/>
      <c r="K821" s="33"/>
      <c r="L821" s="33"/>
      <c r="M821" s="33"/>
      <c r="N821" s="33"/>
      <c r="O821" s="33"/>
      <c r="P821" s="71"/>
      <c r="Q821" s="33"/>
      <c r="S821" s="33"/>
      <c r="T821" s="35"/>
      <c r="U821" s="33"/>
    </row>
    <row r="822" ht="15.75" customHeight="1">
      <c r="D822" s="33"/>
      <c r="H822" s="33"/>
      <c r="I822" s="33"/>
      <c r="J822" s="33"/>
      <c r="K822" s="33"/>
      <c r="L822" s="33"/>
      <c r="M822" s="33"/>
      <c r="N822" s="33"/>
      <c r="O822" s="33"/>
      <c r="P822" s="71"/>
      <c r="Q822" s="33"/>
      <c r="S822" s="33"/>
      <c r="T822" s="35"/>
      <c r="U822" s="33"/>
    </row>
    <row r="823" ht="15.75" customHeight="1">
      <c r="D823" s="33"/>
      <c r="H823" s="33"/>
      <c r="I823" s="33"/>
      <c r="J823" s="33"/>
      <c r="K823" s="33"/>
      <c r="L823" s="33"/>
      <c r="M823" s="33"/>
      <c r="N823" s="33"/>
      <c r="O823" s="33"/>
      <c r="P823" s="71"/>
      <c r="Q823" s="33"/>
      <c r="S823" s="33"/>
      <c r="T823" s="35"/>
      <c r="U823" s="33"/>
    </row>
    <row r="824" ht="15.75" customHeight="1">
      <c r="D824" s="33"/>
      <c r="H824" s="33"/>
      <c r="I824" s="33"/>
      <c r="J824" s="33"/>
      <c r="K824" s="33"/>
      <c r="L824" s="33"/>
      <c r="M824" s="33"/>
      <c r="N824" s="33"/>
      <c r="O824" s="33"/>
      <c r="P824" s="71"/>
      <c r="Q824" s="33"/>
      <c r="S824" s="33"/>
      <c r="T824" s="35"/>
      <c r="U824" s="33"/>
    </row>
    <row r="825" ht="15.75" customHeight="1">
      <c r="D825" s="33"/>
      <c r="H825" s="33"/>
      <c r="I825" s="33"/>
      <c r="J825" s="33"/>
      <c r="K825" s="33"/>
      <c r="L825" s="33"/>
      <c r="M825" s="33"/>
      <c r="N825" s="33"/>
      <c r="O825" s="33"/>
      <c r="P825" s="71"/>
      <c r="Q825" s="33"/>
      <c r="S825" s="33"/>
      <c r="T825" s="35"/>
      <c r="U825" s="33"/>
    </row>
    <row r="826" ht="15.75" customHeight="1">
      <c r="D826" s="33"/>
      <c r="H826" s="33"/>
      <c r="I826" s="33"/>
      <c r="J826" s="33"/>
      <c r="K826" s="33"/>
      <c r="L826" s="33"/>
      <c r="M826" s="33"/>
      <c r="N826" s="33"/>
      <c r="O826" s="33"/>
      <c r="P826" s="71"/>
      <c r="Q826" s="33"/>
      <c r="S826" s="33"/>
      <c r="T826" s="35"/>
      <c r="U826" s="33"/>
    </row>
    <row r="827" ht="15.75" customHeight="1">
      <c r="D827" s="33"/>
      <c r="H827" s="33"/>
      <c r="I827" s="33"/>
      <c r="J827" s="33"/>
      <c r="K827" s="33"/>
      <c r="L827" s="33"/>
      <c r="M827" s="33"/>
      <c r="N827" s="33"/>
      <c r="O827" s="33"/>
      <c r="P827" s="71"/>
      <c r="Q827" s="33"/>
      <c r="S827" s="33"/>
      <c r="T827" s="35"/>
      <c r="U827" s="33"/>
    </row>
    <row r="828" ht="15.75" customHeight="1">
      <c r="D828" s="33"/>
      <c r="H828" s="33"/>
      <c r="I828" s="33"/>
      <c r="J828" s="33"/>
      <c r="K828" s="33"/>
      <c r="L828" s="33"/>
      <c r="M828" s="33"/>
      <c r="N828" s="33"/>
      <c r="O828" s="33"/>
      <c r="P828" s="71"/>
      <c r="Q828" s="33"/>
      <c r="S828" s="33"/>
      <c r="T828" s="35"/>
      <c r="U828" s="33"/>
    </row>
    <row r="829" ht="15.75" customHeight="1">
      <c r="D829" s="33"/>
      <c r="H829" s="33"/>
      <c r="I829" s="33"/>
      <c r="J829" s="33"/>
      <c r="K829" s="33"/>
      <c r="L829" s="33"/>
      <c r="M829" s="33"/>
      <c r="N829" s="33"/>
      <c r="O829" s="33"/>
      <c r="P829" s="71"/>
      <c r="Q829" s="33"/>
      <c r="S829" s="33"/>
      <c r="T829" s="35"/>
      <c r="U829" s="33"/>
    </row>
    <row r="830" ht="15.75" customHeight="1">
      <c r="D830" s="33"/>
      <c r="H830" s="33"/>
      <c r="I830" s="33"/>
      <c r="J830" s="33"/>
      <c r="K830" s="33"/>
      <c r="L830" s="33"/>
      <c r="M830" s="33"/>
      <c r="N830" s="33"/>
      <c r="O830" s="33"/>
      <c r="P830" s="71"/>
      <c r="Q830" s="33"/>
      <c r="S830" s="33"/>
      <c r="T830" s="35"/>
      <c r="U830" s="33"/>
    </row>
    <row r="831" ht="15.75" customHeight="1">
      <c r="D831" s="33"/>
      <c r="H831" s="33"/>
      <c r="I831" s="33"/>
      <c r="J831" s="33"/>
      <c r="K831" s="33"/>
      <c r="L831" s="33"/>
      <c r="M831" s="33"/>
      <c r="N831" s="33"/>
      <c r="O831" s="33"/>
      <c r="P831" s="71"/>
      <c r="Q831" s="33"/>
      <c r="S831" s="33"/>
      <c r="T831" s="35"/>
      <c r="U831" s="33"/>
    </row>
    <row r="832" ht="15.75" customHeight="1">
      <c r="D832" s="33"/>
      <c r="H832" s="33"/>
      <c r="I832" s="33"/>
      <c r="J832" s="33"/>
      <c r="K832" s="33"/>
      <c r="L832" s="33"/>
      <c r="M832" s="33"/>
      <c r="N832" s="33"/>
      <c r="O832" s="33"/>
      <c r="P832" s="71"/>
      <c r="Q832" s="33"/>
      <c r="S832" s="33"/>
      <c r="T832" s="35"/>
      <c r="U832" s="33"/>
    </row>
    <row r="833" ht="15.75" customHeight="1">
      <c r="D833" s="33"/>
      <c r="H833" s="33"/>
      <c r="I833" s="33"/>
      <c r="J833" s="33"/>
      <c r="K833" s="33"/>
      <c r="L833" s="33"/>
      <c r="M833" s="33"/>
      <c r="N833" s="33"/>
      <c r="O833" s="33"/>
      <c r="P833" s="71"/>
      <c r="Q833" s="33"/>
      <c r="S833" s="33"/>
      <c r="T833" s="35"/>
      <c r="U833" s="33"/>
    </row>
    <row r="834" ht="15.75" customHeight="1">
      <c r="D834" s="33"/>
      <c r="H834" s="33"/>
      <c r="I834" s="33"/>
      <c r="J834" s="33"/>
      <c r="K834" s="33"/>
      <c r="L834" s="33"/>
      <c r="M834" s="33"/>
      <c r="N834" s="33"/>
      <c r="O834" s="33"/>
      <c r="P834" s="71"/>
      <c r="Q834" s="33"/>
      <c r="S834" s="33"/>
      <c r="T834" s="35"/>
      <c r="U834" s="33"/>
    </row>
    <row r="835" ht="15.75" customHeight="1">
      <c r="D835" s="33"/>
      <c r="H835" s="33"/>
      <c r="I835" s="33"/>
      <c r="J835" s="33"/>
      <c r="K835" s="33"/>
      <c r="L835" s="33"/>
      <c r="M835" s="33"/>
      <c r="N835" s="33"/>
      <c r="O835" s="33"/>
      <c r="P835" s="71"/>
      <c r="Q835" s="33"/>
      <c r="S835" s="33"/>
      <c r="T835" s="35"/>
      <c r="U835" s="33"/>
    </row>
    <row r="836" ht="15.75" customHeight="1">
      <c r="D836" s="33"/>
      <c r="H836" s="33"/>
      <c r="I836" s="33"/>
      <c r="J836" s="33"/>
      <c r="K836" s="33"/>
      <c r="L836" s="33"/>
      <c r="M836" s="33"/>
      <c r="N836" s="33"/>
      <c r="O836" s="33"/>
      <c r="P836" s="71"/>
      <c r="Q836" s="33"/>
      <c r="S836" s="33"/>
      <c r="T836" s="35"/>
      <c r="U836" s="33"/>
    </row>
    <row r="837" ht="15.75" customHeight="1">
      <c r="D837" s="33"/>
      <c r="H837" s="33"/>
      <c r="I837" s="33"/>
      <c r="J837" s="33"/>
      <c r="K837" s="33"/>
      <c r="L837" s="33"/>
      <c r="M837" s="33"/>
      <c r="N837" s="33"/>
      <c r="O837" s="33"/>
      <c r="P837" s="71"/>
      <c r="Q837" s="33"/>
      <c r="S837" s="33"/>
      <c r="T837" s="35"/>
      <c r="U837" s="33"/>
    </row>
    <row r="838" ht="15.75" customHeight="1">
      <c r="D838" s="33"/>
      <c r="H838" s="33"/>
      <c r="I838" s="33"/>
      <c r="J838" s="33"/>
      <c r="K838" s="33"/>
      <c r="L838" s="33"/>
      <c r="M838" s="33"/>
      <c r="N838" s="33"/>
      <c r="O838" s="33"/>
      <c r="P838" s="71"/>
      <c r="Q838" s="33"/>
      <c r="S838" s="33"/>
      <c r="T838" s="35"/>
      <c r="U838" s="33"/>
    </row>
    <row r="839" ht="15.75" customHeight="1">
      <c r="D839" s="33"/>
      <c r="H839" s="33"/>
      <c r="I839" s="33"/>
      <c r="J839" s="33"/>
      <c r="K839" s="33"/>
      <c r="L839" s="33"/>
      <c r="M839" s="33"/>
      <c r="N839" s="33"/>
      <c r="O839" s="33"/>
      <c r="P839" s="71"/>
      <c r="Q839" s="33"/>
      <c r="S839" s="33"/>
      <c r="T839" s="35"/>
      <c r="U839" s="33"/>
    </row>
    <row r="840" ht="15.75" customHeight="1">
      <c r="D840" s="33"/>
      <c r="H840" s="33"/>
      <c r="I840" s="33"/>
      <c r="J840" s="33"/>
      <c r="K840" s="33"/>
      <c r="L840" s="33"/>
      <c r="M840" s="33"/>
      <c r="N840" s="33"/>
      <c r="O840" s="33"/>
      <c r="P840" s="71"/>
      <c r="Q840" s="33"/>
      <c r="S840" s="33"/>
      <c r="T840" s="35"/>
      <c r="U840" s="33"/>
    </row>
    <row r="841" ht="15.75" customHeight="1">
      <c r="D841" s="33"/>
      <c r="H841" s="33"/>
      <c r="I841" s="33"/>
      <c r="J841" s="33"/>
      <c r="K841" s="33"/>
      <c r="L841" s="33"/>
      <c r="M841" s="33"/>
      <c r="N841" s="33"/>
      <c r="O841" s="33"/>
      <c r="P841" s="71"/>
      <c r="Q841" s="33"/>
      <c r="S841" s="33"/>
      <c r="T841" s="35"/>
      <c r="U841" s="33"/>
    </row>
    <row r="842" ht="15.75" customHeight="1">
      <c r="D842" s="33"/>
      <c r="H842" s="33"/>
      <c r="I842" s="33"/>
      <c r="J842" s="33"/>
      <c r="K842" s="33"/>
      <c r="L842" s="33"/>
      <c r="M842" s="33"/>
      <c r="N842" s="33"/>
      <c r="O842" s="33"/>
      <c r="P842" s="71"/>
      <c r="Q842" s="33"/>
      <c r="S842" s="33"/>
      <c r="T842" s="35"/>
      <c r="U842" s="33"/>
    </row>
    <row r="843" ht="15.75" customHeight="1">
      <c r="D843" s="33"/>
      <c r="H843" s="33"/>
      <c r="I843" s="33"/>
      <c r="J843" s="33"/>
      <c r="K843" s="33"/>
      <c r="L843" s="33"/>
      <c r="M843" s="33"/>
      <c r="N843" s="33"/>
      <c r="O843" s="33"/>
      <c r="P843" s="71"/>
      <c r="Q843" s="33"/>
      <c r="S843" s="33"/>
      <c r="T843" s="35"/>
      <c r="U843" s="33"/>
    </row>
    <row r="844" ht="15.75" customHeight="1">
      <c r="D844" s="33"/>
      <c r="H844" s="33"/>
      <c r="I844" s="33"/>
      <c r="J844" s="33"/>
      <c r="K844" s="33"/>
      <c r="L844" s="33"/>
      <c r="M844" s="33"/>
      <c r="N844" s="33"/>
      <c r="O844" s="33"/>
      <c r="P844" s="71"/>
      <c r="Q844" s="33"/>
      <c r="S844" s="33"/>
      <c r="T844" s="35"/>
      <c r="U844" s="33"/>
    </row>
    <row r="845" ht="15.75" customHeight="1">
      <c r="D845" s="33"/>
      <c r="H845" s="33"/>
      <c r="I845" s="33"/>
      <c r="J845" s="33"/>
      <c r="K845" s="33"/>
      <c r="L845" s="33"/>
      <c r="M845" s="33"/>
      <c r="N845" s="33"/>
      <c r="O845" s="33"/>
      <c r="P845" s="71"/>
      <c r="Q845" s="33"/>
      <c r="S845" s="33"/>
      <c r="T845" s="35"/>
      <c r="U845" s="33"/>
    </row>
    <row r="846" ht="15.75" customHeight="1">
      <c r="D846" s="33"/>
      <c r="H846" s="33"/>
      <c r="I846" s="33"/>
      <c r="J846" s="33"/>
      <c r="K846" s="33"/>
      <c r="L846" s="33"/>
      <c r="M846" s="33"/>
      <c r="N846" s="33"/>
      <c r="O846" s="33"/>
      <c r="P846" s="71"/>
      <c r="Q846" s="33"/>
      <c r="S846" s="33"/>
      <c r="T846" s="35"/>
      <c r="U846" s="33"/>
    </row>
    <row r="847" ht="15.75" customHeight="1">
      <c r="D847" s="33"/>
      <c r="H847" s="33"/>
      <c r="I847" s="33"/>
      <c r="J847" s="33"/>
      <c r="K847" s="33"/>
      <c r="L847" s="33"/>
      <c r="M847" s="33"/>
      <c r="N847" s="33"/>
      <c r="O847" s="33"/>
      <c r="P847" s="71"/>
      <c r="Q847" s="33"/>
      <c r="S847" s="33"/>
      <c r="T847" s="35"/>
      <c r="U847" s="33"/>
    </row>
    <row r="848" ht="15.75" customHeight="1">
      <c r="D848" s="33"/>
      <c r="H848" s="33"/>
      <c r="I848" s="33"/>
      <c r="J848" s="33"/>
      <c r="K848" s="33"/>
      <c r="L848" s="33"/>
      <c r="M848" s="33"/>
      <c r="N848" s="33"/>
      <c r="O848" s="33"/>
      <c r="P848" s="71"/>
      <c r="Q848" s="33"/>
      <c r="S848" s="33"/>
      <c r="T848" s="35"/>
      <c r="U848" s="33"/>
    </row>
    <row r="849" ht="15.75" customHeight="1">
      <c r="D849" s="33"/>
      <c r="H849" s="33"/>
      <c r="I849" s="33"/>
      <c r="J849" s="33"/>
      <c r="K849" s="33"/>
      <c r="L849" s="33"/>
      <c r="M849" s="33"/>
      <c r="N849" s="33"/>
      <c r="O849" s="33"/>
      <c r="P849" s="71"/>
      <c r="Q849" s="33"/>
      <c r="S849" s="33"/>
      <c r="T849" s="35"/>
      <c r="U849" s="33"/>
    </row>
    <row r="850" ht="15.75" customHeight="1">
      <c r="D850" s="33"/>
      <c r="H850" s="33"/>
      <c r="I850" s="33"/>
      <c r="J850" s="33"/>
      <c r="K850" s="33"/>
      <c r="L850" s="33"/>
      <c r="M850" s="33"/>
      <c r="N850" s="33"/>
      <c r="O850" s="33"/>
      <c r="P850" s="71"/>
      <c r="Q850" s="33"/>
      <c r="S850" s="33"/>
      <c r="T850" s="35"/>
      <c r="U850" s="33"/>
    </row>
    <row r="851" ht="15.75" customHeight="1">
      <c r="D851" s="33"/>
      <c r="H851" s="33"/>
      <c r="I851" s="33"/>
      <c r="J851" s="33"/>
      <c r="K851" s="33"/>
      <c r="L851" s="33"/>
      <c r="M851" s="33"/>
      <c r="N851" s="33"/>
      <c r="O851" s="33"/>
      <c r="P851" s="71"/>
      <c r="Q851" s="33"/>
      <c r="S851" s="33"/>
      <c r="T851" s="35"/>
      <c r="U851" s="33"/>
    </row>
    <row r="852" ht="15.75" customHeight="1">
      <c r="D852" s="33"/>
      <c r="H852" s="33"/>
      <c r="I852" s="33"/>
      <c r="J852" s="33"/>
      <c r="K852" s="33"/>
      <c r="L852" s="33"/>
      <c r="M852" s="33"/>
      <c r="N852" s="33"/>
      <c r="O852" s="33"/>
      <c r="P852" s="71"/>
      <c r="Q852" s="33"/>
      <c r="S852" s="33"/>
      <c r="T852" s="35"/>
      <c r="U852" s="33"/>
    </row>
    <row r="853" ht="15.75" customHeight="1">
      <c r="D853" s="33"/>
      <c r="H853" s="33"/>
      <c r="I853" s="33"/>
      <c r="J853" s="33"/>
      <c r="K853" s="33"/>
      <c r="L853" s="33"/>
      <c r="M853" s="33"/>
      <c r="N853" s="33"/>
      <c r="O853" s="33"/>
      <c r="P853" s="71"/>
      <c r="Q853" s="33"/>
      <c r="S853" s="33"/>
      <c r="T853" s="35"/>
      <c r="U853" s="33"/>
    </row>
    <row r="854" ht="15.75" customHeight="1">
      <c r="D854" s="33"/>
      <c r="H854" s="33"/>
      <c r="I854" s="33"/>
      <c r="J854" s="33"/>
      <c r="K854" s="33"/>
      <c r="L854" s="33"/>
      <c r="M854" s="33"/>
      <c r="N854" s="33"/>
      <c r="O854" s="33"/>
      <c r="P854" s="71"/>
      <c r="Q854" s="33"/>
      <c r="S854" s="33"/>
      <c r="T854" s="35"/>
      <c r="U854" s="33"/>
    </row>
    <row r="855" ht="15.75" customHeight="1">
      <c r="D855" s="33"/>
      <c r="H855" s="33"/>
      <c r="I855" s="33"/>
      <c r="J855" s="33"/>
      <c r="K855" s="33"/>
      <c r="L855" s="33"/>
      <c r="M855" s="33"/>
      <c r="N855" s="33"/>
      <c r="O855" s="33"/>
      <c r="P855" s="71"/>
      <c r="Q855" s="33"/>
      <c r="S855" s="33"/>
      <c r="T855" s="35"/>
      <c r="U855" s="33"/>
    </row>
    <row r="856" ht="15.75" customHeight="1">
      <c r="D856" s="33"/>
      <c r="H856" s="33"/>
      <c r="I856" s="33"/>
      <c r="J856" s="33"/>
      <c r="K856" s="33"/>
      <c r="L856" s="33"/>
      <c r="M856" s="33"/>
      <c r="N856" s="33"/>
      <c r="O856" s="33"/>
      <c r="P856" s="71"/>
      <c r="Q856" s="33"/>
      <c r="S856" s="33"/>
      <c r="T856" s="35"/>
      <c r="U856" s="33"/>
    </row>
    <row r="857" ht="15.75" customHeight="1">
      <c r="D857" s="33"/>
      <c r="H857" s="33"/>
      <c r="I857" s="33"/>
      <c r="J857" s="33"/>
      <c r="K857" s="33"/>
      <c r="L857" s="33"/>
      <c r="M857" s="33"/>
      <c r="N857" s="33"/>
      <c r="O857" s="33"/>
      <c r="P857" s="71"/>
      <c r="Q857" s="33"/>
      <c r="S857" s="33"/>
      <c r="T857" s="35"/>
      <c r="U857" s="33"/>
    </row>
    <row r="858" ht="15.75" customHeight="1">
      <c r="D858" s="33"/>
      <c r="H858" s="33"/>
      <c r="I858" s="33"/>
      <c r="J858" s="33"/>
      <c r="K858" s="33"/>
      <c r="L858" s="33"/>
      <c r="M858" s="33"/>
      <c r="N858" s="33"/>
      <c r="O858" s="33"/>
      <c r="P858" s="71"/>
      <c r="Q858" s="33"/>
      <c r="S858" s="33"/>
      <c r="T858" s="35"/>
      <c r="U858" s="33"/>
    </row>
    <row r="859" ht="15.75" customHeight="1">
      <c r="D859" s="33"/>
      <c r="H859" s="33"/>
      <c r="I859" s="33"/>
      <c r="J859" s="33"/>
      <c r="K859" s="33"/>
      <c r="L859" s="33"/>
      <c r="M859" s="33"/>
      <c r="N859" s="33"/>
      <c r="O859" s="33"/>
      <c r="P859" s="71"/>
      <c r="Q859" s="33"/>
      <c r="S859" s="33"/>
      <c r="T859" s="35"/>
      <c r="U859" s="33"/>
    </row>
    <row r="860" ht="15.75" customHeight="1">
      <c r="D860" s="33"/>
      <c r="H860" s="33"/>
      <c r="I860" s="33"/>
      <c r="J860" s="33"/>
      <c r="K860" s="33"/>
      <c r="L860" s="33"/>
      <c r="M860" s="33"/>
      <c r="N860" s="33"/>
      <c r="O860" s="33"/>
      <c r="P860" s="71"/>
      <c r="Q860" s="33"/>
      <c r="S860" s="33"/>
      <c r="T860" s="35"/>
      <c r="U860" s="33"/>
    </row>
    <row r="861" ht="15.75" customHeight="1">
      <c r="D861" s="33"/>
      <c r="H861" s="33"/>
      <c r="I861" s="33"/>
      <c r="J861" s="33"/>
      <c r="K861" s="33"/>
      <c r="L861" s="33"/>
      <c r="M861" s="33"/>
      <c r="N861" s="33"/>
      <c r="O861" s="33"/>
      <c r="P861" s="71"/>
      <c r="Q861" s="33"/>
      <c r="S861" s="33"/>
      <c r="T861" s="35"/>
      <c r="U861" s="33"/>
    </row>
    <row r="862" ht="15.75" customHeight="1">
      <c r="D862" s="33"/>
      <c r="H862" s="33"/>
      <c r="I862" s="33"/>
      <c r="J862" s="33"/>
      <c r="K862" s="33"/>
      <c r="L862" s="33"/>
      <c r="M862" s="33"/>
      <c r="N862" s="33"/>
      <c r="O862" s="33"/>
      <c r="P862" s="71"/>
      <c r="Q862" s="33"/>
      <c r="S862" s="33"/>
      <c r="T862" s="35"/>
      <c r="U862" s="33"/>
    </row>
    <row r="863" ht="15.75" customHeight="1">
      <c r="D863" s="33"/>
      <c r="H863" s="33"/>
      <c r="I863" s="33"/>
      <c r="J863" s="33"/>
      <c r="K863" s="33"/>
      <c r="L863" s="33"/>
      <c r="M863" s="33"/>
      <c r="N863" s="33"/>
      <c r="O863" s="33"/>
      <c r="P863" s="71"/>
      <c r="Q863" s="33"/>
      <c r="S863" s="33"/>
      <c r="T863" s="35"/>
      <c r="U863" s="33"/>
    </row>
    <row r="864" ht="15.75" customHeight="1">
      <c r="D864" s="33"/>
      <c r="H864" s="33"/>
      <c r="I864" s="33"/>
      <c r="J864" s="33"/>
      <c r="K864" s="33"/>
      <c r="L864" s="33"/>
      <c r="M864" s="33"/>
      <c r="N864" s="33"/>
      <c r="O864" s="33"/>
      <c r="P864" s="71"/>
      <c r="Q864" s="33"/>
      <c r="S864" s="33"/>
      <c r="T864" s="35"/>
      <c r="U864" s="33"/>
    </row>
    <row r="865" ht="15.75" customHeight="1">
      <c r="D865" s="33"/>
      <c r="H865" s="33"/>
      <c r="I865" s="33"/>
      <c r="J865" s="33"/>
      <c r="K865" s="33"/>
      <c r="L865" s="33"/>
      <c r="M865" s="33"/>
      <c r="N865" s="33"/>
      <c r="O865" s="33"/>
      <c r="P865" s="71"/>
      <c r="Q865" s="33"/>
      <c r="S865" s="33"/>
      <c r="T865" s="35"/>
      <c r="U865" s="33"/>
    </row>
    <row r="866" ht="15.75" customHeight="1">
      <c r="D866" s="33"/>
      <c r="H866" s="33"/>
      <c r="I866" s="33"/>
      <c r="J866" s="33"/>
      <c r="K866" s="33"/>
      <c r="L866" s="33"/>
      <c r="M866" s="33"/>
      <c r="N866" s="33"/>
      <c r="O866" s="33"/>
      <c r="P866" s="71"/>
      <c r="Q866" s="33"/>
      <c r="S866" s="33"/>
      <c r="T866" s="35"/>
      <c r="U866" s="33"/>
    </row>
    <row r="867" ht="15.75" customHeight="1">
      <c r="D867" s="33"/>
      <c r="H867" s="33"/>
      <c r="I867" s="33"/>
      <c r="J867" s="33"/>
      <c r="K867" s="33"/>
      <c r="L867" s="33"/>
      <c r="M867" s="33"/>
      <c r="N867" s="33"/>
      <c r="O867" s="33"/>
      <c r="P867" s="71"/>
      <c r="Q867" s="33"/>
      <c r="S867" s="33"/>
      <c r="T867" s="35"/>
      <c r="U867" s="33"/>
    </row>
    <row r="868" ht="15.75" customHeight="1">
      <c r="D868" s="33"/>
      <c r="H868" s="33"/>
      <c r="I868" s="33"/>
      <c r="J868" s="33"/>
      <c r="K868" s="33"/>
      <c r="L868" s="33"/>
      <c r="M868" s="33"/>
      <c r="N868" s="33"/>
      <c r="O868" s="33"/>
      <c r="P868" s="71"/>
      <c r="Q868" s="33"/>
      <c r="S868" s="33"/>
      <c r="T868" s="35"/>
      <c r="U868" s="33"/>
    </row>
    <row r="869" ht="15.75" customHeight="1">
      <c r="D869" s="33"/>
      <c r="H869" s="33"/>
      <c r="I869" s="33"/>
      <c r="J869" s="33"/>
      <c r="K869" s="33"/>
      <c r="L869" s="33"/>
      <c r="M869" s="33"/>
      <c r="N869" s="33"/>
      <c r="O869" s="33"/>
      <c r="P869" s="71"/>
      <c r="Q869" s="33"/>
      <c r="S869" s="33"/>
      <c r="T869" s="35"/>
      <c r="U869" s="33"/>
    </row>
    <row r="870" ht="15.75" customHeight="1">
      <c r="D870" s="33"/>
      <c r="H870" s="33"/>
      <c r="I870" s="33"/>
      <c r="J870" s="33"/>
      <c r="K870" s="33"/>
      <c r="L870" s="33"/>
      <c r="M870" s="33"/>
      <c r="N870" s="33"/>
      <c r="O870" s="33"/>
      <c r="P870" s="71"/>
      <c r="Q870" s="33"/>
      <c r="S870" s="33"/>
      <c r="T870" s="35"/>
      <c r="U870" s="33"/>
    </row>
    <row r="871" ht="15.75" customHeight="1">
      <c r="D871" s="33"/>
      <c r="H871" s="33"/>
      <c r="I871" s="33"/>
      <c r="J871" s="33"/>
      <c r="K871" s="33"/>
      <c r="L871" s="33"/>
      <c r="M871" s="33"/>
      <c r="N871" s="33"/>
      <c r="O871" s="33"/>
      <c r="P871" s="71"/>
      <c r="Q871" s="33"/>
      <c r="S871" s="33"/>
      <c r="T871" s="35"/>
      <c r="U871" s="33"/>
    </row>
    <row r="872" ht="15.75" customHeight="1">
      <c r="D872" s="33"/>
      <c r="H872" s="33"/>
      <c r="I872" s="33"/>
      <c r="J872" s="33"/>
      <c r="K872" s="33"/>
      <c r="L872" s="33"/>
      <c r="M872" s="33"/>
      <c r="N872" s="33"/>
      <c r="O872" s="33"/>
      <c r="P872" s="71"/>
      <c r="Q872" s="33"/>
      <c r="S872" s="33"/>
      <c r="T872" s="35"/>
      <c r="U872" s="33"/>
    </row>
    <row r="873" ht="15.75" customHeight="1">
      <c r="D873" s="33"/>
      <c r="H873" s="33"/>
      <c r="I873" s="33"/>
      <c r="J873" s="33"/>
      <c r="K873" s="33"/>
      <c r="L873" s="33"/>
      <c r="M873" s="33"/>
      <c r="N873" s="33"/>
      <c r="O873" s="33"/>
      <c r="P873" s="71"/>
      <c r="Q873" s="33"/>
      <c r="S873" s="33"/>
      <c r="T873" s="35"/>
      <c r="U873" s="33"/>
    </row>
    <row r="874" ht="15.75" customHeight="1">
      <c r="D874" s="33"/>
      <c r="H874" s="33"/>
      <c r="I874" s="33"/>
      <c r="J874" s="33"/>
      <c r="K874" s="33"/>
      <c r="L874" s="33"/>
      <c r="M874" s="33"/>
      <c r="N874" s="33"/>
      <c r="O874" s="33"/>
      <c r="P874" s="71"/>
      <c r="Q874" s="33"/>
      <c r="S874" s="33"/>
      <c r="T874" s="35"/>
      <c r="U874" s="33"/>
    </row>
    <row r="875" ht="15.75" customHeight="1">
      <c r="D875" s="33"/>
      <c r="H875" s="33"/>
      <c r="I875" s="33"/>
      <c r="J875" s="33"/>
      <c r="K875" s="33"/>
      <c r="L875" s="33"/>
      <c r="M875" s="33"/>
      <c r="N875" s="33"/>
      <c r="O875" s="33"/>
      <c r="P875" s="71"/>
      <c r="Q875" s="33"/>
      <c r="S875" s="33"/>
      <c r="T875" s="35"/>
      <c r="U875" s="33"/>
    </row>
    <row r="876" ht="15.75" customHeight="1">
      <c r="D876" s="33"/>
      <c r="H876" s="33"/>
      <c r="I876" s="33"/>
      <c r="J876" s="33"/>
      <c r="K876" s="33"/>
      <c r="L876" s="33"/>
      <c r="M876" s="33"/>
      <c r="N876" s="33"/>
      <c r="O876" s="33"/>
      <c r="P876" s="71"/>
      <c r="Q876" s="33"/>
      <c r="S876" s="33"/>
      <c r="T876" s="35"/>
      <c r="U876" s="33"/>
    </row>
    <row r="877" ht="15.75" customHeight="1">
      <c r="D877" s="33"/>
      <c r="H877" s="33"/>
      <c r="I877" s="33"/>
      <c r="J877" s="33"/>
      <c r="K877" s="33"/>
      <c r="L877" s="33"/>
      <c r="M877" s="33"/>
      <c r="N877" s="33"/>
      <c r="O877" s="33"/>
      <c r="P877" s="71"/>
      <c r="Q877" s="33"/>
      <c r="S877" s="33"/>
      <c r="T877" s="35"/>
      <c r="U877" s="33"/>
    </row>
    <row r="878" ht="15.75" customHeight="1">
      <c r="D878" s="33"/>
      <c r="H878" s="33"/>
      <c r="I878" s="33"/>
      <c r="J878" s="33"/>
      <c r="K878" s="33"/>
      <c r="L878" s="33"/>
      <c r="M878" s="33"/>
      <c r="N878" s="33"/>
      <c r="O878" s="33"/>
      <c r="P878" s="71"/>
      <c r="Q878" s="33"/>
      <c r="S878" s="33"/>
      <c r="T878" s="35"/>
      <c r="U878" s="33"/>
    </row>
    <row r="879" ht="15.75" customHeight="1">
      <c r="D879" s="33"/>
      <c r="H879" s="33"/>
      <c r="I879" s="33"/>
      <c r="J879" s="33"/>
      <c r="K879" s="33"/>
      <c r="L879" s="33"/>
      <c r="M879" s="33"/>
      <c r="N879" s="33"/>
      <c r="O879" s="33"/>
      <c r="P879" s="71"/>
      <c r="Q879" s="33"/>
      <c r="S879" s="33"/>
      <c r="T879" s="35"/>
      <c r="U879" s="33"/>
    </row>
    <row r="880" ht="15.75" customHeight="1">
      <c r="D880" s="33"/>
      <c r="H880" s="33"/>
      <c r="I880" s="33"/>
      <c r="J880" s="33"/>
      <c r="K880" s="33"/>
      <c r="L880" s="33"/>
      <c r="M880" s="33"/>
      <c r="N880" s="33"/>
      <c r="O880" s="33"/>
      <c r="P880" s="71"/>
      <c r="Q880" s="33"/>
      <c r="S880" s="33"/>
      <c r="T880" s="35"/>
      <c r="U880" s="33"/>
    </row>
    <row r="881" ht="15.75" customHeight="1">
      <c r="D881" s="33"/>
      <c r="H881" s="33"/>
      <c r="I881" s="33"/>
      <c r="J881" s="33"/>
      <c r="K881" s="33"/>
      <c r="L881" s="33"/>
      <c r="M881" s="33"/>
      <c r="N881" s="33"/>
      <c r="O881" s="33"/>
      <c r="P881" s="71"/>
      <c r="Q881" s="33"/>
      <c r="S881" s="33"/>
      <c r="T881" s="35"/>
      <c r="U881" s="33"/>
    </row>
    <row r="882" ht="15.75" customHeight="1">
      <c r="D882" s="33"/>
      <c r="H882" s="33"/>
      <c r="I882" s="33"/>
      <c r="J882" s="33"/>
      <c r="K882" s="33"/>
      <c r="L882" s="33"/>
      <c r="M882" s="33"/>
      <c r="N882" s="33"/>
      <c r="O882" s="33"/>
      <c r="P882" s="71"/>
      <c r="Q882" s="33"/>
      <c r="S882" s="33"/>
      <c r="T882" s="35"/>
      <c r="U882" s="33"/>
    </row>
    <row r="883" ht="15.75" customHeight="1">
      <c r="D883" s="33"/>
      <c r="H883" s="33"/>
      <c r="I883" s="33"/>
      <c r="J883" s="33"/>
      <c r="K883" s="33"/>
      <c r="L883" s="33"/>
      <c r="M883" s="33"/>
      <c r="N883" s="33"/>
      <c r="O883" s="33"/>
      <c r="P883" s="71"/>
      <c r="Q883" s="33"/>
      <c r="S883" s="33"/>
      <c r="T883" s="35"/>
      <c r="U883" s="33"/>
    </row>
    <row r="884" ht="15.75" customHeight="1">
      <c r="D884" s="33"/>
      <c r="H884" s="33"/>
      <c r="I884" s="33"/>
      <c r="J884" s="33"/>
      <c r="K884" s="33"/>
      <c r="L884" s="33"/>
      <c r="M884" s="33"/>
      <c r="N884" s="33"/>
      <c r="O884" s="33"/>
      <c r="P884" s="71"/>
      <c r="Q884" s="33"/>
      <c r="S884" s="33"/>
      <c r="T884" s="35"/>
      <c r="U884" s="33"/>
    </row>
    <row r="885" ht="15.75" customHeight="1">
      <c r="D885" s="33"/>
      <c r="H885" s="33"/>
      <c r="I885" s="33"/>
      <c r="J885" s="33"/>
      <c r="K885" s="33"/>
      <c r="L885" s="33"/>
      <c r="M885" s="33"/>
      <c r="N885" s="33"/>
      <c r="O885" s="33"/>
      <c r="P885" s="71"/>
      <c r="Q885" s="33"/>
      <c r="S885" s="33"/>
      <c r="T885" s="35"/>
      <c r="U885" s="33"/>
    </row>
    <row r="886" ht="15.75" customHeight="1">
      <c r="D886" s="33"/>
      <c r="H886" s="33"/>
      <c r="I886" s="33"/>
      <c r="J886" s="33"/>
      <c r="K886" s="33"/>
      <c r="L886" s="33"/>
      <c r="M886" s="33"/>
      <c r="N886" s="33"/>
      <c r="O886" s="33"/>
      <c r="P886" s="71"/>
      <c r="Q886" s="33"/>
      <c r="S886" s="33"/>
      <c r="T886" s="35"/>
      <c r="U886" s="33"/>
    </row>
    <row r="887" ht="15.75" customHeight="1">
      <c r="D887" s="33"/>
      <c r="H887" s="33"/>
      <c r="I887" s="33"/>
      <c r="J887" s="33"/>
      <c r="K887" s="33"/>
      <c r="L887" s="33"/>
      <c r="M887" s="33"/>
      <c r="N887" s="33"/>
      <c r="O887" s="33"/>
      <c r="P887" s="71"/>
      <c r="Q887" s="33"/>
      <c r="S887" s="33"/>
      <c r="T887" s="35"/>
      <c r="U887" s="33"/>
    </row>
    <row r="888" ht="15.75" customHeight="1">
      <c r="D888" s="33"/>
      <c r="H888" s="33"/>
      <c r="I888" s="33"/>
      <c r="J888" s="33"/>
      <c r="K888" s="33"/>
      <c r="L888" s="33"/>
      <c r="M888" s="33"/>
      <c r="N888" s="33"/>
      <c r="O888" s="33"/>
      <c r="P888" s="71"/>
      <c r="Q888" s="33"/>
      <c r="S888" s="33"/>
      <c r="T888" s="35"/>
      <c r="U888" s="33"/>
    </row>
    <row r="889" ht="15.75" customHeight="1">
      <c r="D889" s="33"/>
      <c r="H889" s="33"/>
      <c r="I889" s="33"/>
      <c r="J889" s="33"/>
      <c r="K889" s="33"/>
      <c r="L889" s="33"/>
      <c r="M889" s="33"/>
      <c r="N889" s="33"/>
      <c r="O889" s="33"/>
      <c r="P889" s="71"/>
      <c r="Q889" s="33"/>
      <c r="S889" s="33"/>
      <c r="T889" s="35"/>
      <c r="U889" s="33"/>
    </row>
    <row r="890" ht="15.75" customHeight="1">
      <c r="D890" s="33"/>
      <c r="H890" s="33"/>
      <c r="I890" s="33"/>
      <c r="J890" s="33"/>
      <c r="K890" s="33"/>
      <c r="L890" s="33"/>
      <c r="M890" s="33"/>
      <c r="N890" s="33"/>
      <c r="O890" s="33"/>
      <c r="P890" s="71"/>
      <c r="Q890" s="33"/>
      <c r="S890" s="33"/>
      <c r="T890" s="35"/>
      <c r="U890" s="33"/>
    </row>
    <row r="891" ht="15.75" customHeight="1">
      <c r="D891" s="33"/>
      <c r="H891" s="33"/>
      <c r="I891" s="33"/>
      <c r="J891" s="33"/>
      <c r="K891" s="33"/>
      <c r="L891" s="33"/>
      <c r="M891" s="33"/>
      <c r="N891" s="33"/>
      <c r="O891" s="33"/>
      <c r="P891" s="71"/>
      <c r="Q891" s="33"/>
      <c r="S891" s="33"/>
      <c r="T891" s="35"/>
      <c r="U891" s="33"/>
    </row>
    <row r="892" ht="15.75" customHeight="1">
      <c r="D892" s="33"/>
      <c r="H892" s="33"/>
      <c r="I892" s="33"/>
      <c r="J892" s="33"/>
      <c r="K892" s="33"/>
      <c r="L892" s="33"/>
      <c r="M892" s="33"/>
      <c r="N892" s="33"/>
      <c r="O892" s="33"/>
      <c r="P892" s="71"/>
      <c r="Q892" s="33"/>
      <c r="S892" s="33"/>
      <c r="T892" s="35"/>
      <c r="U892" s="33"/>
    </row>
    <row r="893" ht="15.75" customHeight="1">
      <c r="D893" s="33"/>
      <c r="H893" s="33"/>
      <c r="I893" s="33"/>
      <c r="J893" s="33"/>
      <c r="K893" s="33"/>
      <c r="L893" s="33"/>
      <c r="M893" s="33"/>
      <c r="N893" s="33"/>
      <c r="O893" s="33"/>
      <c r="P893" s="71"/>
      <c r="Q893" s="33"/>
      <c r="S893" s="33"/>
      <c r="T893" s="35"/>
      <c r="U893" s="33"/>
    </row>
    <row r="894" ht="15.75" customHeight="1">
      <c r="D894" s="33"/>
      <c r="H894" s="33"/>
      <c r="I894" s="33"/>
      <c r="J894" s="33"/>
      <c r="K894" s="33"/>
      <c r="L894" s="33"/>
      <c r="M894" s="33"/>
      <c r="N894" s="33"/>
      <c r="O894" s="33"/>
      <c r="P894" s="71"/>
      <c r="Q894" s="33"/>
      <c r="S894" s="33"/>
      <c r="T894" s="35"/>
      <c r="U894" s="33"/>
    </row>
    <row r="895" ht="15.75" customHeight="1">
      <c r="D895" s="33"/>
      <c r="H895" s="33"/>
      <c r="I895" s="33"/>
      <c r="J895" s="33"/>
      <c r="K895" s="33"/>
      <c r="L895" s="33"/>
      <c r="M895" s="33"/>
      <c r="N895" s="33"/>
      <c r="O895" s="33"/>
      <c r="P895" s="71"/>
      <c r="Q895" s="33"/>
      <c r="S895" s="33"/>
      <c r="T895" s="35"/>
      <c r="U895" s="33"/>
    </row>
    <row r="896" ht="15.75" customHeight="1">
      <c r="D896" s="33"/>
      <c r="H896" s="33"/>
      <c r="I896" s="33"/>
      <c r="J896" s="33"/>
      <c r="K896" s="33"/>
      <c r="L896" s="33"/>
      <c r="M896" s="33"/>
      <c r="N896" s="33"/>
      <c r="O896" s="33"/>
      <c r="P896" s="71"/>
      <c r="Q896" s="33"/>
      <c r="S896" s="33"/>
      <c r="T896" s="35"/>
      <c r="U896" s="33"/>
    </row>
    <row r="897" ht="15.75" customHeight="1">
      <c r="D897" s="33"/>
      <c r="H897" s="33"/>
      <c r="I897" s="33"/>
      <c r="J897" s="33"/>
      <c r="K897" s="33"/>
      <c r="L897" s="33"/>
      <c r="M897" s="33"/>
      <c r="N897" s="33"/>
      <c r="O897" s="33"/>
      <c r="P897" s="71"/>
      <c r="Q897" s="33"/>
      <c r="S897" s="33"/>
      <c r="T897" s="35"/>
      <c r="U897" s="33"/>
    </row>
    <row r="898" ht="15.75" customHeight="1">
      <c r="D898" s="33"/>
      <c r="H898" s="33"/>
      <c r="I898" s="33"/>
      <c r="J898" s="33"/>
      <c r="K898" s="33"/>
      <c r="L898" s="33"/>
      <c r="M898" s="33"/>
      <c r="N898" s="33"/>
      <c r="O898" s="33"/>
      <c r="P898" s="71"/>
      <c r="Q898" s="33"/>
      <c r="S898" s="33"/>
      <c r="T898" s="35"/>
      <c r="U898" s="33"/>
    </row>
    <row r="899" ht="15.75" customHeight="1">
      <c r="D899" s="33"/>
      <c r="H899" s="33"/>
      <c r="I899" s="33"/>
      <c r="J899" s="33"/>
      <c r="K899" s="33"/>
      <c r="L899" s="33"/>
      <c r="M899" s="33"/>
      <c r="N899" s="33"/>
      <c r="O899" s="33"/>
      <c r="P899" s="71"/>
      <c r="Q899" s="33"/>
      <c r="S899" s="33"/>
      <c r="T899" s="35"/>
      <c r="U899" s="33"/>
    </row>
    <row r="900" ht="15.75" customHeight="1">
      <c r="D900" s="33"/>
      <c r="H900" s="33"/>
      <c r="I900" s="33"/>
      <c r="J900" s="33"/>
      <c r="K900" s="33"/>
      <c r="L900" s="33"/>
      <c r="M900" s="33"/>
      <c r="N900" s="33"/>
      <c r="O900" s="33"/>
      <c r="P900" s="71"/>
      <c r="Q900" s="33"/>
      <c r="S900" s="33"/>
      <c r="T900" s="35"/>
      <c r="U900" s="33"/>
    </row>
    <row r="901" ht="15.75" customHeight="1">
      <c r="D901" s="33"/>
      <c r="H901" s="33"/>
      <c r="I901" s="33"/>
      <c r="J901" s="33"/>
      <c r="K901" s="33"/>
      <c r="L901" s="33"/>
      <c r="M901" s="33"/>
      <c r="N901" s="33"/>
      <c r="O901" s="33"/>
      <c r="P901" s="71"/>
      <c r="Q901" s="33"/>
      <c r="S901" s="33"/>
      <c r="T901" s="35"/>
      <c r="U901" s="33"/>
    </row>
    <row r="902" ht="15.75" customHeight="1">
      <c r="D902" s="33"/>
      <c r="H902" s="33"/>
      <c r="I902" s="33"/>
      <c r="J902" s="33"/>
      <c r="K902" s="33"/>
      <c r="L902" s="33"/>
      <c r="M902" s="33"/>
      <c r="N902" s="33"/>
      <c r="O902" s="33"/>
      <c r="P902" s="71"/>
      <c r="Q902" s="33"/>
      <c r="S902" s="33"/>
      <c r="T902" s="35"/>
      <c r="U902" s="33"/>
    </row>
    <row r="903" ht="15.75" customHeight="1">
      <c r="D903" s="33"/>
      <c r="H903" s="33"/>
      <c r="I903" s="33"/>
      <c r="J903" s="33"/>
      <c r="K903" s="33"/>
      <c r="L903" s="33"/>
      <c r="M903" s="33"/>
      <c r="N903" s="33"/>
      <c r="O903" s="33"/>
      <c r="P903" s="71"/>
      <c r="Q903" s="33"/>
      <c r="S903" s="33"/>
      <c r="T903" s="35"/>
      <c r="U903" s="33"/>
    </row>
    <row r="904" ht="15.75" customHeight="1">
      <c r="D904" s="33"/>
      <c r="H904" s="33"/>
      <c r="I904" s="33"/>
      <c r="J904" s="33"/>
      <c r="K904" s="33"/>
      <c r="L904" s="33"/>
      <c r="M904" s="33"/>
      <c r="N904" s="33"/>
      <c r="O904" s="33"/>
      <c r="P904" s="71"/>
      <c r="Q904" s="33"/>
      <c r="S904" s="33"/>
      <c r="T904" s="35"/>
      <c r="U904" s="33"/>
    </row>
    <row r="905" ht="15.75" customHeight="1">
      <c r="D905" s="33"/>
      <c r="H905" s="33"/>
      <c r="I905" s="33"/>
      <c r="J905" s="33"/>
      <c r="K905" s="33"/>
      <c r="L905" s="33"/>
      <c r="M905" s="33"/>
      <c r="N905" s="33"/>
      <c r="O905" s="33"/>
      <c r="P905" s="71"/>
      <c r="Q905" s="33"/>
      <c r="S905" s="33"/>
      <c r="T905" s="35"/>
      <c r="U905" s="33"/>
    </row>
    <row r="906" ht="15.75" customHeight="1">
      <c r="D906" s="33"/>
      <c r="H906" s="33"/>
      <c r="I906" s="33"/>
      <c r="J906" s="33"/>
      <c r="K906" s="33"/>
      <c r="L906" s="33"/>
      <c r="M906" s="33"/>
      <c r="N906" s="33"/>
      <c r="O906" s="33"/>
      <c r="P906" s="71"/>
      <c r="Q906" s="33"/>
      <c r="S906" s="33"/>
      <c r="T906" s="35"/>
      <c r="U906" s="33"/>
    </row>
    <row r="907" ht="15.75" customHeight="1">
      <c r="D907" s="33"/>
      <c r="H907" s="33"/>
      <c r="I907" s="33"/>
      <c r="J907" s="33"/>
      <c r="K907" s="33"/>
      <c r="L907" s="33"/>
      <c r="M907" s="33"/>
      <c r="N907" s="33"/>
      <c r="O907" s="33"/>
      <c r="P907" s="71"/>
      <c r="Q907" s="33"/>
      <c r="S907" s="33"/>
      <c r="T907" s="35"/>
      <c r="U907" s="33"/>
    </row>
    <row r="908" ht="15.75" customHeight="1">
      <c r="D908" s="33"/>
      <c r="H908" s="33"/>
      <c r="I908" s="33"/>
      <c r="J908" s="33"/>
      <c r="K908" s="33"/>
      <c r="L908" s="33"/>
      <c r="M908" s="33"/>
      <c r="N908" s="33"/>
      <c r="O908" s="33"/>
      <c r="P908" s="71"/>
      <c r="Q908" s="33"/>
      <c r="S908" s="33"/>
      <c r="T908" s="35"/>
      <c r="U908" s="33"/>
    </row>
    <row r="909" ht="15.75" customHeight="1">
      <c r="D909" s="33"/>
      <c r="H909" s="33"/>
      <c r="I909" s="33"/>
      <c r="J909" s="33"/>
      <c r="K909" s="33"/>
      <c r="L909" s="33"/>
      <c r="M909" s="33"/>
      <c r="N909" s="33"/>
      <c r="O909" s="33"/>
      <c r="P909" s="71"/>
      <c r="Q909" s="33"/>
      <c r="S909" s="33"/>
      <c r="T909" s="35"/>
      <c r="U909" s="33"/>
    </row>
    <row r="910" ht="15.75" customHeight="1">
      <c r="D910" s="33"/>
      <c r="H910" s="33"/>
      <c r="I910" s="33"/>
      <c r="J910" s="33"/>
      <c r="K910" s="33"/>
      <c r="L910" s="33"/>
      <c r="M910" s="33"/>
      <c r="N910" s="33"/>
      <c r="O910" s="33"/>
      <c r="P910" s="71"/>
      <c r="Q910" s="33"/>
      <c r="S910" s="33"/>
      <c r="T910" s="35"/>
      <c r="U910" s="33"/>
    </row>
    <row r="911" ht="15.75" customHeight="1">
      <c r="D911" s="33"/>
      <c r="H911" s="33"/>
      <c r="I911" s="33"/>
      <c r="J911" s="33"/>
      <c r="K911" s="33"/>
      <c r="L911" s="33"/>
      <c r="M911" s="33"/>
      <c r="N911" s="33"/>
      <c r="O911" s="33"/>
      <c r="P911" s="71"/>
      <c r="Q911" s="33"/>
      <c r="S911" s="33"/>
      <c r="T911" s="35"/>
      <c r="U911" s="33"/>
    </row>
    <row r="912" ht="15.75" customHeight="1">
      <c r="D912" s="33"/>
      <c r="H912" s="33"/>
      <c r="I912" s="33"/>
      <c r="J912" s="33"/>
      <c r="K912" s="33"/>
      <c r="L912" s="33"/>
      <c r="M912" s="33"/>
      <c r="N912" s="33"/>
      <c r="O912" s="33"/>
      <c r="P912" s="71"/>
      <c r="Q912" s="33"/>
      <c r="S912" s="33"/>
      <c r="T912" s="35"/>
      <c r="U912" s="33"/>
    </row>
    <row r="913" ht="15.75" customHeight="1">
      <c r="D913" s="33"/>
      <c r="H913" s="33"/>
      <c r="I913" s="33"/>
      <c r="J913" s="33"/>
      <c r="K913" s="33"/>
      <c r="L913" s="33"/>
      <c r="M913" s="33"/>
      <c r="N913" s="33"/>
      <c r="O913" s="33"/>
      <c r="P913" s="71"/>
      <c r="Q913" s="33"/>
      <c r="S913" s="33"/>
      <c r="T913" s="35"/>
      <c r="U913" s="33"/>
    </row>
    <row r="914" ht="15.75" customHeight="1">
      <c r="D914" s="33"/>
      <c r="H914" s="33"/>
      <c r="I914" s="33"/>
      <c r="J914" s="33"/>
      <c r="K914" s="33"/>
      <c r="L914" s="33"/>
      <c r="M914" s="33"/>
      <c r="N914" s="33"/>
      <c r="O914" s="33"/>
      <c r="P914" s="71"/>
      <c r="Q914" s="33"/>
      <c r="S914" s="33"/>
      <c r="T914" s="35"/>
      <c r="U914" s="33"/>
    </row>
    <row r="915" ht="15.75" customHeight="1">
      <c r="D915" s="33"/>
      <c r="H915" s="33"/>
      <c r="I915" s="33"/>
      <c r="J915" s="33"/>
      <c r="K915" s="33"/>
      <c r="L915" s="33"/>
      <c r="M915" s="33"/>
      <c r="N915" s="33"/>
      <c r="O915" s="33"/>
      <c r="P915" s="71"/>
      <c r="Q915" s="33"/>
      <c r="S915" s="33"/>
      <c r="T915" s="35"/>
      <c r="U915" s="33"/>
    </row>
    <row r="916" ht="15.75" customHeight="1">
      <c r="D916" s="33"/>
      <c r="H916" s="33"/>
      <c r="I916" s="33"/>
      <c r="J916" s="33"/>
      <c r="K916" s="33"/>
      <c r="L916" s="33"/>
      <c r="M916" s="33"/>
      <c r="N916" s="33"/>
      <c r="O916" s="33"/>
      <c r="P916" s="71"/>
      <c r="Q916" s="33"/>
      <c r="S916" s="33"/>
      <c r="T916" s="35"/>
      <c r="U916" s="33"/>
    </row>
    <row r="917" ht="15.75" customHeight="1">
      <c r="D917" s="33"/>
      <c r="H917" s="33"/>
      <c r="I917" s="33"/>
      <c r="J917" s="33"/>
      <c r="K917" s="33"/>
      <c r="L917" s="33"/>
      <c r="M917" s="33"/>
      <c r="N917" s="33"/>
      <c r="O917" s="33"/>
      <c r="P917" s="71"/>
      <c r="Q917" s="33"/>
      <c r="S917" s="33"/>
      <c r="T917" s="35"/>
      <c r="U917" s="33"/>
    </row>
    <row r="918" ht="15.75" customHeight="1">
      <c r="D918" s="33"/>
      <c r="H918" s="33"/>
      <c r="I918" s="33"/>
      <c r="J918" s="33"/>
      <c r="K918" s="33"/>
      <c r="L918" s="33"/>
      <c r="M918" s="33"/>
      <c r="N918" s="33"/>
      <c r="O918" s="33"/>
      <c r="P918" s="71"/>
      <c r="Q918" s="33"/>
      <c r="S918" s="33"/>
      <c r="T918" s="35"/>
      <c r="U918" s="33"/>
    </row>
    <row r="919" ht="15.75" customHeight="1">
      <c r="D919" s="33"/>
      <c r="H919" s="33"/>
      <c r="I919" s="33"/>
      <c r="J919" s="33"/>
      <c r="K919" s="33"/>
      <c r="L919" s="33"/>
      <c r="M919" s="33"/>
      <c r="N919" s="33"/>
      <c r="O919" s="33"/>
      <c r="P919" s="71"/>
      <c r="Q919" s="33"/>
      <c r="S919" s="33"/>
      <c r="T919" s="35"/>
      <c r="U919" s="33"/>
    </row>
    <row r="920" ht="15.75" customHeight="1">
      <c r="D920" s="33"/>
      <c r="H920" s="33"/>
      <c r="I920" s="33"/>
      <c r="J920" s="33"/>
      <c r="K920" s="33"/>
      <c r="L920" s="33"/>
      <c r="M920" s="33"/>
      <c r="N920" s="33"/>
      <c r="O920" s="33"/>
      <c r="P920" s="71"/>
      <c r="Q920" s="33"/>
      <c r="S920" s="33"/>
      <c r="T920" s="35"/>
      <c r="U920" s="33"/>
    </row>
    <row r="921" ht="15.75" customHeight="1">
      <c r="D921" s="33"/>
      <c r="H921" s="33"/>
      <c r="I921" s="33"/>
      <c r="J921" s="33"/>
      <c r="K921" s="33"/>
      <c r="L921" s="33"/>
      <c r="M921" s="33"/>
      <c r="N921" s="33"/>
      <c r="O921" s="33"/>
      <c r="P921" s="71"/>
      <c r="Q921" s="33"/>
      <c r="S921" s="33"/>
      <c r="T921" s="35"/>
      <c r="U921" s="33"/>
    </row>
    <row r="922" ht="15.75" customHeight="1">
      <c r="D922" s="33"/>
      <c r="H922" s="33"/>
      <c r="I922" s="33"/>
      <c r="J922" s="33"/>
      <c r="K922" s="33"/>
      <c r="L922" s="33"/>
      <c r="M922" s="33"/>
      <c r="N922" s="33"/>
      <c r="O922" s="33"/>
      <c r="P922" s="71"/>
      <c r="Q922" s="33"/>
      <c r="S922" s="33"/>
      <c r="T922" s="35"/>
      <c r="U922" s="33"/>
    </row>
    <row r="923" ht="15.75" customHeight="1">
      <c r="D923" s="33"/>
      <c r="H923" s="33"/>
      <c r="I923" s="33"/>
      <c r="J923" s="33"/>
      <c r="K923" s="33"/>
      <c r="L923" s="33"/>
      <c r="M923" s="33"/>
      <c r="N923" s="33"/>
      <c r="O923" s="33"/>
      <c r="P923" s="71"/>
      <c r="Q923" s="33"/>
      <c r="S923" s="33"/>
      <c r="T923" s="35"/>
      <c r="U923" s="33"/>
    </row>
    <row r="924" ht="15.75" customHeight="1">
      <c r="D924" s="33"/>
      <c r="H924" s="33"/>
      <c r="I924" s="33"/>
      <c r="J924" s="33"/>
      <c r="K924" s="33"/>
      <c r="L924" s="33"/>
      <c r="M924" s="33"/>
      <c r="N924" s="33"/>
      <c r="O924" s="33"/>
      <c r="P924" s="71"/>
      <c r="Q924" s="33"/>
      <c r="S924" s="33"/>
      <c r="T924" s="35"/>
      <c r="U924" s="33"/>
    </row>
    <row r="925" ht="15.75" customHeight="1">
      <c r="D925" s="33"/>
      <c r="H925" s="33"/>
      <c r="I925" s="33"/>
      <c r="J925" s="33"/>
      <c r="K925" s="33"/>
      <c r="L925" s="33"/>
      <c r="M925" s="33"/>
      <c r="N925" s="33"/>
      <c r="O925" s="33"/>
      <c r="P925" s="71"/>
      <c r="Q925" s="33"/>
      <c r="S925" s="33"/>
      <c r="T925" s="35"/>
      <c r="U925" s="33"/>
    </row>
    <row r="926" ht="15.75" customHeight="1">
      <c r="D926" s="33"/>
      <c r="H926" s="33"/>
      <c r="I926" s="33"/>
      <c r="J926" s="33"/>
      <c r="K926" s="33"/>
      <c r="L926" s="33"/>
      <c r="M926" s="33"/>
      <c r="N926" s="33"/>
      <c r="O926" s="33"/>
      <c r="P926" s="71"/>
      <c r="Q926" s="33"/>
      <c r="S926" s="33"/>
      <c r="T926" s="35"/>
      <c r="U926" s="33"/>
    </row>
    <row r="927" ht="15.75" customHeight="1">
      <c r="D927" s="33"/>
      <c r="H927" s="33"/>
      <c r="I927" s="33"/>
      <c r="J927" s="33"/>
      <c r="K927" s="33"/>
      <c r="L927" s="33"/>
      <c r="M927" s="33"/>
      <c r="N927" s="33"/>
      <c r="O927" s="33"/>
      <c r="P927" s="71"/>
      <c r="Q927" s="33"/>
      <c r="S927" s="33"/>
      <c r="T927" s="35"/>
      <c r="U927" s="33"/>
    </row>
    <row r="928" ht="15.75" customHeight="1">
      <c r="D928" s="33"/>
      <c r="H928" s="33"/>
      <c r="I928" s="33"/>
      <c r="J928" s="33"/>
      <c r="K928" s="33"/>
      <c r="L928" s="33"/>
      <c r="M928" s="33"/>
      <c r="N928" s="33"/>
      <c r="O928" s="33"/>
      <c r="P928" s="71"/>
      <c r="Q928" s="33"/>
      <c r="S928" s="33"/>
      <c r="T928" s="35"/>
      <c r="U928" s="33"/>
    </row>
    <row r="929" ht="15.75" customHeight="1">
      <c r="D929" s="33"/>
      <c r="H929" s="33"/>
      <c r="I929" s="33"/>
      <c r="J929" s="33"/>
      <c r="K929" s="33"/>
      <c r="L929" s="33"/>
      <c r="M929" s="33"/>
      <c r="N929" s="33"/>
      <c r="O929" s="33"/>
      <c r="P929" s="71"/>
      <c r="Q929" s="33"/>
      <c r="S929" s="33"/>
      <c r="T929" s="35"/>
      <c r="U929" s="33"/>
    </row>
    <row r="930" ht="15.75" customHeight="1">
      <c r="D930" s="33"/>
      <c r="H930" s="33"/>
      <c r="I930" s="33"/>
      <c r="J930" s="33"/>
      <c r="K930" s="33"/>
      <c r="L930" s="33"/>
      <c r="M930" s="33"/>
      <c r="N930" s="33"/>
      <c r="O930" s="33"/>
      <c r="P930" s="71"/>
      <c r="Q930" s="33"/>
      <c r="S930" s="33"/>
      <c r="T930" s="35"/>
      <c r="U930" s="33"/>
    </row>
    <row r="931" ht="15.75" customHeight="1">
      <c r="D931" s="33"/>
      <c r="H931" s="33"/>
      <c r="I931" s="33"/>
      <c r="J931" s="33"/>
      <c r="K931" s="33"/>
      <c r="L931" s="33"/>
      <c r="M931" s="33"/>
      <c r="N931" s="33"/>
      <c r="O931" s="33"/>
      <c r="P931" s="71"/>
      <c r="Q931" s="33"/>
      <c r="S931" s="33"/>
      <c r="T931" s="35"/>
      <c r="U931" s="33"/>
    </row>
    <row r="932" ht="15.75" customHeight="1">
      <c r="D932" s="33"/>
      <c r="H932" s="33"/>
      <c r="I932" s="33"/>
      <c r="J932" s="33"/>
      <c r="K932" s="33"/>
      <c r="L932" s="33"/>
      <c r="M932" s="33"/>
      <c r="N932" s="33"/>
      <c r="O932" s="33"/>
      <c r="P932" s="71"/>
      <c r="Q932" s="33"/>
      <c r="S932" s="33"/>
      <c r="T932" s="35"/>
      <c r="U932" s="33"/>
    </row>
    <row r="933" ht="15.75" customHeight="1">
      <c r="D933" s="33"/>
      <c r="H933" s="33"/>
      <c r="I933" s="33"/>
      <c r="J933" s="33"/>
      <c r="K933" s="33"/>
      <c r="L933" s="33"/>
      <c r="M933" s="33"/>
      <c r="N933" s="33"/>
      <c r="O933" s="33"/>
      <c r="P933" s="71"/>
      <c r="Q933" s="33"/>
      <c r="S933" s="33"/>
      <c r="T933" s="35"/>
      <c r="U933" s="33"/>
    </row>
    <row r="934" ht="15.75" customHeight="1">
      <c r="D934" s="33"/>
      <c r="H934" s="33"/>
      <c r="I934" s="33"/>
      <c r="J934" s="33"/>
      <c r="K934" s="33"/>
      <c r="L934" s="33"/>
      <c r="M934" s="33"/>
      <c r="N934" s="33"/>
      <c r="O934" s="33"/>
      <c r="P934" s="71"/>
      <c r="Q934" s="33"/>
      <c r="S934" s="33"/>
      <c r="T934" s="35"/>
      <c r="U934" s="33"/>
    </row>
    <row r="935" ht="15.75" customHeight="1">
      <c r="D935" s="33"/>
      <c r="H935" s="33"/>
      <c r="I935" s="33"/>
      <c r="J935" s="33"/>
      <c r="K935" s="33"/>
      <c r="L935" s="33"/>
      <c r="M935" s="33"/>
      <c r="N935" s="33"/>
      <c r="O935" s="33"/>
      <c r="P935" s="71"/>
      <c r="Q935" s="33"/>
      <c r="S935" s="33"/>
      <c r="T935" s="35"/>
      <c r="U935" s="33"/>
    </row>
    <row r="936" ht="15.75" customHeight="1">
      <c r="D936" s="33"/>
      <c r="H936" s="33"/>
      <c r="I936" s="33"/>
      <c r="J936" s="33"/>
      <c r="K936" s="33"/>
      <c r="L936" s="33"/>
      <c r="M936" s="33"/>
      <c r="N936" s="33"/>
      <c r="O936" s="33"/>
      <c r="P936" s="71"/>
      <c r="Q936" s="33"/>
      <c r="S936" s="33"/>
      <c r="T936" s="35"/>
      <c r="U936" s="33"/>
    </row>
    <row r="937" ht="15.75" customHeight="1">
      <c r="D937" s="33"/>
      <c r="H937" s="33"/>
      <c r="I937" s="33"/>
      <c r="J937" s="33"/>
      <c r="K937" s="33"/>
      <c r="L937" s="33"/>
      <c r="M937" s="33"/>
      <c r="N937" s="33"/>
      <c r="O937" s="33"/>
      <c r="P937" s="71"/>
      <c r="Q937" s="33"/>
      <c r="S937" s="33"/>
      <c r="T937" s="35"/>
      <c r="U937" s="33"/>
    </row>
    <row r="938" ht="15.75" customHeight="1">
      <c r="D938" s="33"/>
      <c r="H938" s="33"/>
      <c r="I938" s="33"/>
      <c r="J938" s="33"/>
      <c r="K938" s="33"/>
      <c r="L938" s="33"/>
      <c r="M938" s="33"/>
      <c r="N938" s="33"/>
      <c r="O938" s="33"/>
      <c r="P938" s="71"/>
      <c r="Q938" s="33"/>
      <c r="S938" s="33"/>
      <c r="T938" s="35"/>
      <c r="U938" s="33"/>
    </row>
    <row r="939" ht="15.75" customHeight="1">
      <c r="D939" s="33"/>
      <c r="H939" s="33"/>
      <c r="I939" s="33"/>
      <c r="J939" s="33"/>
      <c r="K939" s="33"/>
      <c r="L939" s="33"/>
      <c r="M939" s="33"/>
      <c r="N939" s="33"/>
      <c r="O939" s="33"/>
      <c r="P939" s="71"/>
      <c r="Q939" s="33"/>
      <c r="S939" s="33"/>
      <c r="T939" s="35"/>
      <c r="U939" s="33"/>
    </row>
    <row r="940" ht="15.75" customHeight="1">
      <c r="D940" s="33"/>
      <c r="H940" s="33"/>
      <c r="I940" s="33"/>
      <c r="J940" s="33"/>
      <c r="K940" s="33"/>
      <c r="L940" s="33"/>
      <c r="M940" s="33"/>
      <c r="N940" s="33"/>
      <c r="O940" s="33"/>
      <c r="P940" s="71"/>
      <c r="Q940" s="33"/>
      <c r="S940" s="33"/>
      <c r="T940" s="35"/>
      <c r="U940" s="33"/>
    </row>
    <row r="941" ht="15.75" customHeight="1">
      <c r="D941" s="33"/>
      <c r="H941" s="33"/>
      <c r="I941" s="33"/>
      <c r="J941" s="33"/>
      <c r="K941" s="33"/>
      <c r="L941" s="33"/>
      <c r="M941" s="33"/>
      <c r="N941" s="33"/>
      <c r="O941" s="33"/>
      <c r="P941" s="71"/>
      <c r="Q941" s="33"/>
      <c r="S941" s="33"/>
      <c r="T941" s="35"/>
      <c r="U941" s="33"/>
    </row>
    <row r="942" ht="15.75" customHeight="1">
      <c r="D942" s="33"/>
      <c r="H942" s="33"/>
      <c r="I942" s="33"/>
      <c r="J942" s="33"/>
      <c r="K942" s="33"/>
      <c r="L942" s="33"/>
      <c r="M942" s="33"/>
      <c r="N942" s="33"/>
      <c r="O942" s="33"/>
      <c r="P942" s="71"/>
      <c r="Q942" s="33"/>
      <c r="S942" s="33"/>
      <c r="T942" s="35"/>
      <c r="U942" s="33"/>
    </row>
    <row r="943" ht="15.75" customHeight="1">
      <c r="D943" s="33"/>
      <c r="H943" s="33"/>
      <c r="I943" s="33"/>
      <c r="J943" s="33"/>
      <c r="K943" s="33"/>
      <c r="L943" s="33"/>
      <c r="M943" s="33"/>
      <c r="N943" s="33"/>
      <c r="O943" s="33"/>
      <c r="P943" s="71"/>
      <c r="Q943" s="33"/>
      <c r="S943" s="33"/>
      <c r="T943" s="35"/>
      <c r="U943" s="33"/>
    </row>
    <row r="944" ht="15.75" customHeight="1">
      <c r="D944" s="33"/>
      <c r="H944" s="33"/>
      <c r="I944" s="33"/>
      <c r="J944" s="33"/>
      <c r="K944" s="33"/>
      <c r="L944" s="33"/>
      <c r="M944" s="33"/>
      <c r="N944" s="33"/>
      <c r="O944" s="33"/>
      <c r="P944" s="71"/>
      <c r="Q944" s="33"/>
      <c r="S944" s="33"/>
      <c r="T944" s="35"/>
      <c r="U944" s="33"/>
    </row>
    <row r="945" ht="15.75" customHeight="1">
      <c r="D945" s="33"/>
      <c r="H945" s="33"/>
      <c r="I945" s="33"/>
      <c r="J945" s="33"/>
      <c r="K945" s="33"/>
      <c r="L945" s="33"/>
      <c r="M945" s="33"/>
      <c r="N945" s="33"/>
      <c r="O945" s="33"/>
      <c r="P945" s="71"/>
      <c r="Q945" s="33"/>
      <c r="S945" s="33"/>
      <c r="T945" s="35"/>
      <c r="U945" s="33"/>
    </row>
    <row r="946" ht="15.75" customHeight="1">
      <c r="D946" s="33"/>
      <c r="H946" s="33"/>
      <c r="I946" s="33"/>
      <c r="J946" s="33"/>
      <c r="K946" s="33"/>
      <c r="L946" s="33"/>
      <c r="M946" s="33"/>
      <c r="N946" s="33"/>
      <c r="O946" s="33"/>
      <c r="P946" s="71"/>
      <c r="Q946" s="33"/>
      <c r="S946" s="33"/>
      <c r="T946" s="35"/>
      <c r="U946" s="33"/>
    </row>
    <row r="947" ht="15.75" customHeight="1">
      <c r="D947" s="33"/>
      <c r="H947" s="33"/>
      <c r="I947" s="33"/>
      <c r="J947" s="33"/>
      <c r="K947" s="33"/>
      <c r="L947" s="33"/>
      <c r="M947" s="33"/>
      <c r="N947" s="33"/>
      <c r="O947" s="33"/>
      <c r="P947" s="71"/>
      <c r="Q947" s="33"/>
      <c r="S947" s="33"/>
      <c r="T947" s="35"/>
      <c r="U947" s="33"/>
    </row>
    <row r="948" ht="15.75" customHeight="1">
      <c r="D948" s="33"/>
      <c r="H948" s="33"/>
      <c r="I948" s="33"/>
      <c r="J948" s="33"/>
      <c r="K948" s="33"/>
      <c r="L948" s="33"/>
      <c r="M948" s="33"/>
      <c r="N948" s="33"/>
      <c r="O948" s="33"/>
      <c r="P948" s="71"/>
      <c r="Q948" s="33"/>
      <c r="S948" s="33"/>
      <c r="T948" s="35"/>
      <c r="U948" s="33"/>
    </row>
    <row r="949" ht="15.75" customHeight="1">
      <c r="D949" s="33"/>
      <c r="H949" s="33"/>
      <c r="I949" s="33"/>
      <c r="J949" s="33"/>
      <c r="K949" s="33"/>
      <c r="L949" s="33"/>
      <c r="M949" s="33"/>
      <c r="N949" s="33"/>
      <c r="O949" s="33"/>
      <c r="P949" s="71"/>
      <c r="Q949" s="33"/>
      <c r="S949" s="33"/>
      <c r="T949" s="35"/>
      <c r="U949" s="33"/>
    </row>
    <row r="950" ht="15.75" customHeight="1">
      <c r="D950" s="33"/>
      <c r="H950" s="33"/>
      <c r="I950" s="33"/>
      <c r="J950" s="33"/>
      <c r="K950" s="33"/>
      <c r="L950" s="33"/>
      <c r="M950" s="33"/>
      <c r="N950" s="33"/>
      <c r="O950" s="33"/>
      <c r="P950" s="71"/>
      <c r="Q950" s="33"/>
      <c r="S950" s="33"/>
      <c r="T950" s="35"/>
      <c r="U950" s="33"/>
    </row>
    <row r="951" ht="15.75" customHeight="1">
      <c r="D951" s="33"/>
      <c r="H951" s="33"/>
      <c r="I951" s="33"/>
      <c r="J951" s="33"/>
      <c r="K951" s="33"/>
      <c r="L951" s="33"/>
      <c r="M951" s="33"/>
      <c r="N951" s="33"/>
      <c r="O951" s="33"/>
      <c r="P951" s="71"/>
      <c r="Q951" s="33"/>
      <c r="S951" s="33"/>
      <c r="T951" s="35"/>
      <c r="U951" s="33"/>
    </row>
    <row r="952" ht="15.75" customHeight="1">
      <c r="D952" s="33"/>
      <c r="H952" s="33"/>
      <c r="I952" s="33"/>
      <c r="J952" s="33"/>
      <c r="K952" s="33"/>
      <c r="L952" s="33"/>
      <c r="M952" s="33"/>
      <c r="N952" s="33"/>
      <c r="O952" s="33"/>
      <c r="P952" s="71"/>
      <c r="Q952" s="33"/>
      <c r="S952" s="33"/>
      <c r="T952" s="35"/>
      <c r="U952" s="33"/>
    </row>
    <row r="953" ht="15.75" customHeight="1">
      <c r="D953" s="33"/>
      <c r="H953" s="33"/>
      <c r="I953" s="33"/>
      <c r="J953" s="33"/>
      <c r="K953" s="33"/>
      <c r="L953" s="33"/>
      <c r="M953" s="33"/>
      <c r="N953" s="33"/>
      <c r="O953" s="33"/>
      <c r="P953" s="71"/>
      <c r="Q953" s="33"/>
      <c r="S953" s="33"/>
      <c r="T953" s="35"/>
      <c r="U953" s="33"/>
    </row>
    <row r="954" ht="15.75" customHeight="1">
      <c r="D954" s="33"/>
      <c r="H954" s="33"/>
      <c r="I954" s="33"/>
      <c r="J954" s="33"/>
      <c r="K954" s="33"/>
      <c r="L954" s="33"/>
      <c r="M954" s="33"/>
      <c r="N954" s="33"/>
      <c r="O954" s="33"/>
      <c r="P954" s="71"/>
      <c r="Q954" s="33"/>
      <c r="S954" s="33"/>
      <c r="T954" s="35"/>
      <c r="U954" s="33"/>
    </row>
    <row r="955" ht="15.75" customHeight="1">
      <c r="D955" s="33"/>
      <c r="H955" s="33"/>
      <c r="I955" s="33"/>
      <c r="J955" s="33"/>
      <c r="K955" s="33"/>
      <c r="L955" s="33"/>
      <c r="M955" s="33"/>
      <c r="N955" s="33"/>
      <c r="O955" s="33"/>
      <c r="P955" s="71"/>
      <c r="Q955" s="33"/>
      <c r="S955" s="33"/>
      <c r="T955" s="35"/>
      <c r="U955" s="33"/>
    </row>
    <row r="956" ht="15.75" customHeight="1">
      <c r="D956" s="33"/>
      <c r="H956" s="33"/>
      <c r="I956" s="33"/>
      <c r="J956" s="33"/>
      <c r="K956" s="33"/>
      <c r="L956" s="33"/>
      <c r="M956" s="33"/>
      <c r="N956" s="33"/>
      <c r="O956" s="33"/>
      <c r="P956" s="71"/>
      <c r="Q956" s="33"/>
      <c r="S956" s="33"/>
      <c r="T956" s="35"/>
      <c r="U956" s="33"/>
    </row>
    <row r="957" ht="15.75" customHeight="1">
      <c r="D957" s="33"/>
      <c r="H957" s="33"/>
      <c r="I957" s="33"/>
      <c r="J957" s="33"/>
      <c r="K957" s="33"/>
      <c r="L957" s="33"/>
      <c r="M957" s="33"/>
      <c r="N957" s="33"/>
      <c r="O957" s="33"/>
      <c r="P957" s="71"/>
      <c r="Q957" s="33"/>
      <c r="S957" s="33"/>
      <c r="T957" s="35"/>
      <c r="U957" s="33"/>
    </row>
    <row r="958" ht="15.75" customHeight="1">
      <c r="D958" s="33"/>
      <c r="H958" s="33"/>
      <c r="I958" s="33"/>
      <c r="J958" s="33"/>
      <c r="K958" s="33"/>
      <c r="L958" s="33"/>
      <c r="M958" s="33"/>
      <c r="N958" s="33"/>
      <c r="O958" s="33"/>
      <c r="P958" s="71"/>
      <c r="Q958" s="33"/>
      <c r="S958" s="33"/>
      <c r="T958" s="35"/>
      <c r="U958" s="33"/>
    </row>
    <row r="959" ht="15.75" customHeight="1">
      <c r="D959" s="33"/>
      <c r="H959" s="33"/>
      <c r="I959" s="33"/>
      <c r="J959" s="33"/>
      <c r="K959" s="33"/>
      <c r="L959" s="33"/>
      <c r="M959" s="33"/>
      <c r="N959" s="33"/>
      <c r="O959" s="33"/>
      <c r="P959" s="71"/>
      <c r="Q959" s="33"/>
      <c r="S959" s="33"/>
      <c r="T959" s="35"/>
      <c r="U959" s="33"/>
    </row>
    <row r="960" ht="15.75" customHeight="1">
      <c r="D960" s="33"/>
      <c r="H960" s="33"/>
      <c r="I960" s="33"/>
      <c r="J960" s="33"/>
      <c r="K960" s="33"/>
      <c r="L960" s="33"/>
      <c r="M960" s="33"/>
      <c r="N960" s="33"/>
      <c r="O960" s="33"/>
      <c r="P960" s="71"/>
      <c r="Q960" s="33"/>
      <c r="S960" s="33"/>
      <c r="T960" s="35"/>
      <c r="U960" s="33"/>
    </row>
    <row r="961" ht="15.75" customHeight="1">
      <c r="D961" s="33"/>
      <c r="H961" s="33"/>
      <c r="I961" s="33"/>
      <c r="J961" s="33"/>
      <c r="K961" s="33"/>
      <c r="L961" s="33"/>
      <c r="M961" s="33"/>
      <c r="N961" s="33"/>
      <c r="O961" s="33"/>
      <c r="P961" s="71"/>
      <c r="Q961" s="33"/>
      <c r="S961" s="33"/>
      <c r="T961" s="35"/>
      <c r="U961" s="33"/>
    </row>
    <row r="962" ht="15.75" customHeight="1">
      <c r="D962" s="33"/>
      <c r="H962" s="33"/>
      <c r="I962" s="33"/>
      <c r="J962" s="33"/>
      <c r="K962" s="33"/>
      <c r="L962" s="33"/>
      <c r="M962" s="33"/>
      <c r="N962" s="33"/>
      <c r="O962" s="33"/>
      <c r="P962" s="71"/>
      <c r="Q962" s="33"/>
      <c r="S962" s="33"/>
      <c r="T962" s="35"/>
      <c r="U962" s="33"/>
    </row>
    <row r="963" ht="15.75" customHeight="1">
      <c r="D963" s="33"/>
      <c r="H963" s="33"/>
      <c r="I963" s="33"/>
      <c r="J963" s="33"/>
      <c r="K963" s="33"/>
      <c r="L963" s="33"/>
      <c r="M963" s="33"/>
      <c r="N963" s="33"/>
      <c r="O963" s="33"/>
      <c r="P963" s="71"/>
      <c r="Q963" s="33"/>
      <c r="S963" s="33"/>
      <c r="T963" s="35"/>
      <c r="U963" s="33"/>
    </row>
    <row r="964" ht="15.75" customHeight="1">
      <c r="D964" s="33"/>
      <c r="H964" s="33"/>
      <c r="I964" s="33"/>
      <c r="J964" s="33"/>
      <c r="K964" s="33"/>
      <c r="L964" s="33"/>
      <c r="M964" s="33"/>
      <c r="N964" s="33"/>
      <c r="O964" s="33"/>
      <c r="P964" s="71"/>
      <c r="Q964" s="33"/>
      <c r="S964" s="33"/>
      <c r="T964" s="35"/>
      <c r="U964" s="33"/>
    </row>
    <row r="965" ht="15.75" customHeight="1">
      <c r="D965" s="33"/>
      <c r="H965" s="33"/>
      <c r="I965" s="33"/>
      <c r="J965" s="33"/>
      <c r="K965" s="33"/>
      <c r="L965" s="33"/>
      <c r="M965" s="33"/>
      <c r="N965" s="33"/>
      <c r="O965" s="33"/>
      <c r="P965" s="71"/>
      <c r="Q965" s="33"/>
      <c r="S965" s="33"/>
      <c r="T965" s="35"/>
      <c r="U965" s="33"/>
    </row>
    <row r="966" ht="15.75" customHeight="1">
      <c r="D966" s="33"/>
      <c r="H966" s="33"/>
      <c r="I966" s="33"/>
      <c r="J966" s="33"/>
      <c r="K966" s="33"/>
      <c r="L966" s="33"/>
      <c r="M966" s="33"/>
      <c r="N966" s="33"/>
      <c r="O966" s="33"/>
      <c r="P966" s="71"/>
      <c r="Q966" s="33"/>
      <c r="S966" s="33"/>
      <c r="T966" s="35"/>
      <c r="U966" s="33"/>
    </row>
    <row r="967" ht="15.75" customHeight="1">
      <c r="D967" s="33"/>
      <c r="H967" s="33"/>
      <c r="I967" s="33"/>
      <c r="J967" s="33"/>
      <c r="K967" s="33"/>
      <c r="L967" s="33"/>
      <c r="M967" s="33"/>
      <c r="N967" s="33"/>
      <c r="O967" s="33"/>
      <c r="P967" s="71"/>
      <c r="Q967" s="33"/>
      <c r="S967" s="33"/>
      <c r="T967" s="35"/>
      <c r="U967" s="33"/>
    </row>
    <row r="968" ht="15.75" customHeight="1">
      <c r="D968" s="33"/>
      <c r="H968" s="33"/>
      <c r="I968" s="33"/>
      <c r="J968" s="33"/>
      <c r="K968" s="33"/>
      <c r="L968" s="33"/>
      <c r="M968" s="33"/>
      <c r="N968" s="33"/>
      <c r="O968" s="33"/>
      <c r="P968" s="71"/>
      <c r="Q968" s="33"/>
      <c r="S968" s="33"/>
      <c r="T968" s="35"/>
      <c r="U968" s="33"/>
    </row>
    <row r="969" ht="15.75" customHeight="1">
      <c r="D969" s="33"/>
      <c r="H969" s="33"/>
      <c r="I969" s="33"/>
      <c r="J969" s="33"/>
      <c r="K969" s="33"/>
      <c r="L969" s="33"/>
      <c r="M969" s="33"/>
      <c r="N969" s="33"/>
      <c r="O969" s="33"/>
      <c r="P969" s="71"/>
      <c r="Q969" s="33"/>
      <c r="S969" s="33"/>
      <c r="T969" s="35"/>
      <c r="U969" s="33"/>
    </row>
    <row r="970" ht="15.75" customHeight="1">
      <c r="D970" s="33"/>
      <c r="H970" s="33"/>
      <c r="I970" s="33"/>
      <c r="J970" s="33"/>
      <c r="K970" s="33"/>
      <c r="L970" s="33"/>
      <c r="M970" s="33"/>
      <c r="N970" s="33"/>
      <c r="O970" s="33"/>
      <c r="P970" s="71"/>
      <c r="Q970" s="33"/>
      <c r="S970" s="33"/>
      <c r="T970" s="35"/>
      <c r="U970" s="33"/>
    </row>
    <row r="971" ht="15.75" customHeight="1">
      <c r="D971" s="33"/>
      <c r="H971" s="33"/>
      <c r="I971" s="33"/>
      <c r="J971" s="33"/>
      <c r="K971" s="33"/>
      <c r="L971" s="33"/>
      <c r="M971" s="33"/>
      <c r="N971" s="33"/>
      <c r="O971" s="33"/>
      <c r="P971" s="71"/>
      <c r="Q971" s="33"/>
      <c r="S971" s="33"/>
      <c r="T971" s="35"/>
      <c r="U971" s="33"/>
    </row>
    <row r="972" ht="15.75" customHeight="1">
      <c r="D972" s="33"/>
      <c r="H972" s="33"/>
      <c r="I972" s="33"/>
      <c r="J972" s="33"/>
      <c r="K972" s="33"/>
      <c r="L972" s="33"/>
      <c r="M972" s="33"/>
      <c r="N972" s="33"/>
      <c r="O972" s="33"/>
      <c r="P972" s="71"/>
      <c r="Q972" s="33"/>
      <c r="S972" s="33"/>
      <c r="T972" s="35"/>
      <c r="U972" s="33"/>
    </row>
    <row r="973" ht="15.75" customHeight="1">
      <c r="D973" s="33"/>
      <c r="H973" s="33"/>
      <c r="I973" s="33"/>
      <c r="J973" s="33"/>
      <c r="K973" s="33"/>
      <c r="L973" s="33"/>
      <c r="M973" s="33"/>
      <c r="N973" s="33"/>
      <c r="O973" s="33"/>
      <c r="P973" s="71"/>
      <c r="Q973" s="33"/>
      <c r="S973" s="33"/>
      <c r="T973" s="35"/>
      <c r="U973" s="33"/>
    </row>
    <row r="974" ht="15.75" customHeight="1">
      <c r="D974" s="33"/>
      <c r="H974" s="33"/>
      <c r="I974" s="33"/>
      <c r="J974" s="33"/>
      <c r="K974" s="33"/>
      <c r="L974" s="33"/>
      <c r="M974" s="33"/>
      <c r="N974" s="33"/>
      <c r="O974" s="33"/>
      <c r="P974" s="71"/>
      <c r="Q974" s="33"/>
      <c r="S974" s="33"/>
      <c r="T974" s="35"/>
      <c r="U974" s="33"/>
    </row>
    <row r="975" ht="15.75" customHeight="1">
      <c r="D975" s="33"/>
      <c r="H975" s="33"/>
      <c r="I975" s="33"/>
      <c r="J975" s="33"/>
      <c r="K975" s="33"/>
      <c r="L975" s="33"/>
      <c r="M975" s="33"/>
      <c r="N975" s="33"/>
      <c r="O975" s="33"/>
      <c r="P975" s="71"/>
      <c r="Q975" s="33"/>
      <c r="S975" s="33"/>
      <c r="T975" s="35"/>
      <c r="U975" s="33"/>
    </row>
    <row r="976" ht="15.75" customHeight="1">
      <c r="D976" s="33"/>
      <c r="H976" s="33"/>
      <c r="I976" s="33"/>
      <c r="J976" s="33"/>
      <c r="K976" s="33"/>
      <c r="L976" s="33"/>
      <c r="M976" s="33"/>
      <c r="N976" s="33"/>
      <c r="O976" s="33"/>
      <c r="P976" s="71"/>
      <c r="Q976" s="33"/>
      <c r="S976" s="33"/>
      <c r="T976" s="35"/>
      <c r="U976" s="33"/>
    </row>
    <row r="977" ht="15.75" customHeight="1">
      <c r="D977" s="33"/>
      <c r="H977" s="33"/>
      <c r="I977" s="33"/>
      <c r="J977" s="33"/>
      <c r="K977" s="33"/>
      <c r="L977" s="33"/>
      <c r="M977" s="33"/>
      <c r="N977" s="33"/>
      <c r="O977" s="33"/>
      <c r="P977" s="71"/>
      <c r="Q977" s="33"/>
      <c r="S977" s="33"/>
      <c r="T977" s="35"/>
      <c r="U977" s="33"/>
    </row>
    <row r="978" ht="15.75" customHeight="1">
      <c r="D978" s="33"/>
      <c r="H978" s="33"/>
      <c r="I978" s="33"/>
      <c r="J978" s="33"/>
      <c r="K978" s="33"/>
      <c r="L978" s="33"/>
      <c r="M978" s="33"/>
      <c r="N978" s="33"/>
      <c r="O978" s="33"/>
      <c r="P978" s="71"/>
      <c r="Q978" s="33"/>
      <c r="S978" s="33"/>
      <c r="T978" s="35"/>
      <c r="U978" s="33"/>
    </row>
    <row r="979" ht="15.75" customHeight="1">
      <c r="D979" s="33"/>
      <c r="H979" s="33"/>
      <c r="I979" s="33"/>
      <c r="J979" s="33"/>
      <c r="K979" s="33"/>
      <c r="L979" s="33"/>
      <c r="M979" s="33"/>
      <c r="N979" s="33"/>
      <c r="O979" s="33"/>
      <c r="P979" s="71"/>
      <c r="Q979" s="33"/>
      <c r="S979" s="33"/>
      <c r="T979" s="35"/>
      <c r="U979" s="33"/>
    </row>
    <row r="980" ht="15.75" customHeight="1">
      <c r="D980" s="33"/>
      <c r="H980" s="33"/>
      <c r="I980" s="33"/>
      <c r="J980" s="33"/>
      <c r="K980" s="33"/>
      <c r="L980" s="33"/>
      <c r="M980" s="33"/>
      <c r="N980" s="33"/>
      <c r="O980" s="33"/>
      <c r="P980" s="71"/>
      <c r="Q980" s="33"/>
      <c r="S980" s="33"/>
      <c r="T980" s="35"/>
      <c r="U980" s="33"/>
    </row>
    <row r="981" ht="15.75" customHeight="1">
      <c r="D981" s="33"/>
      <c r="H981" s="33"/>
      <c r="I981" s="33"/>
      <c r="J981" s="33"/>
      <c r="K981" s="33"/>
      <c r="L981" s="33"/>
      <c r="M981" s="33"/>
      <c r="N981" s="33"/>
      <c r="O981" s="33"/>
      <c r="P981" s="71"/>
      <c r="Q981" s="33"/>
      <c r="S981" s="33"/>
      <c r="T981" s="35"/>
      <c r="U981" s="33"/>
    </row>
    <row r="982" ht="15.75" customHeight="1">
      <c r="D982" s="33"/>
      <c r="H982" s="33"/>
      <c r="I982" s="33"/>
      <c r="J982" s="33"/>
      <c r="K982" s="33"/>
      <c r="L982" s="33"/>
      <c r="M982" s="33"/>
      <c r="N982" s="33"/>
      <c r="O982" s="33"/>
      <c r="P982" s="71"/>
      <c r="Q982" s="33"/>
      <c r="S982" s="33"/>
      <c r="T982" s="35"/>
      <c r="U982" s="33"/>
    </row>
    <row r="983" ht="15.75" customHeight="1">
      <c r="D983" s="33"/>
      <c r="H983" s="33"/>
      <c r="I983" s="33"/>
      <c r="J983" s="33"/>
      <c r="K983" s="33"/>
      <c r="L983" s="33"/>
      <c r="M983" s="33"/>
      <c r="N983" s="33"/>
      <c r="O983" s="33"/>
      <c r="P983" s="71"/>
      <c r="Q983" s="33"/>
      <c r="S983" s="33"/>
      <c r="T983" s="35"/>
      <c r="U983" s="33"/>
    </row>
    <row r="984" ht="15.75" customHeight="1">
      <c r="D984" s="33"/>
      <c r="H984" s="33"/>
      <c r="I984" s="33"/>
      <c r="J984" s="33"/>
      <c r="K984" s="33"/>
      <c r="L984" s="33"/>
      <c r="M984" s="33"/>
      <c r="N984" s="33"/>
      <c r="O984" s="33"/>
      <c r="P984" s="71"/>
      <c r="Q984" s="33"/>
      <c r="S984" s="33"/>
      <c r="T984" s="35"/>
      <c r="U984" s="33"/>
    </row>
    <row r="985" ht="15.75" customHeight="1">
      <c r="D985" s="33"/>
      <c r="H985" s="33"/>
      <c r="I985" s="33"/>
      <c r="J985" s="33"/>
      <c r="K985" s="33"/>
      <c r="L985" s="33"/>
      <c r="M985" s="33"/>
      <c r="N985" s="33"/>
      <c r="O985" s="33"/>
      <c r="P985" s="71"/>
      <c r="Q985" s="33"/>
      <c r="S985" s="33"/>
      <c r="T985" s="35"/>
      <c r="U985" s="33"/>
    </row>
    <row r="986" ht="15.75" customHeight="1">
      <c r="D986" s="33"/>
      <c r="H986" s="33"/>
      <c r="I986" s="33"/>
      <c r="J986" s="33"/>
      <c r="K986" s="33"/>
      <c r="L986" s="33"/>
      <c r="M986" s="33"/>
      <c r="N986" s="33"/>
      <c r="O986" s="33"/>
      <c r="P986" s="71"/>
      <c r="Q986" s="33"/>
      <c r="S986" s="33"/>
      <c r="T986" s="35"/>
      <c r="U986" s="33"/>
    </row>
    <row r="987" ht="15.75" customHeight="1">
      <c r="D987" s="33"/>
      <c r="H987" s="33"/>
      <c r="I987" s="33"/>
      <c r="J987" s="33"/>
      <c r="K987" s="33"/>
      <c r="L987" s="33"/>
      <c r="M987" s="33"/>
      <c r="N987" s="33"/>
      <c r="O987" s="33"/>
      <c r="P987" s="71"/>
      <c r="Q987" s="33"/>
      <c r="S987" s="33"/>
      <c r="T987" s="35"/>
      <c r="U987" s="33"/>
    </row>
    <row r="988" ht="15.75" customHeight="1">
      <c r="D988" s="33"/>
      <c r="H988" s="33"/>
      <c r="I988" s="33"/>
      <c r="J988" s="33"/>
      <c r="K988" s="33"/>
      <c r="L988" s="33"/>
      <c r="M988" s="33"/>
      <c r="N988" s="33"/>
      <c r="O988" s="33"/>
      <c r="P988" s="71"/>
      <c r="Q988" s="33"/>
      <c r="S988" s="33"/>
      <c r="T988" s="35"/>
      <c r="U988" s="33"/>
    </row>
    <row r="989" ht="15.75" customHeight="1">
      <c r="D989" s="33"/>
      <c r="H989" s="33"/>
      <c r="I989" s="33"/>
      <c r="J989" s="33"/>
      <c r="K989" s="33"/>
      <c r="L989" s="33"/>
      <c r="M989" s="33"/>
      <c r="N989" s="33"/>
      <c r="O989" s="33"/>
      <c r="P989" s="71"/>
      <c r="Q989" s="33"/>
      <c r="S989" s="33"/>
      <c r="T989" s="35"/>
      <c r="U989" s="33"/>
    </row>
    <row r="990" ht="15.75" customHeight="1">
      <c r="D990" s="33"/>
      <c r="H990" s="33"/>
      <c r="I990" s="33"/>
      <c r="J990" s="33"/>
      <c r="K990" s="33"/>
      <c r="L990" s="33"/>
      <c r="M990" s="33"/>
      <c r="N990" s="33"/>
      <c r="O990" s="33"/>
      <c r="P990" s="71"/>
      <c r="Q990" s="33"/>
      <c r="S990" s="33"/>
      <c r="T990" s="35"/>
      <c r="U990" s="33"/>
    </row>
    <row r="991" ht="15.75" customHeight="1">
      <c r="D991" s="33"/>
      <c r="H991" s="33"/>
      <c r="I991" s="33"/>
      <c r="J991" s="33"/>
      <c r="K991" s="33"/>
      <c r="L991" s="33"/>
      <c r="M991" s="33"/>
      <c r="N991" s="33"/>
      <c r="O991" s="33"/>
      <c r="P991" s="71"/>
      <c r="Q991" s="33"/>
      <c r="S991" s="33"/>
      <c r="T991" s="35"/>
      <c r="U991" s="33"/>
    </row>
    <row r="992" ht="15.75" customHeight="1">
      <c r="D992" s="33"/>
      <c r="H992" s="33"/>
      <c r="I992" s="33"/>
      <c r="J992" s="33"/>
      <c r="K992" s="33"/>
      <c r="L992" s="33"/>
      <c r="M992" s="33"/>
      <c r="N992" s="33"/>
      <c r="O992" s="33"/>
      <c r="P992" s="71"/>
      <c r="Q992" s="33"/>
      <c r="S992" s="33"/>
      <c r="T992" s="35"/>
      <c r="U992" s="33"/>
    </row>
    <row r="993" ht="15.75" customHeight="1">
      <c r="D993" s="33"/>
      <c r="H993" s="33"/>
      <c r="I993" s="33"/>
      <c r="J993" s="33"/>
      <c r="K993" s="33"/>
      <c r="L993" s="33"/>
      <c r="M993" s="33"/>
      <c r="N993" s="33"/>
      <c r="O993" s="33"/>
      <c r="P993" s="71"/>
      <c r="Q993" s="33"/>
      <c r="S993" s="33"/>
      <c r="T993" s="35"/>
      <c r="U993" s="33"/>
    </row>
    <row r="994" ht="15.75" customHeight="1">
      <c r="D994" s="33"/>
      <c r="H994" s="33"/>
      <c r="I994" s="33"/>
      <c r="J994" s="33"/>
      <c r="K994" s="33"/>
      <c r="L994" s="33"/>
      <c r="M994" s="33"/>
      <c r="N994" s="33"/>
      <c r="O994" s="33"/>
      <c r="P994" s="71"/>
      <c r="Q994" s="33"/>
      <c r="S994" s="33"/>
      <c r="T994" s="35"/>
      <c r="U994" s="33"/>
    </row>
    <row r="995" ht="15.75" customHeight="1">
      <c r="D995" s="33"/>
      <c r="H995" s="33"/>
      <c r="I995" s="33"/>
      <c r="J995" s="33"/>
      <c r="K995" s="33"/>
      <c r="L995" s="33"/>
      <c r="M995" s="33"/>
      <c r="N995" s="33"/>
      <c r="O995" s="33"/>
      <c r="P995" s="71"/>
      <c r="Q995" s="33"/>
      <c r="S995" s="33"/>
      <c r="T995" s="35"/>
      <c r="U995" s="33"/>
    </row>
    <row r="996" ht="15.75" customHeight="1">
      <c r="D996" s="33"/>
      <c r="H996" s="33"/>
      <c r="I996" s="33"/>
      <c r="J996" s="33"/>
      <c r="K996" s="33"/>
      <c r="L996" s="33"/>
      <c r="M996" s="33"/>
      <c r="N996" s="33"/>
      <c r="O996" s="33"/>
      <c r="P996" s="71"/>
      <c r="Q996" s="33"/>
      <c r="S996" s="33"/>
      <c r="T996" s="35"/>
      <c r="U996" s="33"/>
    </row>
    <row r="997" ht="15.75" customHeight="1">
      <c r="D997" s="33"/>
      <c r="H997" s="33"/>
      <c r="I997" s="33"/>
      <c r="J997" s="33"/>
      <c r="K997" s="33"/>
      <c r="L997" s="33"/>
      <c r="M997" s="33"/>
      <c r="N997" s="33"/>
      <c r="O997" s="33"/>
      <c r="P997" s="71"/>
      <c r="Q997" s="33"/>
      <c r="S997" s="33"/>
      <c r="T997" s="35"/>
      <c r="U997" s="33"/>
    </row>
    <row r="998" ht="15.75" customHeight="1">
      <c r="D998" s="33"/>
      <c r="H998" s="33"/>
      <c r="I998" s="33"/>
      <c r="J998" s="33"/>
      <c r="K998" s="33"/>
      <c r="L998" s="33"/>
      <c r="M998" s="33"/>
      <c r="N998" s="33"/>
      <c r="O998" s="33"/>
      <c r="P998" s="71"/>
      <c r="Q998" s="33"/>
      <c r="S998" s="33"/>
      <c r="T998" s="35"/>
      <c r="U998" s="33"/>
    </row>
    <row r="999" ht="15.75" customHeight="1">
      <c r="D999" s="33"/>
      <c r="H999" s="33"/>
      <c r="I999" s="33"/>
      <c r="J999" s="33"/>
      <c r="K999" s="33"/>
      <c r="L999" s="33"/>
      <c r="M999" s="33"/>
      <c r="N999" s="33"/>
      <c r="O999" s="33"/>
      <c r="P999" s="71"/>
      <c r="Q999" s="33"/>
      <c r="S999" s="33"/>
      <c r="T999" s="35"/>
      <c r="U999" s="33"/>
    </row>
  </sheetData>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4.0"/>
    <col customWidth="1" min="3" max="3" width="28.14"/>
    <col customWidth="1" min="4" max="4" width="22.14"/>
    <col customWidth="1" min="5" max="5" width="24.14"/>
    <col customWidth="1" min="6" max="6" width="37.0"/>
    <col customWidth="1" min="7" max="7" width="10.71"/>
    <col customWidth="1" min="8" max="9" width="17.86"/>
    <col customWidth="1" min="10" max="11" width="13.43"/>
    <col customWidth="1" min="12" max="12" width="13.14"/>
    <col customWidth="1" min="13" max="13" width="231.29"/>
    <col customWidth="1" min="14" max="14" width="17.57"/>
    <col customWidth="1" min="15" max="15" width="17.43"/>
    <col customWidth="1" min="16" max="27" width="10.71"/>
  </cols>
  <sheetData>
    <row r="1">
      <c r="A1" s="73" t="s">
        <v>0</v>
      </c>
      <c r="B1" s="73" t="s">
        <v>775</v>
      </c>
      <c r="C1" s="73" t="s">
        <v>1201</v>
      </c>
      <c r="D1" s="73" t="s">
        <v>5</v>
      </c>
      <c r="E1" s="73" t="s">
        <v>1202</v>
      </c>
      <c r="F1" s="74" t="s">
        <v>1203</v>
      </c>
      <c r="G1" s="73" t="s">
        <v>1204</v>
      </c>
      <c r="H1" s="73" t="s">
        <v>1205</v>
      </c>
      <c r="I1" s="73" t="s">
        <v>1206</v>
      </c>
      <c r="J1" s="74" t="s">
        <v>21</v>
      </c>
      <c r="K1" s="75" t="s">
        <v>26</v>
      </c>
      <c r="L1" s="75" t="s">
        <v>783</v>
      </c>
      <c r="M1" s="75" t="s">
        <v>32</v>
      </c>
      <c r="N1" s="76" t="s">
        <v>30</v>
      </c>
      <c r="O1" s="76" t="s">
        <v>31</v>
      </c>
    </row>
    <row r="2">
      <c r="A2" s="32">
        <v>23289.0</v>
      </c>
      <c r="B2" s="32" t="s">
        <v>1207</v>
      </c>
      <c r="C2" s="32" t="s">
        <v>1208</v>
      </c>
      <c r="D2" s="32" t="s">
        <v>1209</v>
      </c>
      <c r="E2" s="32" t="s">
        <v>1210</v>
      </c>
      <c r="F2" s="32" t="s">
        <v>1211</v>
      </c>
      <c r="G2" s="32" t="s">
        <v>1144</v>
      </c>
      <c r="H2" s="32">
        <v>5.65</v>
      </c>
      <c r="I2" s="32" t="s">
        <v>1212</v>
      </c>
      <c r="J2" s="32" t="s">
        <v>61</v>
      </c>
      <c r="M2" s="32" t="s">
        <v>1213</v>
      </c>
      <c r="N2" s="32" t="s">
        <v>1214</v>
      </c>
      <c r="O2" s="32" t="s">
        <v>1215</v>
      </c>
    </row>
    <row r="3">
      <c r="A3" s="32">
        <v>23277.0</v>
      </c>
      <c r="B3" s="32" t="s">
        <v>1207</v>
      </c>
      <c r="C3" s="32" t="s">
        <v>1216</v>
      </c>
      <c r="D3" s="32" t="s">
        <v>1217</v>
      </c>
      <c r="E3" s="32" t="s">
        <v>1210</v>
      </c>
      <c r="F3" s="32" t="s">
        <v>1218</v>
      </c>
      <c r="G3" s="32" t="s">
        <v>1144</v>
      </c>
      <c r="H3" s="32">
        <v>3.5</v>
      </c>
      <c r="I3" s="32" t="s">
        <v>1212</v>
      </c>
      <c r="J3" s="32" t="s">
        <v>61</v>
      </c>
      <c r="M3" s="32" t="s">
        <v>1219</v>
      </c>
      <c r="N3" s="32" t="s">
        <v>1214</v>
      </c>
      <c r="O3" s="32" t="s">
        <v>1215</v>
      </c>
    </row>
    <row r="4">
      <c r="A4" s="32">
        <v>23290.0</v>
      </c>
      <c r="B4" s="32" t="s">
        <v>1207</v>
      </c>
      <c r="C4" s="32" t="s">
        <v>1220</v>
      </c>
      <c r="D4" s="32" t="s">
        <v>1217</v>
      </c>
      <c r="E4" s="32" t="s">
        <v>1210</v>
      </c>
      <c r="F4" s="32" t="s">
        <v>1211</v>
      </c>
      <c r="G4" s="32" t="s">
        <v>1144</v>
      </c>
      <c r="H4" s="32">
        <v>4.45</v>
      </c>
      <c r="I4" s="32" t="s">
        <v>1212</v>
      </c>
      <c r="J4" s="32" t="s">
        <v>61</v>
      </c>
      <c r="M4" s="32" t="s">
        <v>1219</v>
      </c>
      <c r="N4" s="32" t="s">
        <v>1214</v>
      </c>
      <c r="O4" s="32" t="s">
        <v>1215</v>
      </c>
    </row>
    <row r="5">
      <c r="A5" s="32">
        <v>23291.0</v>
      </c>
      <c r="B5" s="32" t="s">
        <v>1207</v>
      </c>
      <c r="C5" s="32" t="s">
        <v>1221</v>
      </c>
      <c r="D5" s="32" t="s">
        <v>1217</v>
      </c>
      <c r="E5" s="32" t="s">
        <v>1222</v>
      </c>
      <c r="F5" s="32" t="s">
        <v>1211</v>
      </c>
      <c r="G5" s="32" t="s">
        <v>1223</v>
      </c>
      <c r="H5" s="32">
        <v>3.3</v>
      </c>
      <c r="I5" s="32" t="s">
        <v>1212</v>
      </c>
      <c r="J5" s="32" t="s">
        <v>61</v>
      </c>
      <c r="M5" s="32" t="s">
        <v>1224</v>
      </c>
      <c r="N5" s="32" t="s">
        <v>1214</v>
      </c>
      <c r="O5" s="32" t="s">
        <v>1215</v>
      </c>
    </row>
    <row r="6">
      <c r="A6" s="32">
        <v>23278.0</v>
      </c>
      <c r="B6" s="32" t="s">
        <v>1207</v>
      </c>
      <c r="C6" s="32" t="s">
        <v>1225</v>
      </c>
      <c r="D6" s="32" t="s">
        <v>1217</v>
      </c>
      <c r="E6" s="32" t="s">
        <v>1226</v>
      </c>
      <c r="F6" s="32" t="s">
        <v>1218</v>
      </c>
      <c r="G6" s="32" t="s">
        <v>1223</v>
      </c>
      <c r="H6" s="32">
        <v>3.15</v>
      </c>
      <c r="I6" s="32" t="s">
        <v>1212</v>
      </c>
      <c r="J6" s="32" t="s">
        <v>61</v>
      </c>
      <c r="M6" s="32" t="s">
        <v>1227</v>
      </c>
      <c r="N6" s="32" t="s">
        <v>1214</v>
      </c>
      <c r="O6" s="32" t="s">
        <v>1215</v>
      </c>
    </row>
    <row r="7">
      <c r="A7" s="32">
        <v>23292.0</v>
      </c>
      <c r="B7" s="32" t="s">
        <v>1207</v>
      </c>
      <c r="C7" s="32" t="s">
        <v>1228</v>
      </c>
      <c r="D7" s="32" t="s">
        <v>1217</v>
      </c>
      <c r="E7" s="32" t="s">
        <v>1226</v>
      </c>
      <c r="F7" s="32" t="s">
        <v>1211</v>
      </c>
      <c r="G7" s="32" t="s">
        <v>1223</v>
      </c>
      <c r="H7" s="32">
        <v>2.5</v>
      </c>
      <c r="I7" s="32" t="s">
        <v>1212</v>
      </c>
      <c r="J7" s="32" t="s">
        <v>61</v>
      </c>
      <c r="M7" s="32" t="s">
        <v>1227</v>
      </c>
      <c r="N7" s="32" t="s">
        <v>1214</v>
      </c>
      <c r="O7" s="32" t="s">
        <v>1215</v>
      </c>
    </row>
    <row r="8">
      <c r="A8" s="32">
        <v>23279.0</v>
      </c>
      <c r="B8" s="32" t="s">
        <v>1207</v>
      </c>
      <c r="C8" s="32" t="s">
        <v>1229</v>
      </c>
      <c r="D8" s="32" t="s">
        <v>525</v>
      </c>
      <c r="E8" s="32" t="s">
        <v>1210</v>
      </c>
      <c r="F8" s="32" t="s">
        <v>1218</v>
      </c>
      <c r="G8" s="32" t="s">
        <v>1223</v>
      </c>
      <c r="H8" s="32">
        <v>5.05</v>
      </c>
      <c r="I8" s="32" t="s">
        <v>1212</v>
      </c>
      <c r="J8" s="32" t="s">
        <v>61</v>
      </c>
      <c r="M8" s="32" t="s">
        <v>1230</v>
      </c>
      <c r="N8" s="32" t="s">
        <v>1214</v>
      </c>
      <c r="O8" s="32" t="s">
        <v>1215</v>
      </c>
    </row>
    <row r="9">
      <c r="A9" s="32">
        <v>23293.0</v>
      </c>
      <c r="B9" s="32" t="s">
        <v>1207</v>
      </c>
      <c r="C9" s="32" t="s">
        <v>1231</v>
      </c>
      <c r="D9" s="32" t="s">
        <v>525</v>
      </c>
      <c r="E9" s="32" t="s">
        <v>1210</v>
      </c>
      <c r="F9" s="32" t="s">
        <v>1211</v>
      </c>
      <c r="G9" s="32" t="s">
        <v>1223</v>
      </c>
      <c r="H9" s="32">
        <v>6.35</v>
      </c>
      <c r="I9" s="32" t="s">
        <v>1212</v>
      </c>
      <c r="J9" s="32" t="s">
        <v>61</v>
      </c>
      <c r="M9" s="32" t="s">
        <v>1230</v>
      </c>
      <c r="N9" s="32" t="s">
        <v>1214</v>
      </c>
      <c r="O9" s="32" t="s">
        <v>1215</v>
      </c>
    </row>
    <row r="10">
      <c r="A10" s="32">
        <v>23278.0</v>
      </c>
      <c r="B10" s="32" t="s">
        <v>1207</v>
      </c>
      <c r="C10" s="32" t="s">
        <v>1232</v>
      </c>
      <c r="D10" s="32" t="s">
        <v>525</v>
      </c>
      <c r="E10" s="32" t="s">
        <v>1226</v>
      </c>
      <c r="F10" s="32" t="s">
        <v>1218</v>
      </c>
      <c r="G10" s="32" t="s">
        <v>1223</v>
      </c>
      <c r="H10" s="32">
        <v>3.25</v>
      </c>
      <c r="I10" s="32" t="s">
        <v>1212</v>
      </c>
      <c r="J10" s="32" t="s">
        <v>61</v>
      </c>
      <c r="M10" s="32" t="s">
        <v>1233</v>
      </c>
      <c r="N10" s="32" t="s">
        <v>1214</v>
      </c>
      <c r="O10" s="32" t="s">
        <v>1215</v>
      </c>
    </row>
    <row r="11">
      <c r="A11" s="32">
        <v>23295.0</v>
      </c>
      <c r="B11" s="32" t="s">
        <v>1207</v>
      </c>
      <c r="C11" s="32" t="s">
        <v>1234</v>
      </c>
      <c r="D11" s="32" t="s">
        <v>525</v>
      </c>
      <c r="E11" s="32" t="s">
        <v>1226</v>
      </c>
      <c r="F11" s="32" t="s">
        <v>1211</v>
      </c>
      <c r="G11" s="32" t="s">
        <v>1223</v>
      </c>
      <c r="H11" s="32">
        <v>2.8</v>
      </c>
      <c r="I11" s="32" t="s">
        <v>1212</v>
      </c>
      <c r="J11" s="32" t="s">
        <v>61</v>
      </c>
      <c r="M11" s="32" t="s">
        <v>1233</v>
      </c>
      <c r="N11" s="32" t="s">
        <v>1214</v>
      </c>
      <c r="O11" s="32" t="s">
        <v>1215</v>
      </c>
    </row>
    <row r="12">
      <c r="A12" s="32">
        <v>23296.0</v>
      </c>
      <c r="B12" s="32" t="s">
        <v>1207</v>
      </c>
      <c r="C12" s="32" t="s">
        <v>1159</v>
      </c>
      <c r="D12" s="32" t="s">
        <v>525</v>
      </c>
      <c r="E12" s="32" t="s">
        <v>1235</v>
      </c>
      <c r="F12" s="32" t="s">
        <v>1211</v>
      </c>
      <c r="G12" s="32" t="s">
        <v>1144</v>
      </c>
      <c r="H12" s="32">
        <v>7.4</v>
      </c>
      <c r="I12" s="32" t="s">
        <v>1212</v>
      </c>
      <c r="J12" s="32" t="s">
        <v>61</v>
      </c>
      <c r="M12" s="32" t="s">
        <v>1236</v>
      </c>
      <c r="N12" s="32" t="s">
        <v>1214</v>
      </c>
      <c r="O12" s="32" t="s">
        <v>1215</v>
      </c>
    </row>
    <row r="13">
      <c r="A13" s="32">
        <v>23297.0</v>
      </c>
      <c r="B13" s="32" t="s">
        <v>1207</v>
      </c>
      <c r="C13" s="32" t="s">
        <v>1237</v>
      </c>
      <c r="D13" s="32" t="s">
        <v>1238</v>
      </c>
      <c r="E13" s="32" t="s">
        <v>1235</v>
      </c>
      <c r="F13" s="32" t="s">
        <v>1211</v>
      </c>
      <c r="G13" s="32" t="s">
        <v>1223</v>
      </c>
      <c r="H13" s="32">
        <v>7.0</v>
      </c>
      <c r="I13" s="32" t="s">
        <v>1212</v>
      </c>
      <c r="J13" s="32" t="s">
        <v>61</v>
      </c>
      <c r="M13" s="32" t="s">
        <v>1239</v>
      </c>
      <c r="N13" s="32" t="s">
        <v>1214</v>
      </c>
      <c r="O13" s="32" t="s">
        <v>1215</v>
      </c>
    </row>
    <row r="14">
      <c r="A14" s="32">
        <v>23281.0</v>
      </c>
      <c r="B14" s="32" t="s">
        <v>1207</v>
      </c>
      <c r="C14" s="32" t="s">
        <v>1240</v>
      </c>
      <c r="D14" s="32" t="s">
        <v>1238</v>
      </c>
      <c r="E14" s="32" t="s">
        <v>1241</v>
      </c>
      <c r="F14" s="32" t="s">
        <v>1218</v>
      </c>
      <c r="G14" s="32" t="s">
        <v>1223</v>
      </c>
      <c r="H14" s="32">
        <v>3.1</v>
      </c>
      <c r="I14" s="32" t="s">
        <v>1212</v>
      </c>
      <c r="J14" s="32" t="s">
        <v>61</v>
      </c>
      <c r="M14" s="32" t="s">
        <v>1242</v>
      </c>
      <c r="N14" s="32" t="s">
        <v>1214</v>
      </c>
      <c r="O14" s="32" t="s">
        <v>1215</v>
      </c>
    </row>
    <row r="15">
      <c r="A15" s="32">
        <v>23298.0</v>
      </c>
      <c r="B15" s="32" t="s">
        <v>1207</v>
      </c>
      <c r="C15" s="32" t="s">
        <v>1243</v>
      </c>
      <c r="D15" s="32" t="s">
        <v>1238</v>
      </c>
      <c r="E15" s="32" t="s">
        <v>1241</v>
      </c>
      <c r="F15" s="32" t="s">
        <v>1211</v>
      </c>
      <c r="G15" s="32" t="s">
        <v>1223</v>
      </c>
      <c r="H15" s="32">
        <v>2.5</v>
      </c>
      <c r="I15" s="32" t="s">
        <v>1212</v>
      </c>
      <c r="J15" s="32" t="s">
        <v>61</v>
      </c>
      <c r="M15" s="32" t="s">
        <v>1242</v>
      </c>
      <c r="N15" s="32" t="s">
        <v>1214</v>
      </c>
      <c r="O15" s="32" t="s">
        <v>1215</v>
      </c>
    </row>
    <row r="16">
      <c r="A16" s="32">
        <v>23299.0</v>
      </c>
      <c r="B16" s="32" t="s">
        <v>1207</v>
      </c>
      <c r="C16" s="32" t="s">
        <v>1244</v>
      </c>
      <c r="D16" s="32" t="s">
        <v>1238</v>
      </c>
      <c r="E16" s="32" t="s">
        <v>1245</v>
      </c>
      <c r="F16" s="32" t="s">
        <v>1246</v>
      </c>
      <c r="G16" s="32" t="s">
        <v>1223</v>
      </c>
      <c r="H16" s="32">
        <v>4.0</v>
      </c>
      <c r="I16" s="32" t="s">
        <v>1212</v>
      </c>
      <c r="J16" s="32" t="s">
        <v>61</v>
      </c>
      <c r="M16" s="32" t="s">
        <v>1242</v>
      </c>
      <c r="N16" s="32" t="s">
        <v>1214</v>
      </c>
      <c r="O16" s="32" t="s">
        <v>1215</v>
      </c>
    </row>
    <row r="17">
      <c r="A17" s="32">
        <v>23301.0</v>
      </c>
      <c r="B17" s="32" t="s">
        <v>1247</v>
      </c>
      <c r="C17" s="32" t="s">
        <v>1248</v>
      </c>
      <c r="D17" s="32" t="s">
        <v>1238</v>
      </c>
      <c r="E17" s="32" t="s">
        <v>1249</v>
      </c>
      <c r="F17" s="32" t="s">
        <v>1211</v>
      </c>
      <c r="G17" s="32" t="s">
        <v>1223</v>
      </c>
      <c r="H17" s="32">
        <v>8.4</v>
      </c>
      <c r="I17" s="32" t="s">
        <v>1212</v>
      </c>
      <c r="J17" s="32" t="s">
        <v>61</v>
      </c>
      <c r="M17" s="32" t="s">
        <v>1250</v>
      </c>
      <c r="N17" s="32" t="s">
        <v>1214</v>
      </c>
      <c r="O17" s="32" t="s">
        <v>1215</v>
      </c>
    </row>
    <row r="18">
      <c r="A18" s="32">
        <v>23302.0</v>
      </c>
      <c r="B18" s="32" t="s">
        <v>1207</v>
      </c>
      <c r="C18" s="32" t="s">
        <v>1251</v>
      </c>
      <c r="D18" s="32" t="s">
        <v>1252</v>
      </c>
      <c r="E18" s="32" t="s">
        <v>1253</v>
      </c>
      <c r="F18" s="32" t="s">
        <v>1211</v>
      </c>
      <c r="G18" s="32" t="s">
        <v>1223</v>
      </c>
      <c r="H18" s="32">
        <v>11.0</v>
      </c>
      <c r="I18" s="32" t="s">
        <v>1212</v>
      </c>
      <c r="J18" s="32" t="s">
        <v>61</v>
      </c>
      <c r="M18" s="32" t="s">
        <v>1254</v>
      </c>
      <c r="N18" s="32" t="s">
        <v>1214</v>
      </c>
      <c r="O18" s="32" t="s">
        <v>1215</v>
      </c>
    </row>
    <row r="19">
      <c r="A19" s="32">
        <v>6432.0</v>
      </c>
      <c r="B19" s="32" t="s">
        <v>1207</v>
      </c>
      <c r="C19" s="32" t="s">
        <v>1255</v>
      </c>
      <c r="D19" s="32" t="s">
        <v>1252</v>
      </c>
      <c r="E19" s="32" t="s">
        <v>1253</v>
      </c>
      <c r="F19" s="32" t="s">
        <v>1256</v>
      </c>
      <c r="G19" s="32" t="s">
        <v>1223</v>
      </c>
      <c r="H19" s="32">
        <v>18.65</v>
      </c>
      <c r="I19" s="32" t="s">
        <v>1212</v>
      </c>
      <c r="J19" s="32" t="s">
        <v>61</v>
      </c>
      <c r="M19" s="32" t="s">
        <v>1254</v>
      </c>
      <c r="N19" s="32" t="s">
        <v>1214</v>
      </c>
      <c r="O19" s="32" t="s">
        <v>1215</v>
      </c>
    </row>
    <row r="20">
      <c r="A20" s="32">
        <v>23300.0</v>
      </c>
      <c r="B20" s="32" t="s">
        <v>1207</v>
      </c>
      <c r="C20" s="32" t="s">
        <v>1257</v>
      </c>
      <c r="D20" s="32" t="s">
        <v>1258</v>
      </c>
      <c r="E20" s="32" t="s">
        <v>1259</v>
      </c>
      <c r="F20" s="32" t="s">
        <v>1211</v>
      </c>
      <c r="G20" s="32" t="s">
        <v>1223</v>
      </c>
      <c r="H20" s="32">
        <v>14.0</v>
      </c>
      <c r="I20" s="32" t="s">
        <v>1212</v>
      </c>
      <c r="J20" s="32" t="s">
        <v>61</v>
      </c>
      <c r="M20" s="32" t="s">
        <v>1260</v>
      </c>
      <c r="N20" s="32" t="s">
        <v>1214</v>
      </c>
      <c r="O20" s="32" t="s">
        <v>1215</v>
      </c>
    </row>
    <row r="21" ht="15.75" customHeight="1">
      <c r="A21" s="32">
        <v>23303.0</v>
      </c>
      <c r="B21" s="32" t="s">
        <v>1207</v>
      </c>
      <c r="C21" s="32" t="s">
        <v>1261</v>
      </c>
      <c r="D21" s="32" t="s">
        <v>1262</v>
      </c>
      <c r="E21" s="32" t="s">
        <v>1263</v>
      </c>
      <c r="F21" s="32" t="s">
        <v>1211</v>
      </c>
      <c r="G21" s="32" t="s">
        <v>1144</v>
      </c>
      <c r="H21" s="32">
        <v>5.0</v>
      </c>
      <c r="I21" s="32" t="s">
        <v>1212</v>
      </c>
      <c r="J21" s="32" t="s">
        <v>61</v>
      </c>
      <c r="M21" s="32" t="s">
        <v>1264</v>
      </c>
      <c r="N21" s="32" t="s">
        <v>1214</v>
      </c>
      <c r="O21" s="32" t="s">
        <v>1215</v>
      </c>
    </row>
    <row r="22" ht="15.75" customHeight="1">
      <c r="A22" s="32">
        <v>23282.0</v>
      </c>
      <c r="B22" s="32" t="s">
        <v>1207</v>
      </c>
      <c r="C22" s="32" t="s">
        <v>1265</v>
      </c>
      <c r="D22" s="32" t="s">
        <v>1238</v>
      </c>
      <c r="E22" s="32" t="s">
        <v>1241</v>
      </c>
      <c r="F22" s="32" t="s">
        <v>1218</v>
      </c>
      <c r="G22" s="32" t="s">
        <v>1223</v>
      </c>
      <c r="H22" s="32">
        <v>2.9</v>
      </c>
      <c r="I22" s="32" t="s">
        <v>1212</v>
      </c>
      <c r="J22" s="32" t="s">
        <v>61</v>
      </c>
      <c r="M22" s="32" t="s">
        <v>1266</v>
      </c>
      <c r="N22" s="32" t="s">
        <v>1214</v>
      </c>
      <c r="O22" s="32" t="s">
        <v>1215</v>
      </c>
    </row>
    <row r="23" ht="15.75" customHeight="1">
      <c r="A23" s="32">
        <v>23304.0</v>
      </c>
      <c r="B23" s="32" t="s">
        <v>1207</v>
      </c>
      <c r="C23" s="32" t="s">
        <v>1267</v>
      </c>
      <c r="D23" s="32" t="s">
        <v>1238</v>
      </c>
      <c r="E23" s="32" t="s">
        <v>1241</v>
      </c>
      <c r="F23" s="32" t="s">
        <v>1211</v>
      </c>
      <c r="G23" s="32" t="s">
        <v>1223</v>
      </c>
      <c r="H23" s="32">
        <v>2.2</v>
      </c>
      <c r="I23" s="32" t="s">
        <v>1212</v>
      </c>
      <c r="J23" s="32" t="s">
        <v>61</v>
      </c>
      <c r="M23" s="32" t="s">
        <v>1266</v>
      </c>
      <c r="N23" s="32" t="s">
        <v>1214</v>
      </c>
      <c r="O23" s="32" t="s">
        <v>1215</v>
      </c>
    </row>
    <row r="24" ht="15.75" customHeight="1">
      <c r="A24" s="32">
        <v>23305.0</v>
      </c>
      <c r="B24" s="32" t="s">
        <v>1207</v>
      </c>
      <c r="C24" s="32" t="s">
        <v>1268</v>
      </c>
      <c r="D24" s="32" t="s">
        <v>1238</v>
      </c>
      <c r="E24" s="32" t="s">
        <v>1226</v>
      </c>
      <c r="F24" s="32" t="s">
        <v>1211</v>
      </c>
      <c r="G24" s="32" t="s">
        <v>1223</v>
      </c>
      <c r="H24" s="32">
        <v>5.65</v>
      </c>
      <c r="I24" s="32" t="s">
        <v>1212</v>
      </c>
      <c r="J24" s="32" t="s">
        <v>61</v>
      </c>
      <c r="M24" s="32" t="s">
        <v>1269</v>
      </c>
      <c r="N24" s="32" t="s">
        <v>1214</v>
      </c>
      <c r="O24" s="32" t="s">
        <v>1215</v>
      </c>
    </row>
    <row r="25" ht="15.75" customHeight="1">
      <c r="A25" s="32">
        <v>23307.0</v>
      </c>
      <c r="B25" s="32" t="s">
        <v>1207</v>
      </c>
      <c r="C25" s="32" t="s">
        <v>1270</v>
      </c>
      <c r="D25" s="32" t="s">
        <v>1271</v>
      </c>
      <c r="E25" s="32" t="s">
        <v>1272</v>
      </c>
      <c r="F25" s="32" t="s">
        <v>1211</v>
      </c>
      <c r="G25" s="32" t="s">
        <v>1144</v>
      </c>
      <c r="H25" s="32">
        <v>7.0</v>
      </c>
      <c r="I25" s="32" t="s">
        <v>1212</v>
      </c>
      <c r="J25" s="32" t="s">
        <v>61</v>
      </c>
      <c r="M25" s="32" t="s">
        <v>1273</v>
      </c>
      <c r="N25" s="32" t="s">
        <v>1214</v>
      </c>
      <c r="O25" s="32" t="s">
        <v>1215</v>
      </c>
    </row>
    <row r="26" ht="15.75" customHeight="1">
      <c r="A26" s="32">
        <v>23308.0</v>
      </c>
      <c r="B26" s="32" t="s">
        <v>1207</v>
      </c>
      <c r="C26" s="32" t="s">
        <v>880</v>
      </c>
      <c r="D26" s="32" t="s">
        <v>1274</v>
      </c>
      <c r="E26" s="32" t="s">
        <v>1275</v>
      </c>
      <c r="F26" s="32" t="s">
        <v>1211</v>
      </c>
      <c r="G26" s="32" t="s">
        <v>1144</v>
      </c>
      <c r="H26" s="32">
        <v>3.5</v>
      </c>
      <c r="I26" s="32" t="s">
        <v>1212</v>
      </c>
      <c r="J26" s="32" t="s">
        <v>61</v>
      </c>
      <c r="M26" s="32" t="s">
        <v>1276</v>
      </c>
      <c r="N26" s="32" t="s">
        <v>1214</v>
      </c>
      <c r="O26" s="32" t="s">
        <v>1215</v>
      </c>
    </row>
    <row r="27" ht="15.75" customHeight="1">
      <c r="A27" s="32">
        <v>23313.0</v>
      </c>
      <c r="B27" s="32" t="s">
        <v>1277</v>
      </c>
      <c r="C27" s="32" t="s">
        <v>1156</v>
      </c>
      <c r="D27" s="32" t="s">
        <v>525</v>
      </c>
      <c r="E27" s="32" t="s">
        <v>1278</v>
      </c>
      <c r="F27" s="32" t="s">
        <v>1279</v>
      </c>
      <c r="G27" s="32" t="s">
        <v>1223</v>
      </c>
      <c r="H27" s="32">
        <v>6.55</v>
      </c>
      <c r="I27" s="32" t="s">
        <v>1212</v>
      </c>
      <c r="J27" s="32" t="s">
        <v>61</v>
      </c>
      <c r="M27" s="32" t="s">
        <v>1280</v>
      </c>
      <c r="N27" s="32" t="s">
        <v>1214</v>
      </c>
      <c r="O27" s="32" t="s">
        <v>1215</v>
      </c>
    </row>
    <row r="28" ht="15.75" customHeight="1">
      <c r="A28" s="32">
        <v>23314.0</v>
      </c>
      <c r="B28" s="32" t="s">
        <v>1277</v>
      </c>
      <c r="C28" s="32" t="s">
        <v>1176</v>
      </c>
      <c r="D28" s="32" t="s">
        <v>1209</v>
      </c>
      <c r="E28" s="32" t="s">
        <v>1278</v>
      </c>
      <c r="F28" s="32" t="s">
        <v>1279</v>
      </c>
      <c r="G28" s="32" t="s">
        <v>1223</v>
      </c>
      <c r="H28" s="32">
        <v>11.5</v>
      </c>
      <c r="I28" s="32" t="s">
        <v>1212</v>
      </c>
      <c r="J28" s="32" t="s">
        <v>61</v>
      </c>
      <c r="M28" s="32" t="s">
        <v>1281</v>
      </c>
      <c r="N28" s="32" t="s">
        <v>1214</v>
      </c>
      <c r="O28" s="32" t="s">
        <v>1215</v>
      </c>
    </row>
    <row r="29" ht="15.75" customHeight="1">
      <c r="A29" s="32">
        <v>23315.0</v>
      </c>
      <c r="B29" s="32" t="s">
        <v>1277</v>
      </c>
      <c r="C29" s="32" t="s">
        <v>1282</v>
      </c>
      <c r="D29" s="32" t="s">
        <v>1128</v>
      </c>
      <c r="E29" s="32" t="s">
        <v>1278</v>
      </c>
      <c r="F29" s="32" t="s">
        <v>1279</v>
      </c>
      <c r="G29" s="32" t="s">
        <v>1223</v>
      </c>
      <c r="H29" s="32">
        <v>4.25</v>
      </c>
      <c r="I29" s="32" t="s">
        <v>1212</v>
      </c>
      <c r="J29" s="32" t="s">
        <v>61</v>
      </c>
      <c r="K29" s="77"/>
      <c r="M29" s="32" t="s">
        <v>1283</v>
      </c>
      <c r="N29" s="32" t="s">
        <v>1214</v>
      </c>
      <c r="O29" s="32" t="s">
        <v>1215</v>
      </c>
    </row>
    <row r="30" ht="15.75" customHeight="1">
      <c r="A30" s="32">
        <v>23316.0</v>
      </c>
      <c r="B30" s="32" t="s">
        <v>1277</v>
      </c>
      <c r="C30" s="32" t="s">
        <v>1113</v>
      </c>
      <c r="D30" s="32" t="s">
        <v>1252</v>
      </c>
      <c r="E30" s="32" t="s">
        <v>1278</v>
      </c>
      <c r="F30" s="32" t="s">
        <v>1279</v>
      </c>
      <c r="G30" s="32" t="s">
        <v>1223</v>
      </c>
      <c r="H30" s="32">
        <v>27.05</v>
      </c>
      <c r="I30" s="32" t="s">
        <v>1212</v>
      </c>
      <c r="J30" s="32" t="s">
        <v>61</v>
      </c>
      <c r="M30" s="32" t="s">
        <v>1284</v>
      </c>
      <c r="N30" s="32" t="s">
        <v>1214</v>
      </c>
      <c r="O30" s="32" t="s">
        <v>1215</v>
      </c>
    </row>
    <row r="31" ht="15.75" customHeight="1">
      <c r="A31" s="32">
        <v>23317.0</v>
      </c>
      <c r="B31" s="32" t="s">
        <v>1277</v>
      </c>
      <c r="C31" s="32" t="s">
        <v>1152</v>
      </c>
      <c r="D31" s="32" t="s">
        <v>1262</v>
      </c>
      <c r="E31" s="32" t="s">
        <v>1278</v>
      </c>
      <c r="F31" s="32" t="s">
        <v>1279</v>
      </c>
      <c r="G31" s="32" t="s">
        <v>1223</v>
      </c>
      <c r="H31" s="32">
        <v>11.7</v>
      </c>
      <c r="I31" s="32" t="s">
        <v>1212</v>
      </c>
      <c r="J31" s="32" t="s">
        <v>61</v>
      </c>
      <c r="M31" s="32" t="s">
        <v>1285</v>
      </c>
      <c r="N31" s="32" t="s">
        <v>1214</v>
      </c>
      <c r="O31" s="32" t="s">
        <v>1215</v>
      </c>
    </row>
    <row r="32" ht="15.75" customHeight="1">
      <c r="A32" s="32">
        <v>23318.0</v>
      </c>
      <c r="B32" s="32" t="s">
        <v>1277</v>
      </c>
      <c r="C32" s="32" t="s">
        <v>878</v>
      </c>
      <c r="D32" s="32" t="s">
        <v>525</v>
      </c>
      <c r="E32" s="32" t="s">
        <v>1278</v>
      </c>
      <c r="F32" s="32" t="s">
        <v>1279</v>
      </c>
      <c r="G32" s="32" t="s">
        <v>1223</v>
      </c>
      <c r="H32" s="32">
        <v>7.5</v>
      </c>
      <c r="I32" s="32" t="s">
        <v>1212</v>
      </c>
      <c r="J32" s="32" t="s">
        <v>61</v>
      </c>
      <c r="M32" s="32" t="s">
        <v>1286</v>
      </c>
      <c r="N32" s="32" t="s">
        <v>1214</v>
      </c>
      <c r="O32" s="32" t="s">
        <v>1215</v>
      </c>
    </row>
    <row r="33" ht="15.75" customHeight="1">
      <c r="A33" s="32">
        <v>23319.0</v>
      </c>
      <c r="B33" s="32" t="s">
        <v>1277</v>
      </c>
      <c r="C33" s="32" t="s">
        <v>1159</v>
      </c>
      <c r="D33" s="32" t="s">
        <v>525</v>
      </c>
      <c r="E33" s="32" t="s">
        <v>1278</v>
      </c>
      <c r="F33" s="32" t="s">
        <v>1279</v>
      </c>
      <c r="G33" s="32" t="s">
        <v>1223</v>
      </c>
      <c r="H33" s="32">
        <v>7.95</v>
      </c>
      <c r="I33" s="32" t="s">
        <v>1212</v>
      </c>
      <c r="J33" s="32" t="s">
        <v>61</v>
      </c>
      <c r="M33" s="32" t="s">
        <v>1287</v>
      </c>
      <c r="N33" s="32" t="s">
        <v>1214</v>
      </c>
      <c r="O33" s="32" t="s">
        <v>1215</v>
      </c>
    </row>
    <row r="34" ht="15.75" customHeight="1">
      <c r="A34" s="32">
        <v>23309.0</v>
      </c>
      <c r="B34" s="32" t="s">
        <v>1207</v>
      </c>
      <c r="C34" s="32" t="s">
        <v>1155</v>
      </c>
      <c r="D34" s="32" t="s">
        <v>1288</v>
      </c>
      <c r="E34" s="32" t="s">
        <v>1235</v>
      </c>
      <c r="F34" s="32" t="s">
        <v>1211</v>
      </c>
      <c r="G34" s="32" t="s">
        <v>1144</v>
      </c>
      <c r="H34" s="32">
        <v>3465.0</v>
      </c>
      <c r="I34" s="32" t="s">
        <v>1212</v>
      </c>
      <c r="J34" s="32" t="s">
        <v>738</v>
      </c>
      <c r="M34" s="32" t="s">
        <v>1289</v>
      </c>
      <c r="N34" s="32" t="s">
        <v>1214</v>
      </c>
      <c r="O34" s="32" t="s">
        <v>1215</v>
      </c>
    </row>
    <row r="35" ht="15.75" customHeight="1">
      <c r="A35" s="32">
        <v>23310.0</v>
      </c>
      <c r="B35" s="32" t="s">
        <v>1207</v>
      </c>
      <c r="C35" s="32" t="s">
        <v>1290</v>
      </c>
      <c r="D35" s="32" t="s">
        <v>1288</v>
      </c>
      <c r="E35" s="32" t="s">
        <v>1275</v>
      </c>
      <c r="F35" s="32" t="s">
        <v>1211</v>
      </c>
      <c r="G35" s="32" t="s">
        <v>1144</v>
      </c>
      <c r="H35" s="32">
        <v>4800.0</v>
      </c>
      <c r="I35" s="32" t="s">
        <v>1212</v>
      </c>
      <c r="J35" s="32" t="s">
        <v>738</v>
      </c>
      <c r="M35" s="32" t="s">
        <v>1291</v>
      </c>
      <c r="N35" s="32" t="s">
        <v>1214</v>
      </c>
      <c r="O35" s="32" t="s">
        <v>1215</v>
      </c>
    </row>
    <row r="36" ht="15.75" customHeight="1">
      <c r="A36" s="32">
        <v>23311.0</v>
      </c>
      <c r="B36" s="32" t="s">
        <v>1207</v>
      </c>
      <c r="C36" s="32" t="s">
        <v>882</v>
      </c>
      <c r="D36" s="32" t="s">
        <v>1288</v>
      </c>
      <c r="E36" s="32" t="s">
        <v>1275</v>
      </c>
      <c r="F36" s="32" t="s">
        <v>1211</v>
      </c>
      <c r="G36" s="32" t="s">
        <v>1144</v>
      </c>
      <c r="H36" s="32">
        <v>2890.0</v>
      </c>
      <c r="I36" s="32" t="s">
        <v>1212</v>
      </c>
      <c r="J36" s="32" t="s">
        <v>738</v>
      </c>
      <c r="M36" s="32" t="s">
        <v>1292</v>
      </c>
      <c r="N36" s="32" t="s">
        <v>1214</v>
      </c>
      <c r="O36" s="32" t="s">
        <v>1215</v>
      </c>
    </row>
    <row r="37" ht="15.75" customHeight="1">
      <c r="A37" s="32">
        <v>23323.0</v>
      </c>
      <c r="B37" s="32" t="s">
        <v>1207</v>
      </c>
      <c r="C37" s="32" t="s">
        <v>1160</v>
      </c>
      <c r="D37" s="32" t="s">
        <v>1288</v>
      </c>
      <c r="E37" s="32" t="s">
        <v>1275</v>
      </c>
      <c r="F37" s="32" t="s">
        <v>1211</v>
      </c>
      <c r="G37" s="32" t="s">
        <v>1144</v>
      </c>
      <c r="H37" s="32">
        <v>3005.0</v>
      </c>
      <c r="I37" s="32" t="s">
        <v>1212</v>
      </c>
      <c r="J37" s="32" t="s">
        <v>738</v>
      </c>
      <c r="M37" s="32" t="s">
        <v>1293</v>
      </c>
      <c r="N37" s="32" t="s">
        <v>1214</v>
      </c>
      <c r="O37" s="32" t="s">
        <v>1215</v>
      </c>
    </row>
    <row r="38" ht="15.75" customHeight="1">
      <c r="A38" s="32">
        <v>23312.0</v>
      </c>
      <c r="B38" s="32" t="s">
        <v>1207</v>
      </c>
      <c r="C38" s="32" t="s">
        <v>1294</v>
      </c>
      <c r="D38" s="32" t="s">
        <v>1288</v>
      </c>
      <c r="E38" s="32" t="s">
        <v>1295</v>
      </c>
      <c r="F38" s="32" t="s">
        <v>1296</v>
      </c>
      <c r="G38" s="32" t="s">
        <v>1223</v>
      </c>
      <c r="H38" s="32">
        <v>1385.0</v>
      </c>
      <c r="I38" s="32" t="s">
        <v>1212</v>
      </c>
      <c r="J38" s="32" t="s">
        <v>738</v>
      </c>
      <c r="M38" s="32" t="s">
        <v>1297</v>
      </c>
      <c r="N38" s="32" t="s">
        <v>1214</v>
      </c>
      <c r="O38" s="32" t="s">
        <v>1215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4.0"/>
    <col customWidth="1" min="3" max="3" width="28.14"/>
    <col customWidth="1" min="4" max="4" width="31.14"/>
    <col customWidth="1" min="5" max="5" width="24.14"/>
    <col customWidth="1" min="6" max="6" width="33.29"/>
    <col customWidth="1" min="7" max="7" width="158.71"/>
    <col customWidth="1" min="8" max="8" width="10.71"/>
    <col customWidth="1" min="9" max="10" width="17.86"/>
    <col customWidth="1" min="11" max="12" width="13.43"/>
    <col customWidth="1" min="13" max="13" width="13.14"/>
    <col customWidth="1" min="14" max="14" width="153.14"/>
    <col customWidth="1" min="15" max="28" width="10.71"/>
  </cols>
  <sheetData>
    <row r="1">
      <c r="A1" s="36" t="s">
        <v>0</v>
      </c>
      <c r="B1" s="36" t="s">
        <v>775</v>
      </c>
      <c r="C1" s="36" t="s">
        <v>1117</v>
      </c>
      <c r="D1" s="37" t="s">
        <v>6</v>
      </c>
      <c r="E1" s="37" t="s">
        <v>11</v>
      </c>
      <c r="F1" s="37" t="s">
        <v>1298</v>
      </c>
      <c r="G1" s="37" t="s">
        <v>1299</v>
      </c>
      <c r="H1" s="36"/>
      <c r="I1" s="36" t="s">
        <v>1205</v>
      </c>
      <c r="J1" s="36" t="s">
        <v>1206</v>
      </c>
      <c r="K1" s="37" t="s">
        <v>21</v>
      </c>
      <c r="L1" s="38" t="s">
        <v>26</v>
      </c>
      <c r="M1" s="38" t="s">
        <v>783</v>
      </c>
      <c r="N1" s="38" t="s">
        <v>32</v>
      </c>
      <c r="O1" s="70" t="s">
        <v>30</v>
      </c>
      <c r="P1" s="70" t="s">
        <v>31</v>
      </c>
    </row>
    <row r="2">
      <c r="A2" s="32">
        <v>3680.0</v>
      </c>
      <c r="B2" s="32" t="s">
        <v>1300</v>
      </c>
      <c r="C2" s="32" t="s">
        <v>1301</v>
      </c>
      <c r="D2" s="32" t="s">
        <v>1302</v>
      </c>
      <c r="E2" s="32" t="s">
        <v>1303</v>
      </c>
      <c r="F2" s="32" t="s">
        <v>1304</v>
      </c>
      <c r="G2" s="32" t="s">
        <v>1305</v>
      </c>
      <c r="J2" s="32" t="s">
        <v>818</v>
      </c>
      <c r="K2" s="32" t="s">
        <v>61</v>
      </c>
      <c r="N2" s="32" t="s">
        <v>1306</v>
      </c>
    </row>
    <row r="3">
      <c r="A3" s="32">
        <v>3692.0</v>
      </c>
      <c r="B3" s="32" t="s">
        <v>1191</v>
      </c>
      <c r="C3" s="32" t="s">
        <v>1301</v>
      </c>
      <c r="D3" s="32" t="s">
        <v>1307</v>
      </c>
      <c r="E3" s="32" t="s">
        <v>1308</v>
      </c>
      <c r="F3" s="32" t="s">
        <v>1304</v>
      </c>
      <c r="G3" s="32" t="s">
        <v>1305</v>
      </c>
      <c r="J3" s="32" t="s">
        <v>818</v>
      </c>
      <c r="K3" s="32" t="s">
        <v>61</v>
      </c>
      <c r="N3" s="32" t="s">
        <v>1306</v>
      </c>
    </row>
    <row r="4">
      <c r="A4" s="32">
        <v>3718.0</v>
      </c>
      <c r="B4" s="32" t="s">
        <v>1191</v>
      </c>
      <c r="C4" s="32" t="s">
        <v>1301</v>
      </c>
      <c r="D4" s="32" t="s">
        <v>1309</v>
      </c>
      <c r="E4" s="32" t="s">
        <v>1310</v>
      </c>
      <c r="F4" s="32" t="s">
        <v>1304</v>
      </c>
      <c r="G4" s="32" t="s">
        <v>1305</v>
      </c>
      <c r="J4" s="32" t="s">
        <v>818</v>
      </c>
      <c r="K4" s="32" t="s">
        <v>61</v>
      </c>
      <c r="N4" s="32" t="s">
        <v>1306</v>
      </c>
    </row>
    <row r="5">
      <c r="A5" s="32">
        <v>19585.0</v>
      </c>
      <c r="B5" s="32" t="s">
        <v>1191</v>
      </c>
      <c r="C5" s="32" t="s">
        <v>1301</v>
      </c>
      <c r="D5" s="32" t="s">
        <v>1311</v>
      </c>
      <c r="E5" s="32" t="s">
        <v>1312</v>
      </c>
      <c r="F5" s="32" t="s">
        <v>1304</v>
      </c>
      <c r="G5" s="32" t="s">
        <v>1313</v>
      </c>
      <c r="J5" s="32" t="s">
        <v>818</v>
      </c>
      <c r="K5" s="32" t="s">
        <v>61</v>
      </c>
      <c r="N5" s="32" t="s">
        <v>1314</v>
      </c>
    </row>
    <row r="6">
      <c r="A6" s="32">
        <v>3709.0</v>
      </c>
      <c r="B6" s="32" t="s">
        <v>1191</v>
      </c>
      <c r="C6" s="32" t="s">
        <v>1301</v>
      </c>
      <c r="D6" s="32" t="s">
        <v>1315</v>
      </c>
      <c r="E6" s="32" t="s">
        <v>1316</v>
      </c>
      <c r="F6" s="32" t="s">
        <v>1317</v>
      </c>
      <c r="G6" s="32" t="s">
        <v>1313</v>
      </c>
      <c r="J6" s="32" t="s">
        <v>818</v>
      </c>
      <c r="K6" s="32" t="s">
        <v>61</v>
      </c>
      <c r="N6" s="32" t="s">
        <v>1314</v>
      </c>
    </row>
    <row r="7">
      <c r="A7" s="32">
        <v>19585.0</v>
      </c>
      <c r="B7" s="32" t="s">
        <v>1191</v>
      </c>
      <c r="C7" s="32" t="s">
        <v>1301</v>
      </c>
      <c r="D7" s="32" t="s">
        <v>1318</v>
      </c>
      <c r="E7" s="32" t="s">
        <v>1312</v>
      </c>
      <c r="F7" s="32" t="s">
        <v>1304</v>
      </c>
      <c r="G7" s="32" t="s">
        <v>1313</v>
      </c>
      <c r="J7" s="32" t="s">
        <v>818</v>
      </c>
      <c r="K7" s="32" t="s">
        <v>61</v>
      </c>
      <c r="N7" s="32" t="s">
        <v>1314</v>
      </c>
    </row>
    <row r="8">
      <c r="A8" s="32">
        <v>19552.0</v>
      </c>
      <c r="B8" s="32" t="s">
        <v>1191</v>
      </c>
      <c r="C8" s="32" t="s">
        <v>1301</v>
      </c>
      <c r="D8" s="32" t="s">
        <v>1319</v>
      </c>
      <c r="E8" s="32" t="s">
        <v>1320</v>
      </c>
      <c r="F8" s="32" t="s">
        <v>1304</v>
      </c>
      <c r="G8" s="32" t="s">
        <v>1313</v>
      </c>
      <c r="J8" s="32" t="s">
        <v>818</v>
      </c>
      <c r="K8" s="32" t="s">
        <v>61</v>
      </c>
      <c r="N8" s="32" t="s">
        <v>1314</v>
      </c>
    </row>
    <row r="9">
      <c r="A9" s="32">
        <v>3715.0</v>
      </c>
      <c r="B9" s="32" t="s">
        <v>1191</v>
      </c>
      <c r="C9" s="32" t="s">
        <v>1301</v>
      </c>
      <c r="D9" s="32" t="s">
        <v>1321</v>
      </c>
      <c r="E9" s="32" t="s">
        <v>1322</v>
      </c>
      <c r="F9" s="32" t="s">
        <v>1323</v>
      </c>
      <c r="G9" s="32" t="s">
        <v>1313</v>
      </c>
      <c r="J9" s="32" t="s">
        <v>818</v>
      </c>
      <c r="K9" s="32" t="s">
        <v>61</v>
      </c>
      <c r="N9" s="32" t="s">
        <v>1314</v>
      </c>
    </row>
    <row r="10">
      <c r="A10" s="32">
        <v>3712.0</v>
      </c>
      <c r="B10" s="32" t="s">
        <v>1191</v>
      </c>
      <c r="C10" s="32" t="s">
        <v>1301</v>
      </c>
      <c r="D10" s="32" t="s">
        <v>1324</v>
      </c>
      <c r="E10" s="32" t="s">
        <v>1325</v>
      </c>
      <c r="F10" s="32" t="s">
        <v>1317</v>
      </c>
      <c r="G10" s="32" t="s">
        <v>1313</v>
      </c>
      <c r="J10" s="32" t="s">
        <v>818</v>
      </c>
      <c r="K10" s="32" t="s">
        <v>61</v>
      </c>
      <c r="N10" s="32" t="s">
        <v>1314</v>
      </c>
    </row>
    <row r="11">
      <c r="A11" s="32">
        <v>3702.0</v>
      </c>
      <c r="B11" s="32" t="s">
        <v>1191</v>
      </c>
      <c r="C11" s="32" t="s">
        <v>1301</v>
      </c>
      <c r="D11" s="32" t="s">
        <v>1326</v>
      </c>
      <c r="E11" s="32" t="s">
        <v>1327</v>
      </c>
      <c r="F11" s="32" t="s">
        <v>1304</v>
      </c>
      <c r="G11" s="32" t="s">
        <v>1328</v>
      </c>
      <c r="J11" s="32" t="s">
        <v>818</v>
      </c>
      <c r="K11" s="32" t="s">
        <v>61</v>
      </c>
      <c r="N11" s="43" t="str">
        <f>IFERROR(__xludf.DUMMYFUNCTION("ai(""breve descripcion de este producto"")"),"Perfil de aluminio diseñado para actuar como soporte oculto en la instalación de pisos flotantes. Su sistema de encastre permite una fijación firme de las terminaciones, garantizando una transición prolija y duradera entre diferentes superficies.")</f>
        <v>Perfil de aluminio diseñado para actuar como soporte oculto en la instalación de pisos flotantes. Su sistema de encastre permite una fijación firme de las terminaciones, garantizando una transición prolija y duradera entre diferentes superficies.</v>
      </c>
    </row>
    <row r="12">
      <c r="A12" s="32">
        <v>3706.0</v>
      </c>
      <c r="B12" s="32" t="s">
        <v>1191</v>
      </c>
      <c r="C12" s="32" t="s">
        <v>1301</v>
      </c>
      <c r="D12" s="32" t="s">
        <v>1329</v>
      </c>
      <c r="E12" s="32" t="s">
        <v>1330</v>
      </c>
      <c r="F12" s="32" t="s">
        <v>1323</v>
      </c>
      <c r="G12" s="32" t="s">
        <v>1305</v>
      </c>
      <c r="J12" s="32" t="s">
        <v>818</v>
      </c>
      <c r="K12" s="32" t="s">
        <v>61</v>
      </c>
      <c r="N12" s="32" t="s">
        <v>1306</v>
      </c>
    </row>
    <row r="13">
      <c r="A13" s="32">
        <v>14763.0</v>
      </c>
      <c r="B13" s="32" t="s">
        <v>1191</v>
      </c>
      <c r="C13" s="32" t="s">
        <v>1301</v>
      </c>
      <c r="D13" s="32" t="s">
        <v>1331</v>
      </c>
      <c r="E13" s="32" t="s">
        <v>1332</v>
      </c>
      <c r="F13" s="32" t="s">
        <v>1323</v>
      </c>
      <c r="G13" s="32" t="s">
        <v>1305</v>
      </c>
      <c r="J13" s="32" t="s">
        <v>818</v>
      </c>
      <c r="K13" s="32" t="s">
        <v>61</v>
      </c>
      <c r="N13" s="32" t="s">
        <v>1306</v>
      </c>
    </row>
    <row r="14">
      <c r="A14" s="32">
        <v>23000.0</v>
      </c>
      <c r="B14" s="32" t="s">
        <v>1191</v>
      </c>
      <c r="C14" s="32" t="s">
        <v>1301</v>
      </c>
      <c r="D14" s="32" t="s">
        <v>1333</v>
      </c>
      <c r="E14" s="32" t="s">
        <v>1334</v>
      </c>
      <c r="F14" s="32" t="s">
        <v>1323</v>
      </c>
      <c r="G14" s="32" t="s">
        <v>1313</v>
      </c>
      <c r="J14" s="32" t="s">
        <v>818</v>
      </c>
      <c r="K14" s="32" t="s">
        <v>61</v>
      </c>
      <c r="N14" s="32" t="s">
        <v>1314</v>
      </c>
    </row>
    <row r="15">
      <c r="A15" s="32">
        <v>22575.0</v>
      </c>
      <c r="B15" s="32" t="s">
        <v>1191</v>
      </c>
      <c r="C15" s="32" t="s">
        <v>1301</v>
      </c>
      <c r="D15" s="32" t="s">
        <v>1335</v>
      </c>
      <c r="E15" s="32" t="s">
        <v>1320</v>
      </c>
      <c r="F15" s="32" t="s">
        <v>1323</v>
      </c>
      <c r="G15" s="32" t="s">
        <v>1313</v>
      </c>
      <c r="J15" s="32" t="s">
        <v>818</v>
      </c>
      <c r="K15" s="32" t="s">
        <v>61</v>
      </c>
      <c r="N15" s="32" t="s">
        <v>1314</v>
      </c>
    </row>
    <row r="16">
      <c r="A16" s="32">
        <v>6596.0</v>
      </c>
      <c r="B16" s="32" t="s">
        <v>1191</v>
      </c>
      <c r="C16" s="32" t="s">
        <v>1336</v>
      </c>
      <c r="D16" s="32" t="s">
        <v>1337</v>
      </c>
      <c r="E16" s="32" t="s">
        <v>1338</v>
      </c>
      <c r="F16" s="32" t="s">
        <v>1339</v>
      </c>
      <c r="G16" s="32" t="s">
        <v>527</v>
      </c>
      <c r="N16" s="32" t="s">
        <v>1340</v>
      </c>
    </row>
    <row r="17">
      <c r="A17" s="32">
        <v>24143.0</v>
      </c>
      <c r="B17" s="32" t="s">
        <v>1191</v>
      </c>
      <c r="C17" s="32" t="s">
        <v>1336</v>
      </c>
      <c r="D17" s="32" t="s">
        <v>1341</v>
      </c>
      <c r="E17" s="32" t="s">
        <v>1342</v>
      </c>
      <c r="F17" s="32" t="s">
        <v>1343</v>
      </c>
      <c r="G17" s="32" t="s">
        <v>527</v>
      </c>
      <c r="N17" s="32" t="s">
        <v>1344</v>
      </c>
    </row>
    <row r="18">
      <c r="A18" s="32">
        <v>25313.0</v>
      </c>
      <c r="B18" s="32" t="s">
        <v>1191</v>
      </c>
      <c r="C18" s="32" t="s">
        <v>1336</v>
      </c>
      <c r="D18" s="32" t="s">
        <v>1345</v>
      </c>
      <c r="E18" s="32" t="s">
        <v>1342</v>
      </c>
      <c r="F18" s="32" t="s">
        <v>1343</v>
      </c>
      <c r="G18" s="32" t="s">
        <v>527</v>
      </c>
      <c r="N18" s="32" t="s">
        <v>1346</v>
      </c>
    </row>
    <row r="19">
      <c r="A19" s="32">
        <v>17470.0</v>
      </c>
      <c r="B19" s="32" t="s">
        <v>1191</v>
      </c>
      <c r="C19" s="32" t="s">
        <v>1336</v>
      </c>
      <c r="D19" s="32" t="s">
        <v>1347</v>
      </c>
      <c r="E19" s="32" t="s">
        <v>1348</v>
      </c>
      <c r="F19" s="32" t="s">
        <v>1349</v>
      </c>
      <c r="G19" s="32" t="s">
        <v>527</v>
      </c>
      <c r="N19" s="32" t="s">
        <v>1350</v>
      </c>
    </row>
    <row r="20" ht="15.75" customHeight="1">
      <c r="A20" s="32">
        <v>18801.0</v>
      </c>
      <c r="B20" s="32" t="s">
        <v>1191</v>
      </c>
      <c r="C20" s="32" t="s">
        <v>1336</v>
      </c>
      <c r="D20" s="32" t="s">
        <v>1351</v>
      </c>
      <c r="E20" s="32" t="s">
        <v>1352</v>
      </c>
      <c r="F20" s="32" t="s">
        <v>1353</v>
      </c>
      <c r="G20" s="32" t="s">
        <v>527</v>
      </c>
      <c r="N20" s="32" t="s">
        <v>1354</v>
      </c>
    </row>
    <row r="21" ht="15.75" customHeight="1">
      <c r="A21" s="32">
        <v>19769.0</v>
      </c>
      <c r="B21" s="32" t="s">
        <v>1191</v>
      </c>
      <c r="C21" s="32" t="s">
        <v>1336</v>
      </c>
      <c r="D21" s="32" t="s">
        <v>1355</v>
      </c>
      <c r="E21" s="32" t="s">
        <v>1312</v>
      </c>
      <c r="F21" s="32" t="s">
        <v>1356</v>
      </c>
      <c r="G21" s="32" t="s">
        <v>527</v>
      </c>
      <c r="N21" s="32" t="s">
        <v>1357</v>
      </c>
    </row>
    <row r="22" ht="15.75" customHeight="1">
      <c r="A22" s="32">
        <v>7472.0</v>
      </c>
      <c r="B22" s="32" t="s">
        <v>1191</v>
      </c>
      <c r="C22" s="32" t="s">
        <v>1358</v>
      </c>
      <c r="D22" s="32" t="s">
        <v>1359</v>
      </c>
      <c r="E22" s="32" t="s">
        <v>1360</v>
      </c>
      <c r="F22" s="32" t="s">
        <v>1361</v>
      </c>
      <c r="G22" s="32" t="s">
        <v>1362</v>
      </c>
      <c r="N22" s="32" t="s">
        <v>1363</v>
      </c>
    </row>
    <row r="23" ht="15.75" customHeight="1">
      <c r="A23" s="32">
        <v>17593.0</v>
      </c>
      <c r="B23" s="32" t="s">
        <v>1191</v>
      </c>
      <c r="C23" s="32" t="s">
        <v>1358</v>
      </c>
      <c r="D23" s="32" t="s">
        <v>1364</v>
      </c>
      <c r="E23" s="32" t="s">
        <v>1360</v>
      </c>
      <c r="F23" s="32" t="s">
        <v>1365</v>
      </c>
      <c r="G23" s="32" t="s">
        <v>1366</v>
      </c>
      <c r="N23" s="32" t="s">
        <v>1363</v>
      </c>
    </row>
    <row r="24" ht="15.75" customHeight="1">
      <c r="A24" s="32">
        <v>19738.0</v>
      </c>
      <c r="B24" s="32" t="s">
        <v>1191</v>
      </c>
      <c r="C24" s="32" t="s">
        <v>1358</v>
      </c>
      <c r="D24" s="32" t="s">
        <v>1367</v>
      </c>
      <c r="E24" s="32" t="s">
        <v>1360</v>
      </c>
      <c r="F24" s="32" t="s">
        <v>1368</v>
      </c>
      <c r="G24" s="32" t="s">
        <v>1369</v>
      </c>
      <c r="N24" s="32" t="s">
        <v>1363</v>
      </c>
    </row>
    <row r="25" ht="15.75" customHeight="1">
      <c r="A25" s="32">
        <v>3731.0</v>
      </c>
      <c r="B25" s="32" t="s">
        <v>1191</v>
      </c>
      <c r="C25" s="32" t="s">
        <v>1358</v>
      </c>
      <c r="D25" s="32" t="s">
        <v>1370</v>
      </c>
      <c r="E25" s="32" t="s">
        <v>1360</v>
      </c>
      <c r="F25" s="32" t="s">
        <v>1371</v>
      </c>
      <c r="G25" s="32" t="s">
        <v>1372</v>
      </c>
      <c r="N25" s="32" t="s">
        <v>1363</v>
      </c>
    </row>
    <row r="26" ht="15.75" customHeight="1">
      <c r="A26" s="32">
        <v>22527.0</v>
      </c>
      <c r="B26" s="32" t="s">
        <v>1191</v>
      </c>
      <c r="C26" s="32" t="s">
        <v>1358</v>
      </c>
      <c r="D26" s="32" t="s">
        <v>1373</v>
      </c>
      <c r="E26" s="32" t="s">
        <v>1360</v>
      </c>
      <c r="F26" s="32" t="s">
        <v>1374</v>
      </c>
      <c r="G26" s="32" t="s">
        <v>1375</v>
      </c>
      <c r="N26" s="32" t="s">
        <v>1376</v>
      </c>
    </row>
    <row r="27" ht="15.75" customHeight="1">
      <c r="A27" s="32">
        <v>22526.0</v>
      </c>
      <c r="B27" s="32" t="s">
        <v>1191</v>
      </c>
      <c r="C27" s="32" t="s">
        <v>1358</v>
      </c>
      <c r="D27" s="32" t="s">
        <v>1377</v>
      </c>
      <c r="E27" s="32" t="s">
        <v>1360</v>
      </c>
      <c r="F27" s="32" t="s">
        <v>1374</v>
      </c>
      <c r="G27" s="32" t="s">
        <v>1375</v>
      </c>
      <c r="N27" s="32" t="s">
        <v>1378</v>
      </c>
    </row>
    <row r="28" ht="15.75" customHeight="1">
      <c r="A28" s="32">
        <v>22525.0</v>
      </c>
      <c r="B28" s="32" t="s">
        <v>1191</v>
      </c>
      <c r="C28" s="32" t="s">
        <v>1358</v>
      </c>
      <c r="D28" s="32" t="s">
        <v>1379</v>
      </c>
      <c r="E28" s="32" t="s">
        <v>1360</v>
      </c>
      <c r="F28" s="32" t="s">
        <v>1374</v>
      </c>
      <c r="G28" s="32" t="s">
        <v>1375</v>
      </c>
      <c r="N28" s="32" t="s">
        <v>1380</v>
      </c>
    </row>
    <row r="29" ht="15.75" customHeight="1">
      <c r="A29" s="78"/>
      <c r="B29" s="55" t="s">
        <v>1191</v>
      </c>
      <c r="C29" s="55" t="s">
        <v>1358</v>
      </c>
      <c r="D29" s="78"/>
      <c r="E29" s="55" t="s">
        <v>1360</v>
      </c>
      <c r="F29" s="55" t="s">
        <v>1381</v>
      </c>
      <c r="G29" s="55" t="s">
        <v>1382</v>
      </c>
      <c r="H29" s="78"/>
      <c r="I29" s="78"/>
      <c r="J29" s="78"/>
      <c r="K29" s="78"/>
      <c r="L29" s="78"/>
      <c r="M29" s="78"/>
      <c r="N29" s="43" t="str">
        <f>IFERROR(__xludf.DUMMYFUNCTION("ai(""breve descripcion de este producto"")"),"Zócalos de MDF de alta densidad diseñados para enmarcar ambientes con elegancia y disimular detalles técnicos de instalación. Son el complemento estético y funcional ideal para cubrir juntas de dilatación en proyectos con pisos flotantes, vinílicos o de m"&amp;"adera.")</f>
        <v>Zócalos de MDF de alta densidad diseñados para enmarcar ambientes con elegancia y disimular detalles técnicos de instalación. Son el complemento estético y funcional ideal para cubrir juntas de dilatación en proyectos con pisos flotantes, vinílicos o de madera.</v>
      </c>
      <c r="O29" s="78"/>
      <c r="P29" s="78"/>
      <c r="Q29" s="78"/>
      <c r="R29" s="78"/>
      <c r="S29" s="78"/>
      <c r="T29" s="78"/>
      <c r="U29" s="78"/>
      <c r="V29" s="78"/>
      <c r="W29" s="78"/>
      <c r="X29" s="78"/>
      <c r="Y29" s="78"/>
      <c r="Z29" s="78"/>
      <c r="AA29" s="78"/>
      <c r="AB29" s="78"/>
    </row>
    <row r="30" ht="15.75" customHeight="1">
      <c r="A30" s="32">
        <v>23248.0</v>
      </c>
      <c r="B30" s="32" t="s">
        <v>1191</v>
      </c>
      <c r="C30" s="32" t="s">
        <v>1383</v>
      </c>
      <c r="D30" s="32" t="s">
        <v>1384</v>
      </c>
      <c r="F30" s="32" t="s">
        <v>1385</v>
      </c>
      <c r="J30" s="32" t="s">
        <v>818</v>
      </c>
      <c r="K30" s="32" t="s">
        <v>61</v>
      </c>
      <c r="N30" s="32" t="s">
        <v>1386</v>
      </c>
    </row>
    <row r="31" ht="15.75" customHeight="1">
      <c r="A31" s="32">
        <v>4232.0</v>
      </c>
      <c r="B31" s="32" t="s">
        <v>1191</v>
      </c>
      <c r="C31" s="32" t="s">
        <v>732</v>
      </c>
      <c r="D31" s="32" t="s">
        <v>1387</v>
      </c>
      <c r="F31" s="32" t="s">
        <v>1388</v>
      </c>
      <c r="J31" s="32" t="s">
        <v>818</v>
      </c>
      <c r="K31" s="32" t="s">
        <v>61</v>
      </c>
      <c r="N31" s="32" t="s">
        <v>1389</v>
      </c>
    </row>
    <row r="32" ht="15.75" customHeight="1">
      <c r="A32" s="79"/>
      <c r="B32" s="32" t="s">
        <v>1191</v>
      </c>
      <c r="C32" s="32" t="s">
        <v>732</v>
      </c>
      <c r="D32" s="32" t="s">
        <v>1390</v>
      </c>
      <c r="F32" s="32" t="s">
        <v>1391</v>
      </c>
      <c r="J32" s="32" t="s">
        <v>818</v>
      </c>
      <c r="K32" s="32" t="s">
        <v>61</v>
      </c>
      <c r="N32" s="32" t="s">
        <v>1392</v>
      </c>
    </row>
    <row r="33" ht="15.75" customHeight="1">
      <c r="A33" s="79"/>
      <c r="B33" s="32" t="s">
        <v>1191</v>
      </c>
      <c r="C33" s="32" t="s">
        <v>1393</v>
      </c>
      <c r="D33" s="32" t="s">
        <v>1394</v>
      </c>
      <c r="F33" s="32" t="s">
        <v>1395</v>
      </c>
      <c r="J33" s="32" t="s">
        <v>818</v>
      </c>
      <c r="K33" s="32" t="s">
        <v>61</v>
      </c>
      <c r="N33" s="32" t="s">
        <v>1396</v>
      </c>
    </row>
    <row r="34" ht="15.75" customHeight="1">
      <c r="A34" s="32">
        <v>22501.0</v>
      </c>
      <c r="B34" s="32" t="s">
        <v>1191</v>
      </c>
      <c r="C34" s="32" t="s">
        <v>1336</v>
      </c>
      <c r="D34" s="32" t="s">
        <v>1397</v>
      </c>
      <c r="E34" s="32" t="s">
        <v>1398</v>
      </c>
      <c r="F34" s="32" t="s">
        <v>1343</v>
      </c>
      <c r="J34" s="32" t="s">
        <v>46</v>
      </c>
      <c r="K34" s="32" t="s">
        <v>61</v>
      </c>
      <c r="N34" s="32" t="s">
        <v>1399</v>
      </c>
    </row>
    <row r="35" ht="15.75" customHeight="1">
      <c r="A35" s="32">
        <v>19767.0</v>
      </c>
      <c r="B35" s="32" t="s">
        <v>1191</v>
      </c>
      <c r="C35" s="32" t="s">
        <v>1336</v>
      </c>
      <c r="D35" s="32" t="s">
        <v>1400</v>
      </c>
      <c r="E35" s="32" t="s">
        <v>1401</v>
      </c>
      <c r="F35" s="32" t="s">
        <v>1343</v>
      </c>
      <c r="J35" s="32" t="s">
        <v>46</v>
      </c>
      <c r="K35" s="32" t="s">
        <v>61</v>
      </c>
      <c r="N35" s="32" t="s">
        <v>1402</v>
      </c>
    </row>
    <row r="36" ht="15.75" customHeight="1">
      <c r="A36" s="32">
        <v>18580.0</v>
      </c>
      <c r="B36" s="32" t="s">
        <v>1191</v>
      </c>
      <c r="C36" s="32" t="s">
        <v>1358</v>
      </c>
      <c r="D36" s="32" t="s">
        <v>1403</v>
      </c>
      <c r="E36" s="32" t="s">
        <v>1325</v>
      </c>
      <c r="F36" s="32" t="s">
        <v>1404</v>
      </c>
      <c r="G36" s="32" t="s">
        <v>1405</v>
      </c>
      <c r="J36" s="32" t="s">
        <v>818</v>
      </c>
      <c r="K36" s="32" t="s">
        <v>61</v>
      </c>
      <c r="N36" s="32" t="s">
        <v>1406</v>
      </c>
    </row>
    <row r="37" ht="15.75" customHeight="1">
      <c r="A37" s="32">
        <v>18557.0</v>
      </c>
      <c r="B37" s="32" t="s">
        <v>1191</v>
      </c>
      <c r="C37" s="32" t="s">
        <v>1358</v>
      </c>
      <c r="D37" s="32" t="s">
        <v>1407</v>
      </c>
      <c r="E37" s="32" t="s">
        <v>1408</v>
      </c>
      <c r="F37" s="32" t="s">
        <v>1409</v>
      </c>
      <c r="G37" s="32" t="s">
        <v>1410</v>
      </c>
      <c r="J37" s="32" t="s">
        <v>818</v>
      </c>
      <c r="K37" s="32" t="s">
        <v>61</v>
      </c>
      <c r="N37" s="32" t="s">
        <v>1411</v>
      </c>
    </row>
    <row r="38" ht="15.75" customHeight="1">
      <c r="A38" s="32">
        <v>19572.0</v>
      </c>
      <c r="B38" s="32" t="s">
        <v>1191</v>
      </c>
      <c r="C38" s="32" t="s">
        <v>1358</v>
      </c>
      <c r="D38" s="32" t="s">
        <v>1412</v>
      </c>
      <c r="E38" s="32" t="s">
        <v>1360</v>
      </c>
      <c r="F38" s="32" t="s">
        <v>1413</v>
      </c>
      <c r="G38" s="32" t="s">
        <v>1410</v>
      </c>
      <c r="J38" s="32" t="s">
        <v>818</v>
      </c>
      <c r="K38" s="32" t="s">
        <v>61</v>
      </c>
      <c r="N38" s="32" t="s">
        <v>1414</v>
      </c>
    </row>
    <row r="39" ht="15.75" customHeight="1">
      <c r="A39" s="32">
        <v>18559.0</v>
      </c>
      <c r="B39" s="32" t="s">
        <v>1191</v>
      </c>
      <c r="C39" s="32" t="s">
        <v>1358</v>
      </c>
      <c r="D39" s="32" t="s">
        <v>1415</v>
      </c>
      <c r="E39" s="32" t="s">
        <v>1408</v>
      </c>
      <c r="F39" s="32" t="s">
        <v>1416</v>
      </c>
      <c r="G39" s="32" t="s">
        <v>1410</v>
      </c>
      <c r="J39" s="32" t="s">
        <v>818</v>
      </c>
      <c r="K39" s="32" t="s">
        <v>61</v>
      </c>
      <c r="N39" s="32" t="s">
        <v>1417</v>
      </c>
    </row>
    <row r="40" ht="15.75" customHeight="1">
      <c r="A40" s="32">
        <v>18580.0</v>
      </c>
      <c r="B40" s="32" t="s">
        <v>1191</v>
      </c>
      <c r="C40" s="32" t="s">
        <v>1358</v>
      </c>
      <c r="D40" s="32" t="s">
        <v>1418</v>
      </c>
      <c r="G40" s="32" t="s">
        <v>1405</v>
      </c>
      <c r="J40" s="32" t="s">
        <v>818</v>
      </c>
      <c r="K40" s="32" t="s">
        <v>61</v>
      </c>
      <c r="N40" s="43" t="str">
        <f>IFERROR(__xludf.DUMMYFUNCTION("ai(""breve descripcion de este producto"")"),"Accesorio de unión diseñado específicamente para los zócalos de la línea Lars, permitiendo una transición estética y continua entre tramos rectos. Fabricado en material resistente, asegura un acabado profesional al ocultar las juntas de dilatación y mante"&amp;"ner la armonía visual de la instalación. Se encuentra disponible en colores blanco y diversos acabados maderados para combinar perfectamente con el diseño del zócalo elegido.")</f>
        <v>Accesorio de unión diseñado específicamente para los zócalos de la línea Lars, permitiendo una transición estética y continua entre tramos rectos. Fabricado en material resistente, asegura un acabado profesional al ocultar las juntas de dilatación y mantener la armonía visual de la instalación. Se encuentra disponible en colores blanco y diversos acabados maderados para combinar perfectamente con el diseño del zócalo elegido.</v>
      </c>
    </row>
    <row r="41" ht="15.75" customHeight="1">
      <c r="A41" s="32">
        <v>18596.0</v>
      </c>
      <c r="B41" s="32" t="s">
        <v>1191</v>
      </c>
      <c r="C41" s="32" t="s">
        <v>1358</v>
      </c>
      <c r="D41" s="32" t="s">
        <v>1419</v>
      </c>
      <c r="G41" s="32" t="s">
        <v>1405</v>
      </c>
      <c r="J41" s="32" t="s">
        <v>818</v>
      </c>
      <c r="K41" s="32" t="s">
        <v>61</v>
      </c>
      <c r="N41" s="43" t="str">
        <f>IFERROR(__xludf.DUMMYFUNCTION("ai(""breve descripcion de este producto"")"),"Accesorio técnico diseñado para lograr un acabado impecable en las esquinas internas de los zócalos de la línea Lars. Fabricado en material resistente, asegura una transición estética y continua al ocultar las juntas de unión, eliminando la necesidad de c"&amp;"ortes a inglete complejos. Está disponible en colores blanco y diversos acabados maderados para garantizar una integración visual perfecta con el zócalo instalado.")</f>
        <v>Accesorio técnico diseñado para lograr un acabado impecable en las esquinas internas de los zócalos de la línea Lars. Fabricado en material resistente, asegura una transición estética y continua al ocultar las juntas de unión, eliminando la necesidad de cortes a inglete complejos. Está disponible en colores blanco y diversos acabados maderados para garantizar una integración visual perfecta con el zócalo instalado.</v>
      </c>
    </row>
    <row r="42" ht="15.75" customHeight="1">
      <c r="A42" s="32">
        <v>18609.0</v>
      </c>
      <c r="B42" s="32" t="s">
        <v>1191</v>
      </c>
      <c r="C42" s="32" t="s">
        <v>1358</v>
      </c>
      <c r="D42" s="32" t="s">
        <v>1420</v>
      </c>
      <c r="G42" s="32" t="s">
        <v>1405</v>
      </c>
      <c r="J42" s="32" t="s">
        <v>818</v>
      </c>
      <c r="K42" s="32" t="s">
        <v>61</v>
      </c>
      <c r="N42" s="43" t="str">
        <f>IFERROR(__xludf.DUMMYFUNCTION("ai(""breve descripcion de este producto"")"),"Accesorio de unión exterior de 90 grados diseñado para los zócalos de la línea Lars, que permite una transición estética y continua en esquinas salientes. Fabricado en material resistente, asegura un acabado profesional al ocultar las juntas y mantener la"&amp;" armonía visual de la instalación, estando disponible en colores blanco y diversos acabados maderados. Su diseño optimiza el tiempo de instalación al evitar la necesidad de realizar cortes a inglete complejos en los zócalos.")</f>
        <v>Accesorio de unión exterior de 90 grados diseñado para los zócalos de la línea Lars, que permite una transición estética y continua en esquinas salientes. Fabricado en material resistente, asegura un acabado profesional al ocultar las juntas y mantener la armonía visual de la instalación, estando disponible en colores blanco y diversos acabados maderados. Su diseño optimiza el tiempo de instalación al evitar la necesidad de realizar cortes a inglete complejos en los zócalos.</v>
      </c>
    </row>
    <row r="43" ht="15.75" customHeight="1">
      <c r="A43" s="32">
        <v>18622.0</v>
      </c>
      <c r="B43" s="32" t="s">
        <v>1191</v>
      </c>
      <c r="C43" s="32" t="s">
        <v>1358</v>
      </c>
      <c r="D43" s="32" t="s">
        <v>1421</v>
      </c>
      <c r="G43" s="32" t="s">
        <v>1405</v>
      </c>
      <c r="J43" s="32" t="s">
        <v>818</v>
      </c>
      <c r="K43" s="32" t="s">
        <v>61</v>
      </c>
      <c r="N43" s="43" t="str">
        <f>IFERROR(__xludf.DUMMYFUNCTION("ai(""breve descripcion de este producto"")"),"Accesorio esencial diseñado para sellar los extremos de los zócalos de la línea Lars, proporcionando un acabado prolijo y estético. Su función principal es ocultar los bordes expuestos y las juntas de dilatación, asegurando una transición suave y una term"&amp;"inación visualmente superior en la instalación. Fabricado en materiales resistentes, está disponible en colores blanco y diversos acabados maderados para lograr una integración perfecta y uniforme con el diseño del zócalo.")</f>
        <v>Accesorio esencial diseñado para sellar los extremos de los zócalos de la línea Lars, proporcionando un acabado prolijo y estético. Su función principal es ocultar los bordes expuestos y las juntas de dilatación, asegurando una transición suave y una terminación visualmente superior en la instalación. Fabricado en materiales resistentes, está disponible en colores blanco y diversos acabados maderados para lograr una integración perfecta y uniforme con el diseño del zócalo.</v>
      </c>
    </row>
    <row r="44" ht="15.75" customHeight="1">
      <c r="A44" s="32">
        <v>18575.0</v>
      </c>
      <c r="B44" s="32" t="s">
        <v>1191</v>
      </c>
      <c r="C44" s="32" t="s">
        <v>1358</v>
      </c>
      <c r="D44" s="32" t="s">
        <v>1422</v>
      </c>
      <c r="G44" s="32" t="s">
        <v>1405</v>
      </c>
      <c r="J44" s="32" t="s">
        <v>818</v>
      </c>
      <c r="K44" s="32" t="s">
        <v>61</v>
      </c>
      <c r="N44" s="43" t="str">
        <f>IFERROR(__xludf.DUMMYFUNCTION("ai(""breve descripcion de este producto"")"),"Elemento de terminación decorativo diseñado para realzar espacios con estética y diseño, aportando equilibrio y orden a la unión entre paredes y marcos. Su función es proporcionar un acabado estético superior y funcional, facilitando la transición prolija"&amp;" en proyectos de interiorismo.")</f>
        <v>Elemento de terminación decorativo diseñado para realzar espacios con estética y diseño, aportando equilibrio y orden a la unión entre paredes y marcos. Su función es proporcionar un acabado estético superior y funcional, facilitando la transición prolija en proyectos de interiorismo.</v>
      </c>
    </row>
    <row r="45" ht="15.75" customHeight="1">
      <c r="A45" s="32">
        <v>18576.0</v>
      </c>
      <c r="B45" s="32" t="s">
        <v>1191</v>
      </c>
      <c r="C45" s="32" t="s">
        <v>1358</v>
      </c>
      <c r="D45" s="32" t="s">
        <v>1423</v>
      </c>
      <c r="G45" s="32" t="s">
        <v>1405</v>
      </c>
      <c r="J45" s="32" t="s">
        <v>818</v>
      </c>
      <c r="K45" s="32" t="s">
        <v>61</v>
      </c>
      <c r="N45" s="43" t="str">
        <f>IFERROR(__xludf.DUMMYFUNCTION("ai(""breve descripcion de este producto"")"),"Accesorio esquinero diseñado para los zócalos de la línea Integra 80, que permite una terminación estética y precisa en los ángulos de la instalación. Fabricado para complementar zócalos de EPS, asegura una unión perfecta que oculta cortes y facilita un a"&amp;"cabado profesional en esquinas. Disponible en colores blanco y acabados maderados para mantener la continuidad visual del diseño elegido.")</f>
        <v>Accesorio esquinero diseñado para los zócalos de la línea Integra 80, que permite una terminación estética y precisa en los ángulos de la instalación. Fabricado para complementar zócalos de EPS, asegura una unión perfecta que oculta cortes y facilita un acabado profesional en esquinas. Disponible en colores blanco y acabados maderados para mantener la continuidad visual del diseño elegido.</v>
      </c>
    </row>
    <row r="46" ht="15.75" customHeight="1">
      <c r="A46" s="32">
        <v>21583.0</v>
      </c>
      <c r="B46" s="32" t="s">
        <v>1191</v>
      </c>
      <c r="C46" s="32" t="s">
        <v>1358</v>
      </c>
      <c r="D46" s="32" t="s">
        <v>1424</v>
      </c>
      <c r="G46" s="32" t="s">
        <v>1405</v>
      </c>
      <c r="J46" s="32" t="s">
        <v>818</v>
      </c>
      <c r="K46" s="32" t="s">
        <v>61</v>
      </c>
      <c r="N46" s="32" t="s">
        <v>1425</v>
      </c>
    </row>
    <row r="47" ht="15.75" customHeight="1">
      <c r="A47" s="32">
        <v>22578.0</v>
      </c>
      <c r="B47" s="32" t="s">
        <v>1191</v>
      </c>
      <c r="C47" s="32" t="s">
        <v>1426</v>
      </c>
      <c r="D47" s="32" t="s">
        <v>1427</v>
      </c>
      <c r="E47" s="32" t="s">
        <v>1428</v>
      </c>
      <c r="F47" s="32" t="s">
        <v>1429</v>
      </c>
      <c r="G47" s="32" t="s">
        <v>1430</v>
      </c>
      <c r="J47" s="32" t="s">
        <v>818</v>
      </c>
      <c r="K47" s="32" t="s">
        <v>61</v>
      </c>
      <c r="N47" s="32" t="s">
        <v>1431</v>
      </c>
    </row>
    <row r="48" ht="15.75" customHeight="1">
      <c r="A48" s="32">
        <v>22577.0</v>
      </c>
      <c r="B48" s="32" t="s">
        <v>1191</v>
      </c>
      <c r="C48" s="32" t="s">
        <v>1426</v>
      </c>
      <c r="D48" s="32" t="s">
        <v>1432</v>
      </c>
      <c r="E48" s="32" t="s">
        <v>1428</v>
      </c>
      <c r="F48" s="32" t="s">
        <v>1433</v>
      </c>
      <c r="G48" s="32" t="s">
        <v>1430</v>
      </c>
      <c r="J48" s="32" t="s">
        <v>818</v>
      </c>
      <c r="K48" s="32" t="s">
        <v>61</v>
      </c>
      <c r="N48" s="32" t="s">
        <v>1431</v>
      </c>
    </row>
    <row r="49" ht="15.75" customHeight="1">
      <c r="A49" s="32">
        <v>22576.0</v>
      </c>
      <c r="B49" s="32" t="s">
        <v>1191</v>
      </c>
      <c r="C49" s="32" t="s">
        <v>1426</v>
      </c>
      <c r="D49" s="32" t="s">
        <v>1434</v>
      </c>
      <c r="E49" s="32" t="s">
        <v>1428</v>
      </c>
      <c r="F49" s="32" t="s">
        <v>1429</v>
      </c>
      <c r="G49" s="32" t="s">
        <v>1410</v>
      </c>
      <c r="J49" s="32" t="s">
        <v>818</v>
      </c>
      <c r="K49" s="32" t="s">
        <v>61</v>
      </c>
      <c r="N49" s="32" t="s">
        <v>1431</v>
      </c>
    </row>
    <row r="50" ht="15.75" customHeight="1">
      <c r="A50" s="32">
        <v>22579.0</v>
      </c>
      <c r="B50" s="32" t="s">
        <v>1191</v>
      </c>
      <c r="C50" s="32" t="s">
        <v>1426</v>
      </c>
      <c r="D50" s="32" t="s">
        <v>1435</v>
      </c>
      <c r="E50" s="32" t="s">
        <v>1360</v>
      </c>
      <c r="F50" s="32" t="s">
        <v>1436</v>
      </c>
      <c r="G50" s="32" t="s">
        <v>1410</v>
      </c>
      <c r="J50" s="32" t="s">
        <v>818</v>
      </c>
      <c r="K50" s="32" t="s">
        <v>61</v>
      </c>
      <c r="N50" s="32" t="s">
        <v>1431</v>
      </c>
    </row>
    <row r="51" ht="15.75" customHeight="1">
      <c r="A51" s="32">
        <v>25293.0</v>
      </c>
      <c r="B51" s="32" t="s">
        <v>1191</v>
      </c>
      <c r="C51" s="32" t="s">
        <v>1426</v>
      </c>
      <c r="D51" s="32" t="s">
        <v>1437</v>
      </c>
      <c r="E51" s="32" t="s">
        <v>1438</v>
      </c>
      <c r="F51" s="32" t="s">
        <v>1439</v>
      </c>
      <c r="G51" s="32" t="s">
        <v>1410</v>
      </c>
      <c r="J51" s="32" t="s">
        <v>818</v>
      </c>
      <c r="K51" s="32" t="s">
        <v>61</v>
      </c>
      <c r="N51" s="32" t="s">
        <v>1431</v>
      </c>
    </row>
    <row r="52" ht="15.75" customHeight="1">
      <c r="A52" s="32">
        <v>24791.0</v>
      </c>
      <c r="B52" s="32" t="s">
        <v>1191</v>
      </c>
      <c r="C52" s="32" t="s">
        <v>1426</v>
      </c>
      <c r="D52" s="32" t="s">
        <v>1440</v>
      </c>
      <c r="E52" s="32" t="s">
        <v>1360</v>
      </c>
      <c r="F52" s="32" t="s">
        <v>1441</v>
      </c>
      <c r="G52" s="32" t="s">
        <v>1410</v>
      </c>
      <c r="J52" s="32" t="s">
        <v>818</v>
      </c>
      <c r="K52" s="32" t="s">
        <v>61</v>
      </c>
      <c r="N52" s="32" t="s">
        <v>1442</v>
      </c>
    </row>
    <row r="53" ht="15.75" customHeight="1">
      <c r="A53" s="32">
        <v>24792.0</v>
      </c>
      <c r="B53" s="32" t="s">
        <v>1191</v>
      </c>
      <c r="C53" s="32" t="s">
        <v>1426</v>
      </c>
      <c r="D53" s="32" t="s">
        <v>1443</v>
      </c>
      <c r="E53" s="32" t="s">
        <v>1360</v>
      </c>
      <c r="F53" s="32" t="s">
        <v>1441</v>
      </c>
      <c r="G53" s="32" t="s">
        <v>1410</v>
      </c>
      <c r="J53" s="32" t="s">
        <v>818</v>
      </c>
      <c r="K53" s="32" t="s">
        <v>61</v>
      </c>
      <c r="N53" s="32" t="s">
        <v>1442</v>
      </c>
    </row>
    <row r="54" ht="15.75" customHeight="1">
      <c r="A54" s="32">
        <v>24793.0</v>
      </c>
      <c r="B54" s="32" t="s">
        <v>1191</v>
      </c>
      <c r="C54" s="32" t="s">
        <v>1426</v>
      </c>
      <c r="D54" s="32" t="s">
        <v>1444</v>
      </c>
      <c r="E54" s="32" t="s">
        <v>1360</v>
      </c>
      <c r="F54" s="32" t="s">
        <v>1445</v>
      </c>
      <c r="G54" s="32" t="s">
        <v>1410</v>
      </c>
      <c r="J54" s="32" t="s">
        <v>818</v>
      </c>
      <c r="K54" s="32" t="s">
        <v>61</v>
      </c>
      <c r="N54" s="32" t="s">
        <v>1442</v>
      </c>
    </row>
    <row r="55" ht="15.75" customHeight="1">
      <c r="A55" s="32">
        <v>24794.0</v>
      </c>
      <c r="B55" s="32" t="s">
        <v>1191</v>
      </c>
      <c r="C55" s="32" t="s">
        <v>1426</v>
      </c>
      <c r="D55" s="32" t="s">
        <v>1446</v>
      </c>
      <c r="E55" s="32" t="s">
        <v>1408</v>
      </c>
      <c r="F55" s="32" t="s">
        <v>1447</v>
      </c>
      <c r="G55" s="32" t="s">
        <v>1410</v>
      </c>
      <c r="J55" s="32" t="s">
        <v>818</v>
      </c>
      <c r="K55" s="32" t="s">
        <v>61</v>
      </c>
      <c r="N55" s="32" t="s">
        <v>1442</v>
      </c>
    </row>
    <row r="56" ht="15.75" customHeight="1">
      <c r="A56" s="32">
        <v>24795.0</v>
      </c>
      <c r="B56" s="32" t="s">
        <v>1191</v>
      </c>
      <c r="C56" s="32" t="s">
        <v>1426</v>
      </c>
      <c r="D56" s="32" t="s">
        <v>1448</v>
      </c>
      <c r="E56" s="32" t="s">
        <v>1408</v>
      </c>
      <c r="F56" s="32" t="s">
        <v>1449</v>
      </c>
      <c r="G56" s="32" t="s">
        <v>1410</v>
      </c>
      <c r="J56" s="32" t="s">
        <v>818</v>
      </c>
      <c r="K56" s="32" t="s">
        <v>61</v>
      </c>
      <c r="N56" s="32" t="s">
        <v>1442</v>
      </c>
    </row>
    <row r="57" ht="15.75" customHeight="1">
      <c r="A57" s="32">
        <v>24796.0</v>
      </c>
      <c r="B57" s="32" t="s">
        <v>1191</v>
      </c>
      <c r="C57" s="32" t="s">
        <v>1426</v>
      </c>
      <c r="D57" s="32" t="s">
        <v>1450</v>
      </c>
      <c r="E57" s="32" t="s">
        <v>1325</v>
      </c>
      <c r="F57" s="32" t="s">
        <v>1441</v>
      </c>
      <c r="G57" s="32" t="s">
        <v>1410</v>
      </c>
      <c r="J57" s="32" t="s">
        <v>818</v>
      </c>
      <c r="K57" s="32" t="s">
        <v>61</v>
      </c>
      <c r="N57" s="32" t="s">
        <v>1442</v>
      </c>
    </row>
    <row r="58" ht="15.75" customHeight="1">
      <c r="A58" s="32">
        <v>22518.0</v>
      </c>
      <c r="B58" s="32" t="s">
        <v>1191</v>
      </c>
      <c r="C58" s="32" t="s">
        <v>1426</v>
      </c>
      <c r="D58" s="32" t="s">
        <v>1451</v>
      </c>
      <c r="E58" s="32" t="s">
        <v>1452</v>
      </c>
      <c r="F58" s="32" t="s">
        <v>1413</v>
      </c>
      <c r="G58" s="32" t="s">
        <v>1410</v>
      </c>
      <c r="J58" s="32" t="s">
        <v>818</v>
      </c>
      <c r="K58" s="32" t="s">
        <v>61</v>
      </c>
      <c r="N58" s="32" t="s">
        <v>1442</v>
      </c>
    </row>
    <row r="59" ht="15.75" customHeight="1">
      <c r="A59" s="32">
        <v>22519.0</v>
      </c>
      <c r="B59" s="32" t="s">
        <v>1191</v>
      </c>
      <c r="C59" s="32" t="s">
        <v>1426</v>
      </c>
      <c r="D59" s="32" t="s">
        <v>1453</v>
      </c>
      <c r="E59" s="32" t="s">
        <v>1452</v>
      </c>
      <c r="F59" s="32" t="s">
        <v>1413</v>
      </c>
      <c r="G59" s="32" t="s">
        <v>1410</v>
      </c>
      <c r="J59" s="32" t="s">
        <v>818</v>
      </c>
      <c r="K59" s="32" t="s">
        <v>61</v>
      </c>
      <c r="N59" s="32" t="s">
        <v>1442</v>
      </c>
    </row>
    <row r="60" ht="15.75" customHeight="1">
      <c r="A60" s="32">
        <v>22516.0</v>
      </c>
      <c r="B60" s="32" t="s">
        <v>1191</v>
      </c>
      <c r="C60" s="32" t="s">
        <v>1426</v>
      </c>
      <c r="D60" s="32" t="s">
        <v>1454</v>
      </c>
      <c r="E60" s="32" t="s">
        <v>1452</v>
      </c>
      <c r="F60" s="32" t="s">
        <v>1455</v>
      </c>
      <c r="G60" s="32" t="s">
        <v>1410</v>
      </c>
      <c r="J60" s="32" t="s">
        <v>818</v>
      </c>
      <c r="K60" s="32" t="s">
        <v>61</v>
      </c>
      <c r="N60" s="32" t="s">
        <v>1442</v>
      </c>
    </row>
    <row r="61" ht="15.75" customHeight="1">
      <c r="A61" s="32">
        <v>22517.0</v>
      </c>
      <c r="B61" s="32" t="s">
        <v>1191</v>
      </c>
      <c r="C61" s="32" t="s">
        <v>1426</v>
      </c>
      <c r="D61" s="32" t="s">
        <v>1456</v>
      </c>
      <c r="E61" s="32" t="s">
        <v>1452</v>
      </c>
      <c r="F61" s="32" t="s">
        <v>1455</v>
      </c>
      <c r="G61" s="32" t="s">
        <v>1410</v>
      </c>
      <c r="J61" s="32" t="s">
        <v>818</v>
      </c>
      <c r="K61" s="32" t="s">
        <v>61</v>
      </c>
      <c r="N61" s="32" t="s">
        <v>1442</v>
      </c>
    </row>
    <row r="62" ht="15.75" customHeight="1">
      <c r="A62" s="32">
        <v>22520.0</v>
      </c>
      <c r="B62" s="32" t="s">
        <v>1191</v>
      </c>
      <c r="C62" s="32" t="s">
        <v>1426</v>
      </c>
      <c r="D62" s="32" t="s">
        <v>1457</v>
      </c>
      <c r="E62" s="32" t="s">
        <v>1458</v>
      </c>
      <c r="F62" s="32" t="s">
        <v>1459</v>
      </c>
      <c r="G62" s="32" t="s">
        <v>1410</v>
      </c>
      <c r="J62" s="32" t="s">
        <v>818</v>
      </c>
      <c r="K62" s="32" t="s">
        <v>61</v>
      </c>
      <c r="N62" s="32" t="s">
        <v>1442</v>
      </c>
    </row>
    <row r="63" ht="15.75" customHeight="1">
      <c r="A63" s="32">
        <v>19572.0</v>
      </c>
      <c r="B63" s="32" t="s">
        <v>1191</v>
      </c>
      <c r="C63" s="32" t="s">
        <v>1426</v>
      </c>
      <c r="D63" s="32" t="s">
        <v>1460</v>
      </c>
      <c r="E63" s="32" t="s">
        <v>1408</v>
      </c>
      <c r="F63" s="32" t="s">
        <v>1461</v>
      </c>
      <c r="G63" s="32" t="s">
        <v>1412</v>
      </c>
      <c r="J63" s="32" t="s">
        <v>818</v>
      </c>
      <c r="K63" s="32" t="s">
        <v>61</v>
      </c>
      <c r="N63" s="32" t="s">
        <v>1462</v>
      </c>
    </row>
    <row r="64" ht="15.75" customHeight="1">
      <c r="A64" s="32">
        <v>19580.0</v>
      </c>
      <c r="B64" s="32" t="s">
        <v>1191</v>
      </c>
      <c r="C64" s="32" t="s">
        <v>1426</v>
      </c>
      <c r="D64" s="32" t="s">
        <v>1463</v>
      </c>
      <c r="E64" s="32" t="s">
        <v>1408</v>
      </c>
      <c r="F64" s="32" t="s">
        <v>1461</v>
      </c>
      <c r="G64" s="32" t="s">
        <v>1464</v>
      </c>
      <c r="J64" s="32" t="s">
        <v>818</v>
      </c>
      <c r="K64" s="32" t="s">
        <v>61</v>
      </c>
      <c r="N64" s="32" t="s">
        <v>1462</v>
      </c>
    </row>
    <row r="65" ht="15.75" customHeight="1">
      <c r="A65" s="32">
        <v>19575.0</v>
      </c>
      <c r="B65" s="32" t="s">
        <v>1191</v>
      </c>
      <c r="C65" s="32" t="s">
        <v>1426</v>
      </c>
      <c r="D65" s="32" t="s">
        <v>1465</v>
      </c>
      <c r="E65" s="32" t="s">
        <v>1408</v>
      </c>
      <c r="F65" s="32" t="s">
        <v>1461</v>
      </c>
      <c r="G65" s="32" t="s">
        <v>1466</v>
      </c>
      <c r="J65" s="32" t="s">
        <v>818</v>
      </c>
      <c r="K65" s="32" t="s">
        <v>61</v>
      </c>
      <c r="N65" s="32" t="s">
        <v>1462</v>
      </c>
    </row>
    <row r="66" ht="15.75" customHeight="1">
      <c r="A66" s="32">
        <v>19576.0</v>
      </c>
      <c r="B66" s="32" t="s">
        <v>1191</v>
      </c>
      <c r="C66" s="32" t="s">
        <v>1426</v>
      </c>
      <c r="D66" s="32" t="s">
        <v>1467</v>
      </c>
      <c r="E66" s="32" t="s">
        <v>1408</v>
      </c>
      <c r="F66" s="32" t="s">
        <v>1461</v>
      </c>
      <c r="G66" s="32" t="s">
        <v>1468</v>
      </c>
      <c r="J66" s="32" t="s">
        <v>818</v>
      </c>
      <c r="K66" s="32" t="s">
        <v>61</v>
      </c>
      <c r="N66" s="32" t="s">
        <v>1462</v>
      </c>
    </row>
    <row r="67" ht="15.75" customHeight="1">
      <c r="A67" s="32">
        <v>19573.0</v>
      </c>
      <c r="B67" s="32" t="s">
        <v>1191</v>
      </c>
      <c r="C67" s="32" t="s">
        <v>1426</v>
      </c>
      <c r="D67" s="32" t="s">
        <v>1469</v>
      </c>
      <c r="E67" s="32" t="s">
        <v>1408</v>
      </c>
      <c r="F67" s="32" t="s">
        <v>1461</v>
      </c>
      <c r="G67" s="32" t="s">
        <v>1470</v>
      </c>
      <c r="J67" s="32" t="s">
        <v>818</v>
      </c>
      <c r="K67" s="32" t="s">
        <v>61</v>
      </c>
      <c r="N67" s="32" t="s">
        <v>1462</v>
      </c>
    </row>
    <row r="68" ht="15.75" customHeight="1">
      <c r="A68" s="32">
        <v>19582.0</v>
      </c>
      <c r="B68" s="32" t="s">
        <v>1191</v>
      </c>
      <c r="C68" s="32" t="s">
        <v>1426</v>
      </c>
      <c r="D68" s="32" t="s">
        <v>1471</v>
      </c>
      <c r="E68" s="32" t="s">
        <v>1408</v>
      </c>
      <c r="F68" s="32" t="s">
        <v>1461</v>
      </c>
      <c r="G68" s="32" t="s">
        <v>1472</v>
      </c>
      <c r="J68" s="32" t="s">
        <v>818</v>
      </c>
      <c r="K68" s="32" t="s">
        <v>61</v>
      </c>
      <c r="N68" s="32" t="s">
        <v>1462</v>
      </c>
    </row>
    <row r="69" ht="15.75" customHeight="1">
      <c r="A69" s="32">
        <v>19574.0</v>
      </c>
      <c r="B69" s="32" t="s">
        <v>1191</v>
      </c>
      <c r="C69" s="32" t="s">
        <v>1426</v>
      </c>
      <c r="D69" s="32" t="s">
        <v>1473</v>
      </c>
      <c r="E69" s="32" t="s">
        <v>1408</v>
      </c>
      <c r="F69" s="32" t="s">
        <v>1461</v>
      </c>
      <c r="G69" s="32" t="s">
        <v>1474</v>
      </c>
      <c r="J69" s="32" t="s">
        <v>818</v>
      </c>
      <c r="K69" s="32" t="s">
        <v>61</v>
      </c>
      <c r="N69" s="32" t="s">
        <v>1462</v>
      </c>
    </row>
    <row r="70" ht="15.75" customHeight="1">
      <c r="A70" s="32">
        <v>19581.0</v>
      </c>
      <c r="B70" s="32" t="s">
        <v>1191</v>
      </c>
      <c r="C70" s="32" t="s">
        <v>1426</v>
      </c>
      <c r="D70" s="32" t="s">
        <v>1475</v>
      </c>
      <c r="E70" s="32" t="s">
        <v>1408</v>
      </c>
      <c r="F70" s="32" t="s">
        <v>1461</v>
      </c>
      <c r="G70" s="32" t="s">
        <v>1476</v>
      </c>
      <c r="J70" s="32" t="s">
        <v>818</v>
      </c>
      <c r="K70" s="32" t="s">
        <v>61</v>
      </c>
      <c r="N70" s="32" t="s">
        <v>1462</v>
      </c>
    </row>
    <row r="71" ht="15.75" customHeight="1">
      <c r="A71" s="32">
        <v>19578.0</v>
      </c>
      <c r="B71" s="32" t="s">
        <v>1191</v>
      </c>
      <c r="C71" s="32" t="s">
        <v>1426</v>
      </c>
      <c r="D71" s="32" t="s">
        <v>1477</v>
      </c>
      <c r="E71" s="32" t="s">
        <v>1408</v>
      </c>
      <c r="F71" s="32" t="s">
        <v>1461</v>
      </c>
      <c r="G71" s="32" t="s">
        <v>267</v>
      </c>
      <c r="J71" s="32" t="s">
        <v>818</v>
      </c>
      <c r="K71" s="32" t="s">
        <v>61</v>
      </c>
      <c r="N71" s="32" t="s">
        <v>1462</v>
      </c>
    </row>
    <row r="72" ht="15.75" customHeight="1">
      <c r="A72" s="32">
        <v>19577.0</v>
      </c>
      <c r="B72" s="32" t="s">
        <v>1191</v>
      </c>
      <c r="C72" s="32" t="s">
        <v>1426</v>
      </c>
      <c r="D72" s="32" t="s">
        <v>1478</v>
      </c>
      <c r="E72" s="32" t="s">
        <v>1408</v>
      </c>
      <c r="F72" s="32" t="s">
        <v>1461</v>
      </c>
      <c r="G72" s="32" t="s">
        <v>1479</v>
      </c>
      <c r="J72" s="32" t="s">
        <v>818</v>
      </c>
      <c r="K72" s="32" t="s">
        <v>61</v>
      </c>
      <c r="N72" s="32" t="s">
        <v>1462</v>
      </c>
    </row>
    <row r="73" ht="15.75" customHeight="1">
      <c r="A73" s="32">
        <v>19579.0</v>
      </c>
      <c r="B73" s="32" t="s">
        <v>1191</v>
      </c>
      <c r="C73" s="32" t="s">
        <v>1426</v>
      </c>
      <c r="D73" s="32" t="s">
        <v>1480</v>
      </c>
      <c r="E73" s="32" t="s">
        <v>1408</v>
      </c>
      <c r="F73" s="32" t="s">
        <v>1461</v>
      </c>
      <c r="G73" s="32" t="s">
        <v>1481</v>
      </c>
      <c r="J73" s="32" t="s">
        <v>818</v>
      </c>
      <c r="K73" s="32" t="s">
        <v>61</v>
      </c>
      <c r="N73" s="32" t="s">
        <v>1462</v>
      </c>
    </row>
    <row r="74" ht="15.75" customHeight="1">
      <c r="A74" s="32">
        <v>22020.0</v>
      </c>
      <c r="B74" s="32" t="s">
        <v>1191</v>
      </c>
      <c r="C74" s="32" t="s">
        <v>1426</v>
      </c>
      <c r="D74" s="32" t="s">
        <v>1482</v>
      </c>
      <c r="E74" s="32" t="s">
        <v>1303</v>
      </c>
      <c r="F74" s="32" t="s">
        <v>1483</v>
      </c>
      <c r="G74" s="32" t="s">
        <v>1484</v>
      </c>
      <c r="J74" s="32" t="s">
        <v>818</v>
      </c>
      <c r="K74" s="32" t="s">
        <v>61</v>
      </c>
      <c r="N74" s="32" t="s">
        <v>1485</v>
      </c>
    </row>
    <row r="75" ht="15.75" customHeight="1">
      <c r="A75" s="32">
        <v>20680.0</v>
      </c>
      <c r="B75" s="32" t="s">
        <v>1191</v>
      </c>
      <c r="C75" s="32" t="s">
        <v>1426</v>
      </c>
      <c r="D75" s="32" t="s">
        <v>1486</v>
      </c>
      <c r="E75" s="32" t="s">
        <v>1428</v>
      </c>
      <c r="F75" s="32" t="s">
        <v>1487</v>
      </c>
      <c r="G75" s="32" t="s">
        <v>1488</v>
      </c>
      <c r="J75" s="32" t="s">
        <v>818</v>
      </c>
      <c r="K75" s="32" t="s">
        <v>61</v>
      </c>
      <c r="N75" s="32" t="s">
        <v>1485</v>
      </c>
    </row>
    <row r="76" ht="15.75" customHeight="1">
      <c r="A76" s="32">
        <v>20689.0</v>
      </c>
      <c r="B76" s="32" t="s">
        <v>1191</v>
      </c>
      <c r="C76" s="32" t="s">
        <v>1426</v>
      </c>
      <c r="D76" s="32" t="s">
        <v>1489</v>
      </c>
      <c r="E76" s="32" t="s">
        <v>1428</v>
      </c>
      <c r="F76" s="32" t="s">
        <v>1490</v>
      </c>
      <c r="G76" s="32" t="s">
        <v>1484</v>
      </c>
      <c r="J76" s="32" t="s">
        <v>818</v>
      </c>
      <c r="K76" s="32" t="s">
        <v>61</v>
      </c>
      <c r="N76" s="32" t="s">
        <v>1485</v>
      </c>
    </row>
    <row r="77" ht="15.75" customHeight="1">
      <c r="A77" s="32">
        <v>20694.0</v>
      </c>
      <c r="B77" s="32" t="s">
        <v>1191</v>
      </c>
      <c r="C77" s="32" t="s">
        <v>1426</v>
      </c>
      <c r="D77" s="32" t="s">
        <v>1491</v>
      </c>
      <c r="E77" s="32" t="s">
        <v>1325</v>
      </c>
      <c r="F77" s="32" t="s">
        <v>1492</v>
      </c>
      <c r="G77" s="32" t="s">
        <v>1493</v>
      </c>
      <c r="J77" s="32" t="s">
        <v>818</v>
      </c>
      <c r="K77" s="32" t="s">
        <v>61</v>
      </c>
      <c r="N77" s="32" t="s">
        <v>1485</v>
      </c>
    </row>
    <row r="78" ht="15.75" customHeight="1">
      <c r="A78" s="32">
        <v>20698.0</v>
      </c>
      <c r="B78" s="32" t="s">
        <v>1191</v>
      </c>
      <c r="C78" s="32" t="s">
        <v>1426</v>
      </c>
      <c r="D78" s="32" t="s">
        <v>1494</v>
      </c>
      <c r="E78" s="32" t="s">
        <v>1495</v>
      </c>
      <c r="F78" s="32" t="s">
        <v>1496</v>
      </c>
      <c r="G78" s="32" t="s">
        <v>1493</v>
      </c>
      <c r="J78" s="32" t="s">
        <v>818</v>
      </c>
      <c r="K78" s="32" t="s">
        <v>61</v>
      </c>
      <c r="N78" s="32" t="s">
        <v>1485</v>
      </c>
    </row>
    <row r="79" ht="15.75" customHeight="1">
      <c r="A79" s="32">
        <v>20702.0</v>
      </c>
      <c r="B79" s="32" t="s">
        <v>1191</v>
      </c>
      <c r="C79" s="32" t="s">
        <v>1426</v>
      </c>
      <c r="D79" s="32" t="s">
        <v>1497</v>
      </c>
      <c r="E79" s="32" t="s">
        <v>1498</v>
      </c>
      <c r="F79" s="32" t="s">
        <v>1499</v>
      </c>
      <c r="G79" s="32" t="s">
        <v>1493</v>
      </c>
      <c r="J79" s="32" t="s">
        <v>818</v>
      </c>
      <c r="K79" s="32" t="s">
        <v>61</v>
      </c>
      <c r="N79" s="32" t="s">
        <v>1485</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2026-05-30T12:08:30Z</dcterms:created>
  <dc:creator>Sebastian</dc:creator>
</cp:coreProperties>
</file>